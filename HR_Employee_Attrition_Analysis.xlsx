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Rickjordan Manaloto\Downloads\$ career\github projects\HR Employee Attrition Analysis\"/>
    </mc:Choice>
  </mc:AlternateContent>
  <xr:revisionPtr revIDLastSave="0" documentId="13_ncr:1_{A270972B-4C9D-4CE2-B140-25AA90219F66}" xr6:coauthVersionLast="47" xr6:coauthVersionMax="47" xr10:uidLastSave="{00000000-0000-0000-0000-000000000000}"/>
  <bookViews>
    <workbookView xWindow="-120" yWindow="-120" windowWidth="20730" windowHeight="11040" activeTab="4" xr2:uid="{B46D4B1B-3EF1-4059-BFA8-BB7C818D9A9A}"/>
  </bookViews>
  <sheets>
    <sheet name="ReadMe" sheetId="12" r:id="rId1"/>
    <sheet name="RawData" sheetId="1" r:id="rId2"/>
    <sheet name="CleanedData" sheetId="3" r:id="rId3"/>
    <sheet name="PivotTables" sheetId="11" r:id="rId4"/>
    <sheet name="Dashboard" sheetId="9" r:id="rId5"/>
    <sheet name="Insights" sheetId="10" r:id="rId6"/>
  </sheets>
  <definedNames>
    <definedName name="Slicer_Department">#N/A</definedName>
    <definedName name="Slicer_Gender">#N/A</definedName>
    <definedName name="Slicer_JobRol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3" l="1"/>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2" i="3"/>
  <c r="Q5" i="9"/>
  <c r="K5" i="9"/>
  <c r="E5" i="9"/>
</calcChain>
</file>

<file path=xl/sharedStrings.xml><?xml version="1.0" encoding="utf-8"?>
<sst xmlns="http://schemas.openxmlformats.org/spreadsheetml/2006/main" count="17741" uniqueCount="81">
  <si>
    <t>Age</t>
  </si>
  <si>
    <t>Attrition</t>
  </si>
  <si>
    <t>Department</t>
  </si>
  <si>
    <t>DistanceFromHome</t>
  </si>
  <si>
    <t>Education</t>
  </si>
  <si>
    <t>EducationField</t>
  </si>
  <si>
    <t>EnvironmentSatisfaction</t>
  </si>
  <si>
    <t>JobSatisfaction</t>
  </si>
  <si>
    <t>MaritalStatus</t>
  </si>
  <si>
    <t>MonthlyIncome</t>
  </si>
  <si>
    <t>NumCompaniesWorked</t>
  </si>
  <si>
    <t>WorkLifeBalance</t>
  </si>
  <si>
    <t>YearsAtCompany</t>
  </si>
  <si>
    <t>Gender</t>
  </si>
  <si>
    <t>JobRole</t>
  </si>
  <si>
    <t>EmployeeID</t>
  </si>
  <si>
    <t>Yes</t>
  </si>
  <si>
    <t>Sales</t>
  </si>
  <si>
    <t>Life Sciences</t>
  </si>
  <si>
    <t>Single</t>
  </si>
  <si>
    <t>Female</t>
  </si>
  <si>
    <t>Sales Executive</t>
  </si>
  <si>
    <t>No</t>
  </si>
  <si>
    <t>Research &amp; Development</t>
  </si>
  <si>
    <t>Married</t>
  </si>
  <si>
    <t>Male</t>
  </si>
  <si>
    <t>Research Scientist</t>
  </si>
  <si>
    <t>Other</t>
  </si>
  <si>
    <t>Laboratory Technician</t>
  </si>
  <si>
    <t>Medical</t>
  </si>
  <si>
    <t>Divorced</t>
  </si>
  <si>
    <t>Manufacturing Director</t>
  </si>
  <si>
    <t>Healthcare Representative</t>
  </si>
  <si>
    <t>Manager</t>
  </si>
  <si>
    <t>Sales Representative</t>
  </si>
  <si>
    <t>Research Director</t>
  </si>
  <si>
    <t>Marketing</t>
  </si>
  <si>
    <t>Technical Degree</t>
  </si>
  <si>
    <t>Human Resources</t>
  </si>
  <si>
    <t>Grand Total</t>
  </si>
  <si>
    <t>Row Labels</t>
  </si>
  <si>
    <t>AttritionFlag</t>
  </si>
  <si>
    <t>Sum of AttritionFlag</t>
  </si>
  <si>
    <t>Attrition by Monthly Income Range</t>
  </si>
  <si>
    <t>Attrition by Years at the Company</t>
  </si>
  <si>
    <t>Attrition by Department</t>
  </si>
  <si>
    <t>Attrition by Job Role</t>
  </si>
  <si>
    <t>Count of EmployeeID</t>
  </si>
  <si>
    <t>Attrition Count</t>
  </si>
  <si>
    <t>Count of EmployeeID2</t>
  </si>
  <si>
    <t>HR Attrition Dashboard</t>
  </si>
  <si>
    <t>Total Employees</t>
  </si>
  <si>
    <t>Attrition Rate</t>
  </si>
  <si>
    <t>HR Employee Attrition Analysis</t>
  </si>
  <si>
    <t>Goal:</t>
  </si>
  <si>
    <t>Identify patterns and factors contributing to employee attrition.</t>
  </si>
  <si>
    <t>Questions:</t>
  </si>
  <si>
    <t>MonthlyIncomeGroup</t>
  </si>
  <si>
    <t>YearsAtCompanyGroup</t>
  </si>
  <si>
    <t>$1001 - $5000</t>
  </si>
  <si>
    <t>$5001 - $9000</t>
  </si>
  <si>
    <t>$9001 - $13000</t>
  </si>
  <si>
    <t>$13001 - $17000</t>
  </si>
  <si>
    <t>$17001 - $21000</t>
  </si>
  <si>
    <t>10 - 15 Years</t>
  </si>
  <si>
    <t>0 - 5 Years</t>
  </si>
  <si>
    <t>15 - 20 Years</t>
  </si>
  <si>
    <t>20 - 25 Years</t>
  </si>
  <si>
    <t>25 - 30 Years</t>
  </si>
  <si>
    <t>30 - 35 Years</t>
  </si>
  <si>
    <t>35 - 40 Years</t>
  </si>
  <si>
    <t>40+ Years</t>
  </si>
  <si>
    <t>5 - 10 Years</t>
  </si>
  <si>
    <t>Insights:</t>
  </si>
  <si>
    <r>
      <t>1.</t>
    </r>
    <r>
      <rPr>
        <sz val="7"/>
        <color theme="1"/>
        <rFont val="Times New Roman"/>
        <family val="1"/>
      </rPr>
      <t xml:space="preserve"> </t>
    </r>
    <r>
      <rPr>
        <sz val="11"/>
        <color theme="1"/>
        <rFont val="Century Schoolbook"/>
        <family val="2"/>
        <scheme val="minor"/>
      </rPr>
      <t>Which department has the highest attrition?</t>
    </r>
  </si>
  <si>
    <r>
      <t>2.</t>
    </r>
    <r>
      <rPr>
        <sz val="7"/>
        <color theme="1"/>
        <rFont val="Times New Roman"/>
        <family val="1"/>
      </rPr>
      <t xml:space="preserve"> </t>
    </r>
    <r>
      <rPr>
        <sz val="11"/>
        <color theme="1"/>
        <rFont val="Century Schoolbook"/>
        <family val="2"/>
        <scheme val="minor"/>
      </rPr>
      <t>Does salary affect attrition?</t>
    </r>
  </si>
  <si>
    <r>
      <t>3.</t>
    </r>
    <r>
      <rPr>
        <sz val="7"/>
        <color theme="1"/>
        <rFont val="Times New Roman"/>
        <family val="1"/>
      </rPr>
      <t> </t>
    </r>
    <r>
      <rPr>
        <sz val="11"/>
        <color theme="1"/>
        <rFont val="Century Schoolbook"/>
        <family val="2"/>
        <scheme val="minor"/>
      </rPr>
      <t>Do employees leave more in the first few years?</t>
    </r>
  </si>
  <si>
    <t>Overall, employee attrition with higher turnover is observed in the Sales department, among lower paid employees, and during the early years of employment.</t>
  </si>
  <si>
    <r>
      <t>1.</t>
    </r>
    <r>
      <rPr>
        <sz val="7"/>
        <color theme="1"/>
        <rFont val="Times New Roman"/>
        <family val="1"/>
      </rPr>
      <t xml:space="preserve"> </t>
    </r>
    <r>
      <rPr>
        <sz val="11"/>
        <color theme="1"/>
        <rFont val="Century Schoolbook"/>
        <family val="2"/>
        <scheme val="minor"/>
      </rPr>
      <t>Sales deparment has the highest attition.</t>
    </r>
  </si>
  <si>
    <r>
      <t>2.</t>
    </r>
    <r>
      <rPr>
        <sz val="7"/>
        <color theme="1"/>
        <rFont val="Times New Roman"/>
        <family val="1"/>
      </rPr>
      <t xml:space="preserve"> </t>
    </r>
    <r>
      <rPr>
        <sz val="11"/>
        <color theme="1"/>
        <rFont val="Century Schoolbook"/>
        <family val="2"/>
        <scheme val="minor"/>
      </rPr>
      <t>Lower income shows higher attrition.</t>
    </r>
  </si>
  <si>
    <r>
      <t>3.</t>
    </r>
    <r>
      <rPr>
        <sz val="7"/>
        <color theme="1"/>
        <rFont val="Times New Roman"/>
        <family val="1"/>
      </rPr>
      <t> </t>
    </r>
    <r>
      <rPr>
        <sz val="11"/>
        <color theme="1"/>
        <rFont val="Century Schoolbook"/>
        <family val="2"/>
        <scheme val="minor"/>
      </rPr>
      <t>Employees with 0 to 5 years experience are more likely to leave.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</si>
</sst>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3" x14ac:knownFonts="1">
    <font>
      <sz val="11"/>
      <color theme="1"/>
      <name val="Century Schoolbook"/>
      <family val="2"/>
      <scheme val="minor"/>
    </font>
    <font>
      <sz val="11"/>
      <color theme="1"/>
      <name val="Century Schoolbook"/>
      <family val="2"/>
      <scheme val="minor"/>
    </font>
    <font>
      <sz val="18"/>
      <color theme="3"/>
      <name val="Century Schoolbook"/>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11"/>
      <color rgb="FF006100"/>
      <name val="Century Schoolbook"/>
      <family val="2"/>
      <scheme val="minor"/>
    </font>
    <font>
      <sz val="11"/>
      <color rgb="FF9C0006"/>
      <name val="Century Schoolbook"/>
      <family val="2"/>
      <scheme val="minor"/>
    </font>
    <font>
      <sz val="11"/>
      <color rgb="FF9C5700"/>
      <name val="Century Schoolbook"/>
      <family val="2"/>
      <scheme val="minor"/>
    </font>
    <font>
      <sz val="11"/>
      <color rgb="FF3F3F76"/>
      <name val="Century Schoolbook"/>
      <family val="2"/>
      <scheme val="minor"/>
    </font>
    <font>
      <b/>
      <sz val="11"/>
      <color rgb="FF3F3F3F"/>
      <name val="Century Schoolbook"/>
      <family val="2"/>
      <scheme val="minor"/>
    </font>
    <font>
      <b/>
      <sz val="11"/>
      <color rgb="FFFA7D00"/>
      <name val="Century Schoolbook"/>
      <family val="2"/>
      <scheme val="minor"/>
    </font>
    <font>
      <sz val="11"/>
      <color rgb="FFFA7D00"/>
      <name val="Century Schoolbook"/>
      <family val="2"/>
      <scheme val="minor"/>
    </font>
    <font>
      <b/>
      <sz val="11"/>
      <color theme="0"/>
      <name val="Century Schoolbook"/>
      <family val="2"/>
      <scheme val="minor"/>
    </font>
    <font>
      <sz val="11"/>
      <color rgb="FFFF0000"/>
      <name val="Century Schoolbook"/>
      <family val="2"/>
      <scheme val="minor"/>
    </font>
    <font>
      <i/>
      <sz val="11"/>
      <color rgb="FF7F7F7F"/>
      <name val="Century Schoolbook"/>
      <family val="2"/>
      <scheme val="minor"/>
    </font>
    <font>
      <b/>
      <sz val="11"/>
      <color theme="1"/>
      <name val="Century Schoolbook"/>
      <family val="2"/>
      <scheme val="minor"/>
    </font>
    <font>
      <sz val="11"/>
      <color theme="0"/>
      <name val="Century Schoolbook"/>
      <family val="2"/>
      <scheme val="minor"/>
    </font>
    <font>
      <b/>
      <sz val="14"/>
      <color theme="1"/>
      <name val="Century Schoolbook"/>
      <family val="2"/>
      <scheme val="minor"/>
    </font>
    <font>
      <sz val="7"/>
      <color theme="1"/>
      <name val="Times New Roman"/>
      <family val="1"/>
    </font>
    <font>
      <b/>
      <sz val="20"/>
      <color theme="4" tint="-0.249977111117893"/>
      <name val="Century Schoolbook"/>
      <family val="2"/>
      <scheme val="minor"/>
    </font>
    <font>
      <b/>
      <sz val="26"/>
      <color theme="4" tint="-0.249977111117893"/>
      <name val="Century Schoolbook"/>
      <family val="2"/>
      <scheme val="minor"/>
    </font>
    <font>
      <sz val="26"/>
      <color theme="4" tint="-0.249977111117893"/>
      <name val="Century Schoolbook"/>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16" fillId="0" borderId="0" xfId="0" applyFont="1"/>
    <xf numFmtId="0" fontId="16" fillId="0" borderId="0" xfId="0" applyFont="1" applyAlignment="1">
      <alignment horizontal="left"/>
    </xf>
    <xf numFmtId="164" fontId="16" fillId="0" borderId="0" xfId="0" applyNumberFormat="1" applyFont="1" applyAlignment="1">
      <alignment horizontal="left"/>
    </xf>
    <xf numFmtId="0" fontId="0" fillId="0" borderId="0" xfId="0" applyAlignment="1">
      <alignment vertical="center"/>
    </xf>
    <xf numFmtId="0" fontId="18" fillId="0" borderId="0" xfId="0" applyFont="1" applyAlignment="1">
      <alignment vertical="center"/>
    </xf>
    <xf numFmtId="0" fontId="16" fillId="0" borderId="0" xfId="0" applyFont="1" applyAlignment="1">
      <alignment vertical="center"/>
    </xf>
    <xf numFmtId="0" fontId="0" fillId="0" borderId="0" xfId="0" applyAlignment="1">
      <alignment horizontal="left" vertical="center" indent="2"/>
    </xf>
    <xf numFmtId="0" fontId="16" fillId="0" borderId="0" xfId="0" applyFont="1" applyAlignment="1">
      <alignment horizontal="center"/>
    </xf>
    <xf numFmtId="164" fontId="16" fillId="0" borderId="0" xfId="0" applyNumberFormat="1" applyFont="1" applyAlignment="1">
      <alignment horizontal="center"/>
    </xf>
    <xf numFmtId="0" fontId="0" fillId="0" borderId="0" xfId="0" applyNumberFormat="1"/>
    <xf numFmtId="0" fontId="0" fillId="0" borderId="0" xfId="0" applyBorder="1"/>
    <xf numFmtId="9" fontId="20" fillId="0" borderId="0" xfId="42" applyFont="1" applyBorder="1" applyAlignment="1">
      <alignment horizontal="center" vertical="center"/>
    </xf>
    <xf numFmtId="0" fontId="0" fillId="0" borderId="10" xfId="0" applyBorder="1"/>
    <xf numFmtId="0" fontId="20" fillId="0" borderId="10" xfId="0" applyFont="1" applyBorder="1" applyAlignment="1">
      <alignment horizontal="center"/>
    </xf>
    <xf numFmtId="0" fontId="20" fillId="0" borderId="0" xfId="0" applyFont="1" applyBorder="1" applyAlignment="1">
      <alignment horizontal="center" vertical="center"/>
    </xf>
    <xf numFmtId="0" fontId="21" fillId="0" borderId="10" xfId="0" applyFont="1" applyBorder="1" applyAlignment="1">
      <alignment horizontal="center" vertical="center"/>
    </xf>
    <xf numFmtId="0" fontId="22" fillId="0" borderId="10" xfId="0" applyFont="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
    <dxf>
      <numFmt numFmtId="0" formatCode="General"/>
    </dxf>
    <dxf>
      <numFmt numFmtId="164" formatCode="_-[$$-409]* #,##0.00_ ;_-[$$-409]* \-#,##0.00\ ;_-[$$-409]* &quot;-&quot;??_ ;_-@_ "/>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Attrition Dataset 3.xlsx]PivotTables!PivotTable2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Attrition by Department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1"/>
            </a:solidFill>
            <a:ln>
              <a:noFill/>
            </a:ln>
            <a:effectLst/>
          </c:spPr>
          <c:invertIfNegative val="0"/>
          <c:cat>
            <c:strRef>
              <c:f>PivotTables!$A$4:$A$7</c:f>
              <c:strCache>
                <c:ptCount val="3"/>
                <c:pt idx="0">
                  <c:v>Human Resources</c:v>
                </c:pt>
                <c:pt idx="1">
                  <c:v>Research &amp; Development</c:v>
                </c:pt>
                <c:pt idx="2">
                  <c:v>Sales</c:v>
                </c:pt>
              </c:strCache>
            </c:strRef>
          </c:cat>
          <c:val>
            <c:numRef>
              <c:f>PivotTables!$B$4:$B$7</c:f>
              <c:numCache>
                <c:formatCode>General</c:formatCode>
                <c:ptCount val="3"/>
                <c:pt idx="0">
                  <c:v>12</c:v>
                </c:pt>
                <c:pt idx="1">
                  <c:v>133</c:v>
                </c:pt>
                <c:pt idx="2">
                  <c:v>92</c:v>
                </c:pt>
              </c:numCache>
            </c:numRef>
          </c:val>
          <c:extLst>
            <c:ext xmlns:c16="http://schemas.microsoft.com/office/drawing/2014/chart" uri="{C3380CC4-5D6E-409C-BE32-E72D297353CC}">
              <c16:uniqueId val="{00000000-03C5-4B27-B858-F4B6B4283FE1}"/>
            </c:ext>
          </c:extLst>
        </c:ser>
        <c:dLbls>
          <c:showLegendKey val="0"/>
          <c:showVal val="0"/>
          <c:showCatName val="0"/>
          <c:showSerName val="0"/>
          <c:showPercent val="0"/>
          <c:showBubbleSize val="0"/>
        </c:dLbls>
        <c:gapWidth val="219"/>
        <c:overlap val="-27"/>
        <c:axId val="590338047"/>
        <c:axId val="590337087"/>
      </c:barChart>
      <c:catAx>
        <c:axId val="5903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337087"/>
        <c:crosses val="autoZero"/>
        <c:auto val="1"/>
        <c:lblAlgn val="ctr"/>
        <c:lblOffset val="100"/>
        <c:noMultiLvlLbl val="0"/>
      </c:catAx>
      <c:valAx>
        <c:axId val="59033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338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Attrition Dataset 3.xlsx]PivotTables!PivotTable1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Attrition by Monthly Income Range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PivotTables!$B$10</c:f>
              <c:strCache>
                <c:ptCount val="1"/>
                <c:pt idx="0">
                  <c:v>Total</c:v>
                </c:pt>
              </c:strCache>
            </c:strRef>
          </c:tx>
          <c:spPr>
            <a:solidFill>
              <a:schemeClr val="accent1"/>
            </a:solidFill>
            <a:ln>
              <a:noFill/>
            </a:ln>
            <a:effectLst/>
          </c:spPr>
          <c:invertIfNegative val="0"/>
          <c:cat>
            <c:strRef>
              <c:f>PivotTables!$A$11:$A$16</c:f>
              <c:strCache>
                <c:ptCount val="5"/>
                <c:pt idx="0">
                  <c:v>$1001 - $5000</c:v>
                </c:pt>
                <c:pt idx="1">
                  <c:v>$5001 - $9000</c:v>
                </c:pt>
                <c:pt idx="2">
                  <c:v>$9001 - $13000</c:v>
                </c:pt>
                <c:pt idx="3">
                  <c:v>$13001 - $17000</c:v>
                </c:pt>
                <c:pt idx="4">
                  <c:v>$17001 - $21000</c:v>
                </c:pt>
              </c:strCache>
            </c:strRef>
          </c:cat>
          <c:val>
            <c:numRef>
              <c:f>PivotTables!$B$11:$B$16</c:f>
              <c:numCache>
                <c:formatCode>General</c:formatCode>
                <c:ptCount val="5"/>
                <c:pt idx="0">
                  <c:v>163</c:v>
                </c:pt>
                <c:pt idx="1">
                  <c:v>40</c:v>
                </c:pt>
                <c:pt idx="2">
                  <c:v>25</c:v>
                </c:pt>
                <c:pt idx="3">
                  <c:v>4</c:v>
                </c:pt>
                <c:pt idx="4">
                  <c:v>5</c:v>
                </c:pt>
              </c:numCache>
            </c:numRef>
          </c:val>
          <c:extLst>
            <c:ext xmlns:c16="http://schemas.microsoft.com/office/drawing/2014/chart" uri="{C3380CC4-5D6E-409C-BE32-E72D297353CC}">
              <c16:uniqueId val="{00000000-3E4A-429C-90FA-9227EA491A92}"/>
            </c:ext>
          </c:extLst>
        </c:ser>
        <c:dLbls>
          <c:showLegendKey val="0"/>
          <c:showVal val="0"/>
          <c:showCatName val="0"/>
          <c:showSerName val="0"/>
          <c:showPercent val="0"/>
          <c:showBubbleSize val="0"/>
        </c:dLbls>
        <c:gapWidth val="182"/>
        <c:axId val="72424687"/>
        <c:axId val="72417487"/>
      </c:barChart>
      <c:catAx>
        <c:axId val="72424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17487"/>
        <c:crosses val="autoZero"/>
        <c:auto val="1"/>
        <c:lblAlgn val="ctr"/>
        <c:lblOffset val="100"/>
        <c:noMultiLvlLbl val="0"/>
      </c:catAx>
      <c:valAx>
        <c:axId val="72417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24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Attrition Dataset 3.xlsx]PivotTables!PivotTable3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 Attrition by Years at the Company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PivotTables!$E$3</c:f>
              <c:strCache>
                <c:ptCount val="1"/>
                <c:pt idx="0">
                  <c:v>Total</c:v>
                </c:pt>
              </c:strCache>
            </c:strRef>
          </c:tx>
          <c:spPr>
            <a:solidFill>
              <a:schemeClr val="accent1"/>
            </a:solidFill>
            <a:ln>
              <a:noFill/>
            </a:ln>
            <a:effectLst/>
          </c:spPr>
          <c:invertIfNegative val="0"/>
          <c:cat>
            <c:strRef>
              <c:f>PivotTables!$D$4:$D$13</c:f>
              <c:strCache>
                <c:ptCount val="9"/>
                <c:pt idx="0">
                  <c:v>0 - 5 Years</c:v>
                </c:pt>
                <c:pt idx="1">
                  <c:v>5 - 10 Years</c:v>
                </c:pt>
                <c:pt idx="2">
                  <c:v>10 - 15 Years</c:v>
                </c:pt>
                <c:pt idx="3">
                  <c:v>15 - 20 Years</c:v>
                </c:pt>
                <c:pt idx="4">
                  <c:v>20 - 25 Years</c:v>
                </c:pt>
                <c:pt idx="5">
                  <c:v>25 - 30 Years</c:v>
                </c:pt>
                <c:pt idx="6">
                  <c:v>30 - 35 Years</c:v>
                </c:pt>
                <c:pt idx="7">
                  <c:v>35 - 40 Years</c:v>
                </c:pt>
                <c:pt idx="8">
                  <c:v>40+ Years</c:v>
                </c:pt>
              </c:strCache>
            </c:strRef>
          </c:cat>
          <c:val>
            <c:numRef>
              <c:f>PivotTables!$E$4:$E$13</c:f>
              <c:numCache>
                <c:formatCode>General</c:formatCode>
                <c:ptCount val="9"/>
                <c:pt idx="0">
                  <c:v>141</c:v>
                </c:pt>
                <c:pt idx="1">
                  <c:v>58</c:v>
                </c:pt>
                <c:pt idx="2">
                  <c:v>24</c:v>
                </c:pt>
                <c:pt idx="3">
                  <c:v>5</c:v>
                </c:pt>
                <c:pt idx="4">
                  <c:v>5</c:v>
                </c:pt>
                <c:pt idx="5">
                  <c:v>0</c:v>
                </c:pt>
                <c:pt idx="6">
                  <c:v>3</c:v>
                </c:pt>
                <c:pt idx="7">
                  <c:v>0</c:v>
                </c:pt>
                <c:pt idx="8">
                  <c:v>1</c:v>
                </c:pt>
              </c:numCache>
            </c:numRef>
          </c:val>
          <c:extLst>
            <c:ext xmlns:c16="http://schemas.microsoft.com/office/drawing/2014/chart" uri="{C3380CC4-5D6E-409C-BE32-E72D297353CC}">
              <c16:uniqueId val="{00000000-A15A-424A-AA7E-17799A5F48EF}"/>
            </c:ext>
          </c:extLst>
        </c:ser>
        <c:dLbls>
          <c:showLegendKey val="0"/>
          <c:showVal val="0"/>
          <c:showCatName val="0"/>
          <c:showSerName val="0"/>
          <c:showPercent val="0"/>
          <c:showBubbleSize val="0"/>
        </c:dLbls>
        <c:gapWidth val="182"/>
        <c:axId val="76227599"/>
        <c:axId val="76233839"/>
      </c:barChart>
      <c:catAx>
        <c:axId val="76227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33839"/>
        <c:crosses val="autoZero"/>
        <c:auto val="1"/>
        <c:lblAlgn val="ctr"/>
        <c:lblOffset val="100"/>
        <c:noMultiLvlLbl val="0"/>
      </c:catAx>
      <c:valAx>
        <c:axId val="76233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2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Attrition Dataset 3.xlsx]PivotTables!PivotTable14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Attrition Count and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2"/>
          </a:solidFill>
          <a:ln w="19050">
            <a:solidFill>
              <a:schemeClr val="lt1"/>
            </a:solidFill>
          </a:ln>
          <a:effectLst/>
        </c:spPr>
      </c:pivotFmt>
    </c:pivotFmts>
    <c:plotArea>
      <c:layout/>
      <c:pieChart>
        <c:varyColors val="1"/>
        <c:ser>
          <c:idx val="0"/>
          <c:order val="0"/>
          <c:tx>
            <c:strRef>
              <c:f>PivotTables!$H$3</c:f>
              <c:strCache>
                <c:ptCount val="1"/>
                <c:pt idx="0">
                  <c:v>Count of EmployeeID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07-435D-B644-67C3DE7105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07-435D-B644-67C3DE7105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PivotTables!$G$4:$G$6</c:f>
              <c:strCache>
                <c:ptCount val="2"/>
                <c:pt idx="0">
                  <c:v>Yes</c:v>
                </c:pt>
                <c:pt idx="1">
                  <c:v>No</c:v>
                </c:pt>
              </c:strCache>
            </c:strRef>
          </c:cat>
          <c:val>
            <c:numRef>
              <c:f>PivotTables!$H$4:$H$6</c:f>
              <c:numCache>
                <c:formatCode>General</c:formatCode>
                <c:ptCount val="2"/>
                <c:pt idx="0">
                  <c:v>237</c:v>
                </c:pt>
                <c:pt idx="1">
                  <c:v>1233</c:v>
                </c:pt>
              </c:numCache>
            </c:numRef>
          </c:val>
          <c:extLst>
            <c:ext xmlns:c16="http://schemas.microsoft.com/office/drawing/2014/chart" uri="{C3380CC4-5D6E-409C-BE32-E72D297353CC}">
              <c16:uniqueId val="{00000004-1B07-435D-B644-67C3DE71055B}"/>
            </c:ext>
          </c:extLst>
        </c:ser>
        <c:ser>
          <c:idx val="1"/>
          <c:order val="1"/>
          <c:tx>
            <c:strRef>
              <c:f>PivotTables!$I$3</c:f>
              <c:strCache>
                <c:ptCount val="1"/>
                <c:pt idx="0">
                  <c:v>Count of EmployeeID2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1B07-435D-B644-67C3DE7105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1B07-435D-B644-67C3DE7105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PivotTables!$G$4:$G$6</c:f>
              <c:strCache>
                <c:ptCount val="2"/>
                <c:pt idx="0">
                  <c:v>Yes</c:v>
                </c:pt>
                <c:pt idx="1">
                  <c:v>No</c:v>
                </c:pt>
              </c:strCache>
            </c:strRef>
          </c:cat>
          <c:val>
            <c:numRef>
              <c:f>PivotTables!$I$4:$I$6</c:f>
              <c:numCache>
                <c:formatCode>0.00%</c:formatCode>
                <c:ptCount val="2"/>
                <c:pt idx="0">
                  <c:v>0.16122448979591836</c:v>
                </c:pt>
                <c:pt idx="1">
                  <c:v>0.83877551020408159</c:v>
                </c:pt>
              </c:numCache>
            </c:numRef>
          </c:val>
          <c:extLst>
            <c:ext xmlns:c16="http://schemas.microsoft.com/office/drawing/2014/chart" uri="{C3380CC4-5D6E-409C-BE32-E72D297353CC}">
              <c16:uniqueId val="{00000009-1B07-435D-B644-67C3DE71055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23</xdr:row>
      <xdr:rowOff>0</xdr:rowOff>
    </xdr:from>
    <xdr:to>
      <xdr:col>6</xdr:col>
      <xdr:colOff>0</xdr:colOff>
      <xdr:row>38</xdr:row>
      <xdr:rowOff>900</xdr:rowOff>
    </xdr:to>
    <xdr:graphicFrame macro="">
      <xdr:nvGraphicFramePr>
        <xdr:cNvPr id="2" name="Chart 1">
          <a:extLst>
            <a:ext uri="{FF2B5EF4-FFF2-40B4-BE49-F238E27FC236}">
              <a16:creationId xmlns:a16="http://schemas.microsoft.com/office/drawing/2014/main" id="{AF31FEEA-3ECE-4958-834C-0F972CE5C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7</xdr:row>
      <xdr:rowOff>0</xdr:rowOff>
    </xdr:from>
    <xdr:to>
      <xdr:col>20</xdr:col>
      <xdr:colOff>0</xdr:colOff>
      <xdr:row>14</xdr:row>
      <xdr:rowOff>0</xdr:rowOff>
    </xdr:to>
    <mc:AlternateContent xmlns:mc="http://schemas.openxmlformats.org/markup-compatibility/2006">
      <mc:Choice xmlns:a14="http://schemas.microsoft.com/office/drawing/2010/main" Requires="a14">
        <xdr:graphicFrame macro="">
          <xdr:nvGraphicFramePr>
            <xdr:cNvPr id="6" name="Department 1">
              <a:extLst>
                <a:ext uri="{FF2B5EF4-FFF2-40B4-BE49-F238E27FC236}">
                  <a16:creationId xmlns:a16="http://schemas.microsoft.com/office/drawing/2014/main" id="{BF36007A-9ED5-4714-8235-6AF0125B828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010900" y="1781175"/>
              <a:ext cx="2743200" cy="12668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32</xdr:row>
      <xdr:rowOff>15875</xdr:rowOff>
    </xdr:from>
    <xdr:to>
      <xdr:col>20</xdr:col>
      <xdr:colOff>0</xdr:colOff>
      <xdr:row>38</xdr:row>
      <xdr:rowOff>0</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7AF268B8-AE24-4B6A-B65A-B55D1263B26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010900" y="6321425"/>
              <a:ext cx="2743200" cy="1069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15</xdr:row>
      <xdr:rowOff>0</xdr:rowOff>
    </xdr:from>
    <xdr:to>
      <xdr:col>20</xdr:col>
      <xdr:colOff>0</xdr:colOff>
      <xdr:row>31</xdr:row>
      <xdr:rowOff>0</xdr:rowOff>
    </xdr:to>
    <mc:AlternateContent xmlns:mc="http://schemas.openxmlformats.org/markup-compatibility/2006">
      <mc:Choice xmlns:a14="http://schemas.microsoft.com/office/drawing/2010/main" Requires="a14">
        <xdr:graphicFrame macro="">
          <xdr:nvGraphicFramePr>
            <xdr:cNvPr id="12" name="JobRole 1">
              <a:extLst>
                <a:ext uri="{FF2B5EF4-FFF2-40B4-BE49-F238E27FC236}">
                  <a16:creationId xmlns:a16="http://schemas.microsoft.com/office/drawing/2014/main" id="{EADD3DC9-A841-4FCB-91B1-BFB8A6D4FEE6}"/>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11010900" y="3228975"/>
              <a:ext cx="2743200" cy="28956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xdr:colOff>
      <xdr:row>7</xdr:row>
      <xdr:rowOff>0</xdr:rowOff>
    </xdr:from>
    <xdr:to>
      <xdr:col>14</xdr:col>
      <xdr:colOff>605117</xdr:colOff>
      <xdr:row>22</xdr:row>
      <xdr:rowOff>900</xdr:rowOff>
    </xdr:to>
    <xdr:graphicFrame macro="">
      <xdr:nvGraphicFramePr>
        <xdr:cNvPr id="13" name="Chart 12">
          <a:extLst>
            <a:ext uri="{FF2B5EF4-FFF2-40B4-BE49-F238E27FC236}">
              <a16:creationId xmlns:a16="http://schemas.microsoft.com/office/drawing/2014/main" id="{E3CD540B-87DB-46CB-8962-FCD17468D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22</xdr:row>
      <xdr:rowOff>190499</xdr:rowOff>
    </xdr:from>
    <xdr:to>
      <xdr:col>15</xdr:col>
      <xdr:colOff>1059</xdr:colOff>
      <xdr:row>38</xdr:row>
      <xdr:rowOff>899</xdr:rowOff>
    </xdr:to>
    <xdr:graphicFrame macro="">
      <xdr:nvGraphicFramePr>
        <xdr:cNvPr id="14" name="Chart 13">
          <a:extLst>
            <a:ext uri="{FF2B5EF4-FFF2-40B4-BE49-F238E27FC236}">
              <a16:creationId xmlns:a16="http://schemas.microsoft.com/office/drawing/2014/main" id="{9A8C25E4-7B60-4E2C-AD57-72E570527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xdr:colOff>
      <xdr:row>7</xdr:row>
      <xdr:rowOff>0</xdr:rowOff>
    </xdr:from>
    <xdr:to>
      <xdr:col>6</xdr:col>
      <xdr:colOff>0</xdr:colOff>
      <xdr:row>22</xdr:row>
      <xdr:rowOff>0</xdr:rowOff>
    </xdr:to>
    <xdr:graphicFrame macro="">
      <xdr:nvGraphicFramePr>
        <xdr:cNvPr id="3" name="Chart 2">
          <a:extLst>
            <a:ext uri="{FF2B5EF4-FFF2-40B4-BE49-F238E27FC236}">
              <a16:creationId xmlns:a16="http://schemas.microsoft.com/office/drawing/2014/main" id="{AFF4F05F-3E1B-4988-A86E-4056E8D16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kjordan Manaloto" refreshedDate="46046.6899962963" createdVersion="8" refreshedVersion="8" minRefreshableVersion="3" recordCount="1470" xr:uid="{E343DA1B-9DE8-45F9-BBC6-679B3BA54698}">
  <cacheSource type="worksheet">
    <worksheetSource name="Table2"/>
  </cacheSource>
  <cacheFields count="19">
    <cacheField name="EmployeeID" numFmtId="0">
      <sharedItems containsSemiMixedTypes="0" containsString="0" containsNumber="1" containsInteger="1" minValue="10041098" maxValue="89870835"/>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
        <rangePr autoStart="0" startNum="20" endNum="60" groupInterval="5"/>
        <groupItems count="10">
          <s v="&lt;20"/>
          <s v="20-24"/>
          <s v="25-29"/>
          <s v="30-34"/>
          <s v="35-39"/>
          <s v="40-44"/>
          <s v="45-49"/>
          <s v="50-54"/>
          <s v="55-60"/>
          <s v="&gt;60"/>
        </groupItems>
      </fieldGroup>
    </cacheField>
    <cacheField name="Gender" numFmtId="0">
      <sharedItems count="2">
        <s v="Female"/>
        <s v="Male"/>
      </sharedItems>
    </cacheField>
    <cacheField name="MaritalStatus" numFmtId="0">
      <sharedItems/>
    </cacheField>
    <cacheField name="Attrition" numFmtId="0">
      <sharedItems count="2">
        <s v="Yes"/>
        <s v="No"/>
      </sharedItems>
    </cacheField>
    <cacheField name="AttritionFlag" numFmtId="0">
      <sharedItems containsSemiMixedTypes="0" containsString="0" containsNumber="1" containsInteger="1" minValue="0" maxValue="1"/>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JobSatisfaction" numFmtId="0">
      <sharedItems containsSemiMixedTypes="0" containsString="0" containsNumber="1" containsInteger="1" minValue="1" maxValue="4"/>
    </cacheField>
    <cacheField name="MonthlyIncome" numFmtId="164">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3">
        <rangePr autoStart="0" autoEnd="0" startNum="1001" endNum="20000" groupInterval="3000"/>
        <groupItems count="9">
          <s v="&lt;1001"/>
          <s v="1001-4000"/>
          <s v="4001-7000"/>
          <s v="7001-10000"/>
          <s v="10001-13000"/>
          <s v="13001-16000"/>
          <s v="16001-19000"/>
          <s v="19001-22000"/>
          <s v="&gt;22001"/>
        </groupItems>
      </fieldGroup>
    </cacheField>
    <cacheField name="MonthlyIncomeGroup" numFmtId="164">
      <sharedItems count="5">
        <s v="$5001 - $9000"/>
        <s v="$1001 - $5000"/>
        <s v="$9001 - $13000"/>
        <s v="$13001 - $17000"/>
        <s v="$17001 - $21000"/>
      </sharedItems>
    </cacheField>
    <cacheField name="NumCompaniesWorked" numFmtId="0">
      <sharedItems containsSemiMixedTypes="0" containsString="0" containsNumber="1" containsInteger="1" minValue="0" maxValue="9"/>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17">
        <rangePr startNum="0" endNum="40" groupInterval="5"/>
        <groupItems count="10">
          <s v="&lt;0"/>
          <s v="0-4"/>
          <s v="5-9"/>
          <s v="10-14"/>
          <s v="15-19"/>
          <s v="20-24"/>
          <s v="25-29"/>
          <s v="30-34"/>
          <s v="35-40"/>
          <s v="&gt;40"/>
        </groupItems>
      </fieldGroup>
    </cacheField>
    <cacheField name="YearsAtCompanyGroup" numFmtId="0">
      <sharedItems count="9">
        <s v="5 - 10 Years"/>
        <s v="10 - 15 Years"/>
        <s v="0 - 5 Years"/>
        <s v="25 - 30 Years"/>
        <s v="20 - 25 Years"/>
        <s v="15 - 20 Years"/>
        <s v="35 - 40 Years"/>
        <s v="40+ Years"/>
        <s v="30 - 35 Years"/>
      </sharedItems>
    </cacheField>
  </cacheFields>
  <extLst>
    <ext xmlns:x14="http://schemas.microsoft.com/office/spreadsheetml/2009/9/main" uri="{725AE2AE-9491-48be-B2B4-4EB974FC3084}">
      <x14:pivotCacheDefinition pivotCacheId="25637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0969592"/>
    <x v="0"/>
    <x v="0"/>
    <s v="Single"/>
    <x v="0"/>
    <n v="1"/>
    <x v="0"/>
    <x v="0"/>
    <n v="1"/>
    <n v="2"/>
    <s v="Life Sciences"/>
    <n v="2"/>
    <n v="4"/>
    <x v="0"/>
    <x v="0"/>
    <n v="8"/>
    <n v="1"/>
    <x v="0"/>
    <x v="0"/>
  </r>
  <r>
    <n v="42652422"/>
    <x v="1"/>
    <x v="1"/>
    <s v="Married"/>
    <x v="1"/>
    <n v="0"/>
    <x v="1"/>
    <x v="1"/>
    <n v="8"/>
    <n v="1"/>
    <s v="Life Sciences"/>
    <n v="3"/>
    <n v="2"/>
    <x v="1"/>
    <x v="0"/>
    <n v="1"/>
    <n v="3"/>
    <x v="1"/>
    <x v="1"/>
  </r>
  <r>
    <n v="83476539"/>
    <x v="2"/>
    <x v="1"/>
    <s v="Single"/>
    <x v="0"/>
    <n v="1"/>
    <x v="2"/>
    <x v="1"/>
    <n v="2"/>
    <n v="2"/>
    <s v="Other"/>
    <n v="4"/>
    <n v="3"/>
    <x v="2"/>
    <x v="1"/>
    <n v="6"/>
    <n v="3"/>
    <x v="2"/>
    <x v="2"/>
  </r>
  <r>
    <n v="16114404"/>
    <x v="3"/>
    <x v="0"/>
    <s v="Married"/>
    <x v="1"/>
    <n v="0"/>
    <x v="1"/>
    <x v="1"/>
    <n v="3"/>
    <n v="4"/>
    <s v="Life Sciences"/>
    <n v="4"/>
    <n v="3"/>
    <x v="3"/>
    <x v="1"/>
    <n v="1"/>
    <n v="3"/>
    <x v="3"/>
    <x v="0"/>
  </r>
  <r>
    <n v="47388211"/>
    <x v="4"/>
    <x v="1"/>
    <s v="Married"/>
    <x v="1"/>
    <n v="0"/>
    <x v="2"/>
    <x v="1"/>
    <n v="2"/>
    <n v="1"/>
    <s v="Medical"/>
    <n v="1"/>
    <n v="2"/>
    <x v="4"/>
    <x v="1"/>
    <n v="9"/>
    <n v="3"/>
    <x v="4"/>
    <x v="2"/>
  </r>
  <r>
    <n v="53321192"/>
    <x v="5"/>
    <x v="1"/>
    <s v="Single"/>
    <x v="1"/>
    <n v="0"/>
    <x v="2"/>
    <x v="1"/>
    <n v="2"/>
    <n v="2"/>
    <s v="Life Sciences"/>
    <n v="4"/>
    <n v="4"/>
    <x v="5"/>
    <x v="1"/>
    <n v="0"/>
    <n v="2"/>
    <x v="5"/>
    <x v="0"/>
  </r>
  <r>
    <n v="54216927"/>
    <x v="6"/>
    <x v="0"/>
    <s v="Married"/>
    <x v="1"/>
    <n v="0"/>
    <x v="2"/>
    <x v="1"/>
    <n v="3"/>
    <n v="3"/>
    <s v="Medical"/>
    <n v="3"/>
    <n v="1"/>
    <x v="6"/>
    <x v="1"/>
    <n v="4"/>
    <n v="2"/>
    <x v="6"/>
    <x v="2"/>
  </r>
  <r>
    <n v="52208262"/>
    <x v="7"/>
    <x v="1"/>
    <s v="Divorced"/>
    <x v="1"/>
    <n v="0"/>
    <x v="2"/>
    <x v="1"/>
    <n v="24"/>
    <n v="1"/>
    <s v="Life Sciences"/>
    <n v="4"/>
    <n v="3"/>
    <x v="7"/>
    <x v="1"/>
    <n v="1"/>
    <n v="3"/>
    <x v="6"/>
    <x v="2"/>
  </r>
  <r>
    <n v="59009022"/>
    <x v="8"/>
    <x v="1"/>
    <s v="Single"/>
    <x v="1"/>
    <n v="0"/>
    <x v="3"/>
    <x v="1"/>
    <n v="23"/>
    <n v="3"/>
    <s v="Life Sciences"/>
    <n v="4"/>
    <n v="3"/>
    <x v="8"/>
    <x v="2"/>
    <n v="0"/>
    <n v="3"/>
    <x v="7"/>
    <x v="0"/>
  </r>
  <r>
    <n v="59640268"/>
    <x v="9"/>
    <x v="1"/>
    <s v="Married"/>
    <x v="1"/>
    <n v="0"/>
    <x v="4"/>
    <x v="1"/>
    <n v="27"/>
    <n v="3"/>
    <s v="Medical"/>
    <n v="3"/>
    <n v="3"/>
    <x v="9"/>
    <x v="0"/>
    <n v="6"/>
    <n v="2"/>
    <x v="5"/>
    <x v="0"/>
  </r>
  <r>
    <n v="71400736"/>
    <x v="10"/>
    <x v="1"/>
    <s v="Married"/>
    <x v="1"/>
    <n v="0"/>
    <x v="2"/>
    <x v="1"/>
    <n v="16"/>
    <n v="3"/>
    <s v="Medical"/>
    <n v="1"/>
    <n v="2"/>
    <x v="10"/>
    <x v="1"/>
    <n v="0"/>
    <n v="3"/>
    <x v="8"/>
    <x v="0"/>
  </r>
  <r>
    <n v="50018440"/>
    <x v="11"/>
    <x v="0"/>
    <s v="Single"/>
    <x v="1"/>
    <n v="0"/>
    <x v="2"/>
    <x v="1"/>
    <n v="15"/>
    <n v="2"/>
    <s v="Life Sciences"/>
    <n v="4"/>
    <n v="3"/>
    <x v="11"/>
    <x v="1"/>
    <n v="0"/>
    <n v="3"/>
    <x v="7"/>
    <x v="0"/>
  </r>
  <r>
    <n v="13501715"/>
    <x v="12"/>
    <x v="1"/>
    <s v="Divorced"/>
    <x v="1"/>
    <n v="0"/>
    <x v="1"/>
    <x v="1"/>
    <n v="26"/>
    <n v="1"/>
    <s v="Life Sciences"/>
    <n v="1"/>
    <n v="3"/>
    <x v="12"/>
    <x v="1"/>
    <n v="1"/>
    <n v="2"/>
    <x v="8"/>
    <x v="0"/>
  </r>
  <r>
    <n v="89870835"/>
    <x v="13"/>
    <x v="1"/>
    <s v="Divorced"/>
    <x v="1"/>
    <n v="0"/>
    <x v="2"/>
    <x v="1"/>
    <n v="19"/>
    <n v="2"/>
    <s v="Medical"/>
    <n v="2"/>
    <n v="4"/>
    <x v="13"/>
    <x v="1"/>
    <n v="0"/>
    <n v="3"/>
    <x v="4"/>
    <x v="2"/>
  </r>
  <r>
    <n v="49334147"/>
    <x v="14"/>
    <x v="1"/>
    <s v="Single"/>
    <x v="0"/>
    <n v="1"/>
    <x v="2"/>
    <x v="1"/>
    <n v="24"/>
    <n v="3"/>
    <s v="Life Sciences"/>
    <n v="3"/>
    <n v="3"/>
    <x v="14"/>
    <x v="1"/>
    <n v="5"/>
    <n v="3"/>
    <x v="9"/>
    <x v="2"/>
  </r>
  <r>
    <n v="58384894"/>
    <x v="11"/>
    <x v="0"/>
    <s v="Divorced"/>
    <x v="1"/>
    <n v="0"/>
    <x v="3"/>
    <x v="1"/>
    <n v="21"/>
    <n v="4"/>
    <s v="Life Sciences"/>
    <n v="2"/>
    <n v="1"/>
    <x v="15"/>
    <x v="2"/>
    <n v="1"/>
    <n v="3"/>
    <x v="1"/>
    <x v="1"/>
  </r>
  <r>
    <n v="34744758"/>
    <x v="5"/>
    <x v="1"/>
    <s v="Divorced"/>
    <x v="1"/>
    <n v="0"/>
    <x v="1"/>
    <x v="1"/>
    <n v="5"/>
    <n v="2"/>
    <s v="Life Sciences"/>
    <n v="1"/>
    <n v="2"/>
    <x v="16"/>
    <x v="1"/>
    <n v="0"/>
    <n v="2"/>
    <x v="0"/>
    <x v="0"/>
  </r>
  <r>
    <n v="44353582"/>
    <x v="15"/>
    <x v="1"/>
    <s v="Divorced"/>
    <x v="1"/>
    <n v="0"/>
    <x v="2"/>
    <x v="1"/>
    <n v="16"/>
    <n v="2"/>
    <s v="Medical"/>
    <n v="4"/>
    <n v="4"/>
    <x v="17"/>
    <x v="1"/>
    <n v="1"/>
    <n v="2"/>
    <x v="6"/>
    <x v="2"/>
  </r>
  <r>
    <n v="34548606"/>
    <x v="16"/>
    <x v="0"/>
    <s v="Married"/>
    <x v="1"/>
    <n v="0"/>
    <x v="5"/>
    <x v="0"/>
    <n v="2"/>
    <n v="4"/>
    <s v="Life Sciences"/>
    <n v="1"/>
    <n v="4"/>
    <x v="18"/>
    <x v="3"/>
    <n v="2"/>
    <n v="3"/>
    <x v="10"/>
    <x v="3"/>
  </r>
  <r>
    <n v="10822994"/>
    <x v="8"/>
    <x v="1"/>
    <s v="Single"/>
    <x v="1"/>
    <n v="0"/>
    <x v="1"/>
    <x v="1"/>
    <n v="2"/>
    <n v="3"/>
    <s v="Life Sciences"/>
    <n v="4"/>
    <n v="4"/>
    <x v="19"/>
    <x v="1"/>
    <n v="5"/>
    <n v="3"/>
    <x v="11"/>
    <x v="2"/>
  </r>
  <r>
    <n v="28343940"/>
    <x v="17"/>
    <x v="0"/>
    <s v="Divorced"/>
    <x v="1"/>
    <n v="0"/>
    <x v="3"/>
    <x v="1"/>
    <n v="11"/>
    <n v="2"/>
    <s v="Other"/>
    <n v="1"/>
    <n v="3"/>
    <x v="20"/>
    <x v="1"/>
    <n v="0"/>
    <n v="2"/>
    <x v="9"/>
    <x v="2"/>
  </r>
  <r>
    <n v="85073438"/>
    <x v="9"/>
    <x v="1"/>
    <s v="Single"/>
    <x v="0"/>
    <n v="1"/>
    <x v="6"/>
    <x v="0"/>
    <n v="9"/>
    <n v="4"/>
    <s v="Life Sciences"/>
    <n v="3"/>
    <n v="1"/>
    <x v="21"/>
    <x v="1"/>
    <n v="7"/>
    <n v="3"/>
    <x v="8"/>
    <x v="0"/>
  </r>
  <r>
    <n v="77328218"/>
    <x v="13"/>
    <x v="0"/>
    <s v="Single"/>
    <x v="1"/>
    <n v="0"/>
    <x v="7"/>
    <x v="1"/>
    <n v="7"/>
    <n v="4"/>
    <s v="Life Sciences"/>
    <n v="1"/>
    <n v="2"/>
    <x v="22"/>
    <x v="2"/>
    <n v="0"/>
    <n v="3"/>
    <x v="12"/>
    <x v="1"/>
  </r>
  <r>
    <n v="31809771"/>
    <x v="18"/>
    <x v="1"/>
    <s v="Single"/>
    <x v="1"/>
    <n v="0"/>
    <x v="1"/>
    <x v="1"/>
    <n v="15"/>
    <n v="2"/>
    <s v="Life Sciences"/>
    <n v="3"/>
    <n v="4"/>
    <x v="23"/>
    <x v="1"/>
    <n v="1"/>
    <n v="3"/>
    <x v="2"/>
    <x v="2"/>
  </r>
  <r>
    <n v="19540912"/>
    <x v="13"/>
    <x v="1"/>
    <s v="Single"/>
    <x v="0"/>
    <n v="1"/>
    <x v="1"/>
    <x v="1"/>
    <n v="6"/>
    <n v="1"/>
    <s v="Medical"/>
    <n v="2"/>
    <n v="1"/>
    <x v="24"/>
    <x v="1"/>
    <n v="2"/>
    <n v="3"/>
    <x v="9"/>
    <x v="2"/>
  </r>
  <r>
    <n v="22563839"/>
    <x v="16"/>
    <x v="0"/>
    <s v="Divorced"/>
    <x v="1"/>
    <n v="0"/>
    <x v="5"/>
    <x v="1"/>
    <n v="5"/>
    <n v="3"/>
    <s v="Other"/>
    <n v="3"/>
    <n v="3"/>
    <x v="25"/>
    <x v="4"/>
    <n v="4"/>
    <n v="2"/>
    <x v="13"/>
    <x v="1"/>
  </r>
  <r>
    <n v="63449761"/>
    <x v="5"/>
    <x v="0"/>
    <s v="Single"/>
    <x v="0"/>
    <n v="1"/>
    <x v="1"/>
    <x v="1"/>
    <n v="16"/>
    <n v="1"/>
    <s v="Life Sciences"/>
    <n v="2"/>
    <n v="1"/>
    <x v="26"/>
    <x v="1"/>
    <n v="1"/>
    <n v="3"/>
    <x v="1"/>
    <x v="1"/>
  </r>
  <r>
    <n v="68162395"/>
    <x v="19"/>
    <x v="1"/>
    <s v="Married"/>
    <x v="1"/>
    <n v="0"/>
    <x v="0"/>
    <x v="0"/>
    <n v="8"/>
    <n v="4"/>
    <s v="Marketing"/>
    <n v="3"/>
    <n v="2"/>
    <x v="27"/>
    <x v="0"/>
    <n v="0"/>
    <n v="3"/>
    <x v="7"/>
    <x v="0"/>
  </r>
  <r>
    <n v="41225497"/>
    <x v="20"/>
    <x v="0"/>
    <s v="Married"/>
    <x v="1"/>
    <n v="0"/>
    <x v="4"/>
    <x v="1"/>
    <n v="7"/>
    <n v="4"/>
    <s v="Medical"/>
    <n v="1"/>
    <n v="4"/>
    <x v="28"/>
    <x v="2"/>
    <n v="3"/>
    <n v="3"/>
    <x v="14"/>
    <x v="4"/>
  </r>
  <r>
    <n v="12900289"/>
    <x v="21"/>
    <x v="0"/>
    <s v="Single"/>
    <x v="1"/>
    <n v="0"/>
    <x v="5"/>
    <x v="0"/>
    <n v="2"/>
    <n v="4"/>
    <s v="Marketing"/>
    <n v="2"/>
    <n v="1"/>
    <x v="29"/>
    <x v="4"/>
    <n v="3"/>
    <n v="2"/>
    <x v="4"/>
    <x v="2"/>
  </r>
  <r>
    <n v="24528727"/>
    <x v="3"/>
    <x v="1"/>
    <s v="Single"/>
    <x v="1"/>
    <n v="0"/>
    <x v="2"/>
    <x v="1"/>
    <n v="2"/>
    <n v="3"/>
    <s v="Medical"/>
    <n v="3"/>
    <n v="4"/>
    <x v="30"/>
    <x v="1"/>
    <n v="4"/>
    <n v="3"/>
    <x v="6"/>
    <x v="2"/>
  </r>
  <r>
    <n v="33122893"/>
    <x v="20"/>
    <x v="1"/>
    <s v="Married"/>
    <x v="1"/>
    <n v="0"/>
    <x v="4"/>
    <x v="1"/>
    <n v="10"/>
    <n v="4"/>
    <s v="Other"/>
    <n v="4"/>
    <n v="4"/>
    <x v="31"/>
    <x v="0"/>
    <n v="2"/>
    <n v="4"/>
    <x v="9"/>
    <x v="2"/>
  </r>
  <r>
    <n v="23769257"/>
    <x v="7"/>
    <x v="1"/>
    <s v="Single"/>
    <x v="1"/>
    <n v="0"/>
    <x v="2"/>
    <x v="1"/>
    <n v="9"/>
    <n v="2"/>
    <s v="Medical"/>
    <n v="4"/>
    <n v="3"/>
    <x v="32"/>
    <x v="1"/>
    <n v="1"/>
    <n v="3"/>
    <x v="1"/>
    <x v="1"/>
  </r>
  <r>
    <n v="14060586"/>
    <x v="22"/>
    <x v="1"/>
    <s v="Married"/>
    <x v="0"/>
    <n v="1"/>
    <x v="6"/>
    <x v="0"/>
    <n v="5"/>
    <n v="3"/>
    <s v="Technical Degree"/>
    <n v="4"/>
    <n v="4"/>
    <x v="33"/>
    <x v="1"/>
    <n v="3"/>
    <n v="4"/>
    <x v="6"/>
    <x v="2"/>
  </r>
  <r>
    <n v="80493699"/>
    <x v="17"/>
    <x v="1"/>
    <s v="Married"/>
    <x v="0"/>
    <n v="1"/>
    <x v="1"/>
    <x v="1"/>
    <n v="1"/>
    <n v="3"/>
    <s v="Medical"/>
    <n v="2"/>
    <n v="4"/>
    <x v="34"/>
    <x v="1"/>
    <n v="2"/>
    <n v="2"/>
    <x v="4"/>
    <x v="2"/>
  </r>
  <r>
    <n v="36663195"/>
    <x v="23"/>
    <x v="0"/>
    <s v="Divorced"/>
    <x v="1"/>
    <n v="0"/>
    <x v="1"/>
    <x v="1"/>
    <n v="2"/>
    <n v="2"/>
    <s v="Medical"/>
    <n v="4"/>
    <n v="3"/>
    <x v="35"/>
    <x v="1"/>
    <n v="1"/>
    <n v="2"/>
    <x v="8"/>
    <x v="0"/>
  </r>
  <r>
    <n v="24560198"/>
    <x v="24"/>
    <x v="1"/>
    <s v="Married"/>
    <x v="0"/>
    <n v="1"/>
    <x v="6"/>
    <x v="0"/>
    <n v="3"/>
    <n v="2"/>
    <s v="Marketing"/>
    <n v="1"/>
    <n v="3"/>
    <x v="36"/>
    <x v="1"/>
    <n v="1"/>
    <n v="3"/>
    <x v="11"/>
    <x v="2"/>
  </r>
  <r>
    <n v="64007458"/>
    <x v="10"/>
    <x v="0"/>
    <s v="Married"/>
    <x v="1"/>
    <n v="0"/>
    <x v="6"/>
    <x v="0"/>
    <n v="2"/>
    <n v="3"/>
    <s v="Marketing"/>
    <n v="4"/>
    <n v="4"/>
    <x v="37"/>
    <x v="1"/>
    <n v="1"/>
    <n v="3"/>
    <x v="4"/>
    <x v="2"/>
  </r>
  <r>
    <n v="30939375"/>
    <x v="9"/>
    <x v="0"/>
    <s v="Married"/>
    <x v="1"/>
    <n v="0"/>
    <x v="1"/>
    <x v="1"/>
    <n v="5"/>
    <n v="4"/>
    <s v="Life Sciences"/>
    <n v="2"/>
    <n v="1"/>
    <x v="38"/>
    <x v="1"/>
    <n v="9"/>
    <n v="4"/>
    <x v="6"/>
    <x v="2"/>
  </r>
  <r>
    <n v="51323548"/>
    <x v="3"/>
    <x v="0"/>
    <s v="Married"/>
    <x v="1"/>
    <n v="0"/>
    <x v="0"/>
    <x v="0"/>
    <n v="1"/>
    <n v="3"/>
    <s v="Life Sciences"/>
    <n v="3"/>
    <n v="1"/>
    <x v="39"/>
    <x v="0"/>
    <n v="2"/>
    <n v="3"/>
    <x v="8"/>
    <x v="0"/>
  </r>
  <r>
    <n v="55057357"/>
    <x v="10"/>
    <x v="1"/>
    <s v="Divorced"/>
    <x v="1"/>
    <n v="0"/>
    <x v="2"/>
    <x v="1"/>
    <n v="4"/>
    <n v="2"/>
    <s v="Other"/>
    <n v="3"/>
    <n v="4"/>
    <x v="40"/>
    <x v="1"/>
    <n v="1"/>
    <n v="3"/>
    <x v="6"/>
    <x v="2"/>
  </r>
  <r>
    <n v="16986920"/>
    <x v="4"/>
    <x v="0"/>
    <s v="Divorced"/>
    <x v="1"/>
    <n v="0"/>
    <x v="2"/>
    <x v="1"/>
    <n v="2"/>
    <n v="4"/>
    <s v="Life Sciences"/>
    <n v="4"/>
    <n v="1"/>
    <x v="41"/>
    <x v="1"/>
    <n v="1"/>
    <n v="3"/>
    <x v="6"/>
    <x v="2"/>
  </r>
  <r>
    <n v="88807851"/>
    <x v="25"/>
    <x v="1"/>
    <s v="Single"/>
    <x v="0"/>
    <n v="1"/>
    <x v="2"/>
    <x v="1"/>
    <n v="25"/>
    <n v="3"/>
    <s v="Life Sciences"/>
    <n v="1"/>
    <n v="3"/>
    <x v="34"/>
    <x v="1"/>
    <n v="1"/>
    <n v="2"/>
    <x v="6"/>
    <x v="2"/>
  </r>
  <r>
    <n v="16039287"/>
    <x v="4"/>
    <x v="1"/>
    <s v="Single"/>
    <x v="1"/>
    <n v="0"/>
    <x v="0"/>
    <x v="0"/>
    <n v="8"/>
    <n v="3"/>
    <s v="Life Sciences"/>
    <n v="4"/>
    <n v="3"/>
    <x v="42"/>
    <x v="0"/>
    <n v="1"/>
    <n v="3"/>
    <x v="7"/>
    <x v="0"/>
  </r>
  <r>
    <n v="29303442"/>
    <x v="7"/>
    <x v="0"/>
    <s v="Single"/>
    <x v="1"/>
    <n v="0"/>
    <x v="2"/>
    <x v="1"/>
    <n v="1"/>
    <n v="2"/>
    <s v="Medical"/>
    <n v="3"/>
    <n v="4"/>
    <x v="20"/>
    <x v="1"/>
    <n v="1"/>
    <n v="3"/>
    <x v="12"/>
    <x v="1"/>
  </r>
  <r>
    <n v="16844141"/>
    <x v="0"/>
    <x v="0"/>
    <s v="Married"/>
    <x v="0"/>
    <n v="1"/>
    <x v="7"/>
    <x v="1"/>
    <n v="12"/>
    <n v="3"/>
    <s v="Technical Degree"/>
    <n v="2"/>
    <n v="3"/>
    <x v="43"/>
    <x v="4"/>
    <n v="1"/>
    <n v="3"/>
    <x v="14"/>
    <x v="4"/>
  </r>
  <r>
    <n v="26976359"/>
    <x v="13"/>
    <x v="1"/>
    <s v="Single"/>
    <x v="1"/>
    <n v="0"/>
    <x v="0"/>
    <x v="0"/>
    <n v="23"/>
    <n v="4"/>
    <s v="Marketing"/>
    <n v="2"/>
    <n v="3"/>
    <x v="44"/>
    <x v="1"/>
    <n v="0"/>
    <n v="3"/>
    <x v="7"/>
    <x v="0"/>
  </r>
  <r>
    <n v="65370780"/>
    <x v="2"/>
    <x v="1"/>
    <s v="Married"/>
    <x v="1"/>
    <n v="0"/>
    <x v="1"/>
    <x v="1"/>
    <n v="19"/>
    <n v="2"/>
    <s v="Life Sciences"/>
    <n v="2"/>
    <n v="2"/>
    <x v="45"/>
    <x v="1"/>
    <n v="4"/>
    <n v="3"/>
    <x v="6"/>
    <x v="2"/>
  </r>
  <r>
    <n v="47467991"/>
    <x v="21"/>
    <x v="1"/>
    <s v="Single"/>
    <x v="1"/>
    <n v="0"/>
    <x v="0"/>
    <x v="0"/>
    <n v="5"/>
    <n v="4"/>
    <s v="Marketing"/>
    <n v="1"/>
    <n v="4"/>
    <x v="46"/>
    <x v="0"/>
    <n v="4"/>
    <n v="3"/>
    <x v="7"/>
    <x v="0"/>
  </r>
  <r>
    <n v="10041098"/>
    <x v="10"/>
    <x v="1"/>
    <s v="Married"/>
    <x v="1"/>
    <n v="0"/>
    <x v="2"/>
    <x v="1"/>
    <n v="8"/>
    <n v="1"/>
    <s v="Life Sciences"/>
    <n v="4"/>
    <n v="4"/>
    <x v="47"/>
    <x v="1"/>
    <n v="1"/>
    <n v="3"/>
    <x v="6"/>
    <x v="2"/>
  </r>
  <r>
    <n v="54798524"/>
    <x v="26"/>
    <x v="1"/>
    <s v="Single"/>
    <x v="0"/>
    <n v="1"/>
    <x v="2"/>
    <x v="1"/>
    <n v="1"/>
    <n v="2"/>
    <s v="Life Sciences"/>
    <n v="1"/>
    <n v="3"/>
    <x v="48"/>
    <x v="0"/>
    <n v="9"/>
    <n v="3"/>
    <x v="6"/>
    <x v="2"/>
  </r>
  <r>
    <n v="82129368"/>
    <x v="14"/>
    <x v="1"/>
    <s v="Single"/>
    <x v="0"/>
    <n v="1"/>
    <x v="2"/>
    <x v="1"/>
    <n v="5"/>
    <n v="4"/>
    <s v="Technical Degree"/>
    <n v="3"/>
    <n v="3"/>
    <x v="49"/>
    <x v="1"/>
    <n v="1"/>
    <n v="2"/>
    <x v="4"/>
    <x v="2"/>
  </r>
  <r>
    <n v="79887047"/>
    <x v="20"/>
    <x v="0"/>
    <s v="Divorced"/>
    <x v="1"/>
    <n v="0"/>
    <x v="0"/>
    <x v="0"/>
    <n v="1"/>
    <n v="5"/>
    <s v="Marketing"/>
    <n v="2"/>
    <n v="1"/>
    <x v="50"/>
    <x v="0"/>
    <n v="5"/>
    <n v="2"/>
    <x v="9"/>
    <x v="2"/>
  </r>
  <r>
    <n v="35902546"/>
    <x v="10"/>
    <x v="1"/>
    <s v="Married"/>
    <x v="1"/>
    <n v="0"/>
    <x v="4"/>
    <x v="1"/>
    <n v="11"/>
    <n v="2"/>
    <s v="Medical"/>
    <n v="3"/>
    <n v="1"/>
    <x v="51"/>
    <x v="2"/>
    <n v="2"/>
    <n v="3"/>
    <x v="9"/>
    <x v="2"/>
  </r>
  <r>
    <n v="36731955"/>
    <x v="25"/>
    <x v="0"/>
    <s v="Married"/>
    <x v="1"/>
    <n v="0"/>
    <x v="0"/>
    <x v="0"/>
    <n v="23"/>
    <n v="3"/>
    <s v="Marketing"/>
    <n v="3"/>
    <n v="4"/>
    <x v="52"/>
    <x v="1"/>
    <n v="7"/>
    <n v="2"/>
    <x v="4"/>
    <x v="2"/>
  </r>
  <r>
    <n v="45224123"/>
    <x v="3"/>
    <x v="0"/>
    <s v="Single"/>
    <x v="1"/>
    <n v="0"/>
    <x v="7"/>
    <x v="1"/>
    <n v="1"/>
    <n v="2"/>
    <s v="Life Sciences"/>
    <n v="1"/>
    <n v="4"/>
    <x v="53"/>
    <x v="3"/>
    <n v="1"/>
    <n v="3"/>
    <x v="15"/>
    <x v="5"/>
  </r>
  <r>
    <n v="31281075"/>
    <x v="10"/>
    <x v="1"/>
    <s v="Married"/>
    <x v="1"/>
    <n v="0"/>
    <x v="0"/>
    <x v="0"/>
    <n v="18"/>
    <n v="5"/>
    <s v="Life Sciences"/>
    <n v="2"/>
    <n v="1"/>
    <x v="54"/>
    <x v="2"/>
    <n v="1"/>
    <n v="2"/>
    <x v="7"/>
    <x v="0"/>
  </r>
  <r>
    <n v="32086156"/>
    <x v="10"/>
    <x v="0"/>
    <s v="Married"/>
    <x v="1"/>
    <n v="0"/>
    <x v="2"/>
    <x v="1"/>
    <n v="23"/>
    <n v="4"/>
    <s v="Medical"/>
    <n v="3"/>
    <n v="1"/>
    <x v="55"/>
    <x v="1"/>
    <n v="3"/>
    <n v="3"/>
    <x v="4"/>
    <x v="2"/>
  </r>
  <r>
    <n v="36680747"/>
    <x v="12"/>
    <x v="1"/>
    <s v="Divorced"/>
    <x v="1"/>
    <n v="0"/>
    <x v="2"/>
    <x v="1"/>
    <n v="7"/>
    <n v="4"/>
    <s v="Life Sciences"/>
    <n v="4"/>
    <n v="4"/>
    <x v="56"/>
    <x v="0"/>
    <n v="3"/>
    <n v="2"/>
    <x v="5"/>
    <x v="0"/>
  </r>
  <r>
    <n v="48950818"/>
    <x v="2"/>
    <x v="1"/>
    <s v="Divorced"/>
    <x v="1"/>
    <n v="0"/>
    <x v="3"/>
    <x v="1"/>
    <n v="1"/>
    <n v="4"/>
    <s v="Life Sciences"/>
    <n v="1"/>
    <n v="3"/>
    <x v="0"/>
    <x v="0"/>
    <n v="1"/>
    <n v="4"/>
    <x v="5"/>
    <x v="0"/>
  </r>
  <r>
    <n v="49713929"/>
    <x v="5"/>
    <x v="1"/>
    <s v="Married"/>
    <x v="1"/>
    <n v="0"/>
    <x v="3"/>
    <x v="1"/>
    <n v="1"/>
    <n v="3"/>
    <s v="Medical"/>
    <n v="1"/>
    <n v="4"/>
    <x v="57"/>
    <x v="0"/>
    <n v="1"/>
    <n v="3"/>
    <x v="7"/>
    <x v="0"/>
  </r>
  <r>
    <n v="52055487"/>
    <x v="8"/>
    <x v="0"/>
    <s v="Single"/>
    <x v="1"/>
    <n v="0"/>
    <x v="2"/>
    <x v="1"/>
    <n v="29"/>
    <n v="5"/>
    <s v="Life Sciences"/>
    <n v="4"/>
    <n v="4"/>
    <x v="58"/>
    <x v="1"/>
    <n v="1"/>
    <n v="3"/>
    <x v="1"/>
    <x v="1"/>
  </r>
  <r>
    <n v="67483153"/>
    <x v="24"/>
    <x v="0"/>
    <s v="Divorced"/>
    <x v="1"/>
    <n v="0"/>
    <x v="7"/>
    <x v="1"/>
    <n v="7"/>
    <n v="2"/>
    <s v="Medical"/>
    <n v="2"/>
    <n v="3"/>
    <x v="59"/>
    <x v="4"/>
    <n v="5"/>
    <n v="2"/>
    <x v="16"/>
    <x v="3"/>
  </r>
  <r>
    <n v="44378664"/>
    <x v="6"/>
    <x v="0"/>
    <s v="Single"/>
    <x v="1"/>
    <n v="0"/>
    <x v="0"/>
    <x v="0"/>
    <n v="25"/>
    <n v="3"/>
    <s v="Life Sciences"/>
    <n v="1"/>
    <n v="1"/>
    <x v="60"/>
    <x v="0"/>
    <n v="7"/>
    <n v="2"/>
    <x v="17"/>
    <x v="4"/>
  </r>
  <r>
    <n v="37851200"/>
    <x v="9"/>
    <x v="0"/>
    <s v="Divorced"/>
    <x v="1"/>
    <n v="0"/>
    <x v="4"/>
    <x v="1"/>
    <n v="8"/>
    <n v="3"/>
    <s v="Technical Degree"/>
    <n v="3"/>
    <n v="3"/>
    <x v="61"/>
    <x v="2"/>
    <n v="1"/>
    <n v="3"/>
    <x v="18"/>
    <x v="5"/>
  </r>
  <r>
    <n v="81609955"/>
    <x v="27"/>
    <x v="0"/>
    <s v="Divorced"/>
    <x v="1"/>
    <n v="0"/>
    <x v="5"/>
    <x v="1"/>
    <n v="8"/>
    <n v="3"/>
    <s v="Medical"/>
    <n v="4"/>
    <n v="3"/>
    <x v="62"/>
    <x v="3"/>
    <n v="2"/>
    <n v="3"/>
    <x v="8"/>
    <x v="0"/>
  </r>
  <r>
    <n v="73780446"/>
    <x v="9"/>
    <x v="1"/>
    <s v="Single"/>
    <x v="1"/>
    <n v="0"/>
    <x v="3"/>
    <x v="1"/>
    <n v="11"/>
    <n v="3"/>
    <s v="Life Sciences"/>
    <n v="2"/>
    <n v="2"/>
    <x v="63"/>
    <x v="0"/>
    <n v="1"/>
    <n v="3"/>
    <x v="0"/>
    <x v="0"/>
  </r>
  <r>
    <n v="14316835"/>
    <x v="28"/>
    <x v="1"/>
    <s v="Divorced"/>
    <x v="1"/>
    <n v="0"/>
    <x v="1"/>
    <x v="1"/>
    <n v="7"/>
    <n v="3"/>
    <s v="Life Sciences"/>
    <n v="2"/>
    <n v="1"/>
    <x v="64"/>
    <x v="2"/>
    <n v="2"/>
    <n v="3"/>
    <x v="6"/>
    <x v="2"/>
  </r>
  <r>
    <n v="86321277"/>
    <x v="10"/>
    <x v="1"/>
    <s v="Married"/>
    <x v="1"/>
    <n v="0"/>
    <x v="1"/>
    <x v="1"/>
    <n v="1"/>
    <n v="3"/>
    <s v="Medical"/>
    <n v="2"/>
    <n v="1"/>
    <x v="65"/>
    <x v="1"/>
    <n v="4"/>
    <n v="2"/>
    <x v="11"/>
    <x v="2"/>
  </r>
  <r>
    <n v="64519051"/>
    <x v="9"/>
    <x v="1"/>
    <s v="Married"/>
    <x v="0"/>
    <n v="1"/>
    <x v="1"/>
    <x v="1"/>
    <n v="9"/>
    <n v="3"/>
    <s v="Medical"/>
    <n v="4"/>
    <n v="3"/>
    <x v="66"/>
    <x v="1"/>
    <n v="0"/>
    <n v="2"/>
    <x v="6"/>
    <x v="2"/>
  </r>
  <r>
    <n v="36060947"/>
    <x v="6"/>
    <x v="0"/>
    <s v="Single"/>
    <x v="1"/>
    <n v="0"/>
    <x v="0"/>
    <x v="0"/>
    <n v="1"/>
    <n v="1"/>
    <s v="Life Sciences"/>
    <n v="1"/>
    <n v="3"/>
    <x v="67"/>
    <x v="0"/>
    <n v="7"/>
    <n v="2"/>
    <x v="9"/>
    <x v="2"/>
  </r>
  <r>
    <n v="18134134"/>
    <x v="11"/>
    <x v="1"/>
    <s v="Married"/>
    <x v="1"/>
    <n v="0"/>
    <x v="1"/>
    <x v="1"/>
    <n v="2"/>
    <n v="3"/>
    <s v="Life Sciences"/>
    <n v="3"/>
    <n v="2"/>
    <x v="68"/>
    <x v="1"/>
    <n v="0"/>
    <n v="3"/>
    <x v="8"/>
    <x v="0"/>
  </r>
  <r>
    <n v="32968032"/>
    <x v="12"/>
    <x v="1"/>
    <s v="Single"/>
    <x v="1"/>
    <n v="0"/>
    <x v="1"/>
    <x v="1"/>
    <n v="1"/>
    <n v="4"/>
    <s v="Medical"/>
    <n v="3"/>
    <n v="2"/>
    <x v="69"/>
    <x v="1"/>
    <n v="1"/>
    <n v="3"/>
    <x v="6"/>
    <x v="2"/>
  </r>
  <r>
    <n v="55568284"/>
    <x v="5"/>
    <x v="1"/>
    <s v="Married"/>
    <x v="1"/>
    <n v="0"/>
    <x v="1"/>
    <x v="1"/>
    <n v="1"/>
    <n v="3"/>
    <s v="Life Sciences"/>
    <n v="2"/>
    <n v="2"/>
    <x v="70"/>
    <x v="0"/>
    <n v="1"/>
    <n v="3"/>
    <x v="1"/>
    <x v="1"/>
  </r>
  <r>
    <n v="79437038"/>
    <x v="9"/>
    <x v="0"/>
    <s v="Married"/>
    <x v="1"/>
    <n v="0"/>
    <x v="2"/>
    <x v="1"/>
    <n v="6"/>
    <n v="3"/>
    <s v="Life Sciences"/>
    <n v="2"/>
    <n v="4"/>
    <x v="71"/>
    <x v="1"/>
    <n v="3"/>
    <n v="3"/>
    <x v="6"/>
    <x v="2"/>
  </r>
  <r>
    <n v="88408940"/>
    <x v="12"/>
    <x v="0"/>
    <s v="Single"/>
    <x v="1"/>
    <n v="0"/>
    <x v="3"/>
    <x v="1"/>
    <n v="8"/>
    <n v="4"/>
    <s v="Life Sciences"/>
    <n v="3"/>
    <n v="4"/>
    <x v="72"/>
    <x v="1"/>
    <n v="1"/>
    <n v="3"/>
    <x v="19"/>
    <x v="1"/>
  </r>
  <r>
    <n v="88167069"/>
    <x v="10"/>
    <x v="1"/>
    <s v="Single"/>
    <x v="1"/>
    <n v="0"/>
    <x v="0"/>
    <x v="0"/>
    <n v="1"/>
    <n v="4"/>
    <s v="Marketing"/>
    <n v="3"/>
    <n v="1"/>
    <x v="73"/>
    <x v="1"/>
    <n v="0"/>
    <n v="3"/>
    <x v="15"/>
    <x v="5"/>
  </r>
  <r>
    <n v="51195072"/>
    <x v="28"/>
    <x v="1"/>
    <s v="Married"/>
    <x v="1"/>
    <n v="0"/>
    <x v="7"/>
    <x v="1"/>
    <n v="6"/>
    <n v="4"/>
    <s v="Other"/>
    <n v="4"/>
    <n v="1"/>
    <x v="74"/>
    <x v="3"/>
    <n v="4"/>
    <n v="4"/>
    <x v="2"/>
    <x v="2"/>
  </r>
  <r>
    <n v="61456560"/>
    <x v="2"/>
    <x v="1"/>
    <s v="Single"/>
    <x v="1"/>
    <n v="0"/>
    <x v="7"/>
    <x v="1"/>
    <n v="7"/>
    <n v="4"/>
    <s v="Medical"/>
    <n v="1"/>
    <n v="3"/>
    <x v="75"/>
    <x v="3"/>
    <n v="4"/>
    <n v="4"/>
    <x v="8"/>
    <x v="0"/>
  </r>
  <r>
    <n v="87024060"/>
    <x v="21"/>
    <x v="1"/>
    <s v="Divorced"/>
    <x v="1"/>
    <n v="0"/>
    <x v="8"/>
    <x v="2"/>
    <n v="5"/>
    <n v="2"/>
    <s v="Medical"/>
    <n v="2"/>
    <n v="2"/>
    <x v="76"/>
    <x v="0"/>
    <n v="8"/>
    <n v="3"/>
    <x v="9"/>
    <x v="2"/>
  </r>
  <r>
    <n v="75028314"/>
    <x v="7"/>
    <x v="1"/>
    <s v="Married"/>
    <x v="1"/>
    <n v="0"/>
    <x v="2"/>
    <x v="1"/>
    <n v="1"/>
    <n v="1"/>
    <s v="Life Sciences"/>
    <n v="4"/>
    <n v="4"/>
    <x v="77"/>
    <x v="0"/>
    <n v="1"/>
    <n v="2"/>
    <x v="1"/>
    <x v="1"/>
  </r>
  <r>
    <n v="83683952"/>
    <x v="10"/>
    <x v="1"/>
    <s v="Single"/>
    <x v="1"/>
    <n v="0"/>
    <x v="1"/>
    <x v="1"/>
    <n v="1"/>
    <n v="3"/>
    <s v="Medical"/>
    <n v="2"/>
    <n v="3"/>
    <x v="78"/>
    <x v="1"/>
    <n v="1"/>
    <n v="3"/>
    <x v="0"/>
    <x v="0"/>
  </r>
  <r>
    <n v="81039627"/>
    <x v="27"/>
    <x v="1"/>
    <s v="Married"/>
    <x v="1"/>
    <n v="0"/>
    <x v="0"/>
    <x v="0"/>
    <n v="1"/>
    <n v="2"/>
    <s v="Life Sciences"/>
    <n v="1"/>
    <n v="4"/>
    <x v="79"/>
    <x v="2"/>
    <n v="3"/>
    <n v="3"/>
    <x v="6"/>
    <x v="2"/>
  </r>
  <r>
    <n v="22375312"/>
    <x v="8"/>
    <x v="0"/>
    <s v="Divorced"/>
    <x v="1"/>
    <n v="0"/>
    <x v="1"/>
    <x v="1"/>
    <n v="6"/>
    <n v="3"/>
    <s v="Medical"/>
    <n v="2"/>
    <n v="4"/>
    <x v="80"/>
    <x v="0"/>
    <n v="7"/>
    <n v="3"/>
    <x v="20"/>
    <x v="1"/>
  </r>
  <r>
    <n v="84076849"/>
    <x v="13"/>
    <x v="1"/>
    <s v="Married"/>
    <x v="1"/>
    <n v="0"/>
    <x v="3"/>
    <x v="1"/>
    <n v="1"/>
    <n v="2"/>
    <s v="Medical"/>
    <n v="1"/>
    <n v="2"/>
    <x v="81"/>
    <x v="1"/>
    <n v="1"/>
    <n v="3"/>
    <x v="8"/>
    <x v="0"/>
  </r>
  <r>
    <n v="10873520"/>
    <x v="29"/>
    <x v="1"/>
    <s v="Single"/>
    <x v="1"/>
    <n v="0"/>
    <x v="3"/>
    <x v="1"/>
    <n v="7"/>
    <n v="3"/>
    <s v="Life Sciences"/>
    <n v="4"/>
    <n v="4"/>
    <x v="82"/>
    <x v="0"/>
    <n v="4"/>
    <n v="2"/>
    <x v="0"/>
    <x v="0"/>
  </r>
  <r>
    <n v="11630681"/>
    <x v="30"/>
    <x v="1"/>
    <s v="Divorced"/>
    <x v="1"/>
    <n v="0"/>
    <x v="6"/>
    <x v="0"/>
    <n v="2"/>
    <n v="1"/>
    <s v="Technical Degree"/>
    <n v="3"/>
    <n v="1"/>
    <x v="83"/>
    <x v="1"/>
    <n v="3"/>
    <n v="3"/>
    <x v="2"/>
    <x v="2"/>
  </r>
  <r>
    <n v="25816239"/>
    <x v="31"/>
    <x v="1"/>
    <s v="Married"/>
    <x v="1"/>
    <n v="0"/>
    <x v="2"/>
    <x v="1"/>
    <n v="9"/>
    <n v="4"/>
    <s v="Life Sciences"/>
    <n v="4"/>
    <n v="4"/>
    <x v="84"/>
    <x v="1"/>
    <n v="3"/>
    <n v="3"/>
    <x v="9"/>
    <x v="2"/>
  </r>
  <r>
    <n v="51450626"/>
    <x v="7"/>
    <x v="1"/>
    <s v="Married"/>
    <x v="1"/>
    <n v="0"/>
    <x v="4"/>
    <x v="1"/>
    <n v="2"/>
    <n v="3"/>
    <s v="Life Sciences"/>
    <n v="3"/>
    <n v="4"/>
    <x v="85"/>
    <x v="1"/>
    <n v="1"/>
    <n v="3"/>
    <x v="19"/>
    <x v="1"/>
  </r>
  <r>
    <n v="69155608"/>
    <x v="21"/>
    <x v="1"/>
    <s v="Single"/>
    <x v="0"/>
    <n v="1"/>
    <x v="0"/>
    <x v="0"/>
    <n v="9"/>
    <n v="2"/>
    <s v="Medical"/>
    <n v="3"/>
    <n v="4"/>
    <x v="86"/>
    <x v="2"/>
    <n v="1"/>
    <n v="3"/>
    <x v="7"/>
    <x v="0"/>
  </r>
  <r>
    <n v="19165405"/>
    <x v="32"/>
    <x v="1"/>
    <s v="Married"/>
    <x v="1"/>
    <n v="0"/>
    <x v="4"/>
    <x v="1"/>
    <n v="1"/>
    <n v="4"/>
    <s v="Life Sciences"/>
    <n v="3"/>
    <n v="2"/>
    <x v="87"/>
    <x v="3"/>
    <n v="1"/>
    <n v="2"/>
    <x v="14"/>
    <x v="4"/>
  </r>
  <r>
    <n v="42346992"/>
    <x v="31"/>
    <x v="1"/>
    <s v="Single"/>
    <x v="1"/>
    <n v="0"/>
    <x v="0"/>
    <x v="0"/>
    <n v="21"/>
    <n v="4"/>
    <s v="Marketing"/>
    <n v="3"/>
    <n v="4"/>
    <x v="88"/>
    <x v="0"/>
    <n v="0"/>
    <n v="1"/>
    <x v="1"/>
    <x v="1"/>
  </r>
  <r>
    <n v="80771594"/>
    <x v="7"/>
    <x v="0"/>
    <s v="Divorced"/>
    <x v="1"/>
    <n v="0"/>
    <x v="0"/>
    <x v="0"/>
    <n v="4"/>
    <n v="2"/>
    <s v="Medical"/>
    <n v="3"/>
    <n v="2"/>
    <x v="89"/>
    <x v="0"/>
    <n v="1"/>
    <n v="2"/>
    <x v="19"/>
    <x v="1"/>
  </r>
  <r>
    <n v="22094162"/>
    <x v="21"/>
    <x v="1"/>
    <s v="Married"/>
    <x v="1"/>
    <n v="0"/>
    <x v="4"/>
    <x v="1"/>
    <n v="1"/>
    <n v="3"/>
    <s v="Medical"/>
    <n v="3"/>
    <n v="1"/>
    <x v="90"/>
    <x v="2"/>
    <n v="2"/>
    <n v="2"/>
    <x v="1"/>
    <x v="1"/>
  </r>
  <r>
    <n v="69323830"/>
    <x v="5"/>
    <x v="1"/>
    <s v="Single"/>
    <x v="1"/>
    <n v="0"/>
    <x v="0"/>
    <x v="0"/>
    <n v="6"/>
    <n v="4"/>
    <s v="Medical"/>
    <n v="2"/>
    <n v="3"/>
    <x v="91"/>
    <x v="0"/>
    <n v="1"/>
    <n v="3"/>
    <x v="19"/>
    <x v="1"/>
  </r>
  <r>
    <n v="54286298"/>
    <x v="33"/>
    <x v="0"/>
    <s v="Married"/>
    <x v="1"/>
    <n v="0"/>
    <x v="7"/>
    <x v="1"/>
    <n v="2"/>
    <n v="4"/>
    <s v="Technical Degree"/>
    <n v="1"/>
    <n v="3"/>
    <x v="92"/>
    <x v="3"/>
    <n v="9"/>
    <n v="1"/>
    <x v="9"/>
    <x v="2"/>
  </r>
  <r>
    <n v="31449445"/>
    <x v="17"/>
    <x v="0"/>
    <s v="Married"/>
    <x v="1"/>
    <n v="0"/>
    <x v="0"/>
    <x v="0"/>
    <n v="3"/>
    <n v="2"/>
    <s v="Other"/>
    <n v="1"/>
    <n v="3"/>
    <x v="93"/>
    <x v="1"/>
    <n v="0"/>
    <n v="2"/>
    <x v="11"/>
    <x v="2"/>
  </r>
  <r>
    <n v="27558200"/>
    <x v="14"/>
    <x v="1"/>
    <s v="Married"/>
    <x v="1"/>
    <n v="0"/>
    <x v="0"/>
    <x v="0"/>
    <n v="4"/>
    <n v="3"/>
    <s v="Medical"/>
    <n v="2"/>
    <n v="3"/>
    <x v="94"/>
    <x v="1"/>
    <n v="1"/>
    <n v="4"/>
    <x v="8"/>
    <x v="0"/>
  </r>
  <r>
    <n v="72219796"/>
    <x v="34"/>
    <x v="1"/>
    <s v="Single"/>
    <x v="1"/>
    <n v="0"/>
    <x v="0"/>
    <x v="0"/>
    <n v="10"/>
    <n v="4"/>
    <s v="Medical"/>
    <n v="4"/>
    <n v="3"/>
    <x v="95"/>
    <x v="3"/>
    <n v="0"/>
    <n v="2"/>
    <x v="21"/>
    <x v="6"/>
  </r>
  <r>
    <n v="83610273"/>
    <x v="20"/>
    <x v="1"/>
    <s v="Married"/>
    <x v="1"/>
    <n v="0"/>
    <x v="2"/>
    <x v="1"/>
    <n v="23"/>
    <n v="3"/>
    <s v="Medical"/>
    <n v="2"/>
    <n v="2"/>
    <x v="96"/>
    <x v="1"/>
    <n v="4"/>
    <n v="4"/>
    <x v="11"/>
    <x v="2"/>
  </r>
  <r>
    <n v="84053436"/>
    <x v="2"/>
    <x v="1"/>
    <s v="Divorced"/>
    <x v="0"/>
    <n v="1"/>
    <x v="8"/>
    <x v="2"/>
    <n v="6"/>
    <n v="4"/>
    <s v="Human Resources"/>
    <n v="3"/>
    <n v="1"/>
    <x v="97"/>
    <x v="1"/>
    <n v="4"/>
    <n v="3"/>
    <x v="11"/>
    <x v="2"/>
  </r>
  <r>
    <n v="64681343"/>
    <x v="5"/>
    <x v="1"/>
    <s v="Single"/>
    <x v="1"/>
    <n v="0"/>
    <x v="1"/>
    <x v="1"/>
    <n v="1"/>
    <n v="1"/>
    <s v="Life Sciences"/>
    <n v="4"/>
    <n v="1"/>
    <x v="98"/>
    <x v="1"/>
    <n v="1"/>
    <n v="3"/>
    <x v="6"/>
    <x v="2"/>
  </r>
  <r>
    <n v="34248759"/>
    <x v="35"/>
    <x v="0"/>
    <s v="Single"/>
    <x v="0"/>
    <n v="1"/>
    <x v="2"/>
    <x v="1"/>
    <n v="6"/>
    <n v="3"/>
    <s v="Life Sciences"/>
    <n v="4"/>
    <n v="4"/>
    <x v="99"/>
    <x v="1"/>
    <n v="1"/>
    <n v="3"/>
    <x v="6"/>
    <x v="2"/>
  </r>
  <r>
    <n v="27517147"/>
    <x v="13"/>
    <x v="0"/>
    <s v="Single"/>
    <x v="1"/>
    <n v="0"/>
    <x v="1"/>
    <x v="1"/>
    <n v="6"/>
    <n v="4"/>
    <s v="Other"/>
    <n v="1"/>
    <n v="3"/>
    <x v="100"/>
    <x v="1"/>
    <n v="1"/>
    <n v="3"/>
    <x v="22"/>
    <x v="5"/>
  </r>
  <r>
    <n v="49167537"/>
    <x v="2"/>
    <x v="1"/>
    <s v="Divorced"/>
    <x v="1"/>
    <n v="0"/>
    <x v="4"/>
    <x v="1"/>
    <n v="2"/>
    <n v="2"/>
    <s v="Life Sciences"/>
    <n v="3"/>
    <n v="4"/>
    <x v="101"/>
    <x v="0"/>
    <n v="5"/>
    <n v="4"/>
    <x v="6"/>
    <x v="2"/>
  </r>
  <r>
    <n v="83920811"/>
    <x v="6"/>
    <x v="0"/>
    <s v="Married"/>
    <x v="1"/>
    <n v="0"/>
    <x v="5"/>
    <x v="2"/>
    <n v="2"/>
    <n v="4"/>
    <s v="Human Resources"/>
    <n v="3"/>
    <n v="4"/>
    <x v="102"/>
    <x v="4"/>
    <n v="9"/>
    <n v="3"/>
    <x v="11"/>
    <x v="2"/>
  </r>
  <r>
    <n v="18460345"/>
    <x v="24"/>
    <x v="0"/>
    <s v="Married"/>
    <x v="1"/>
    <n v="0"/>
    <x v="7"/>
    <x v="1"/>
    <n v="1"/>
    <n v="3"/>
    <s v="Life Sciences"/>
    <n v="1"/>
    <n v="2"/>
    <x v="103"/>
    <x v="4"/>
    <n v="3"/>
    <n v="2"/>
    <x v="3"/>
    <x v="0"/>
  </r>
  <r>
    <n v="73757529"/>
    <x v="36"/>
    <x v="1"/>
    <s v="Single"/>
    <x v="0"/>
    <n v="1"/>
    <x v="0"/>
    <x v="0"/>
    <n v="5"/>
    <n v="3"/>
    <s v="Marketing"/>
    <n v="3"/>
    <n v="3"/>
    <x v="104"/>
    <x v="0"/>
    <n v="1"/>
    <n v="3"/>
    <x v="0"/>
    <x v="0"/>
  </r>
  <r>
    <n v="58802252"/>
    <x v="36"/>
    <x v="1"/>
    <s v="Married"/>
    <x v="1"/>
    <n v="0"/>
    <x v="1"/>
    <x v="1"/>
    <n v="7"/>
    <n v="1"/>
    <s v="Medical"/>
    <n v="4"/>
    <n v="4"/>
    <x v="105"/>
    <x v="1"/>
    <n v="1"/>
    <n v="3"/>
    <x v="4"/>
    <x v="2"/>
  </r>
  <r>
    <n v="64734402"/>
    <x v="15"/>
    <x v="0"/>
    <s v="Single"/>
    <x v="1"/>
    <n v="0"/>
    <x v="2"/>
    <x v="1"/>
    <n v="15"/>
    <n v="3"/>
    <s v="Medical"/>
    <n v="2"/>
    <n v="4"/>
    <x v="106"/>
    <x v="1"/>
    <n v="1"/>
    <n v="3"/>
    <x v="2"/>
    <x v="2"/>
  </r>
  <r>
    <n v="79978846"/>
    <x v="31"/>
    <x v="0"/>
    <s v="Single"/>
    <x v="1"/>
    <n v="0"/>
    <x v="4"/>
    <x v="1"/>
    <n v="1"/>
    <n v="4"/>
    <s v="Medical"/>
    <n v="1"/>
    <n v="1"/>
    <x v="107"/>
    <x v="0"/>
    <n v="3"/>
    <n v="2"/>
    <x v="20"/>
    <x v="1"/>
  </r>
  <r>
    <n v="88608127"/>
    <x v="13"/>
    <x v="1"/>
    <s v="Single"/>
    <x v="0"/>
    <n v="1"/>
    <x v="2"/>
    <x v="1"/>
    <n v="7"/>
    <n v="3"/>
    <s v="Life Sciences"/>
    <n v="1"/>
    <n v="3"/>
    <x v="108"/>
    <x v="0"/>
    <n v="1"/>
    <n v="3"/>
    <x v="7"/>
    <x v="0"/>
  </r>
  <r>
    <n v="13245773"/>
    <x v="33"/>
    <x v="0"/>
    <s v="Single"/>
    <x v="1"/>
    <n v="0"/>
    <x v="5"/>
    <x v="2"/>
    <n v="26"/>
    <n v="3"/>
    <s v="Human Resources"/>
    <n v="4"/>
    <n v="4"/>
    <x v="109"/>
    <x v="4"/>
    <n v="2"/>
    <n v="3"/>
    <x v="8"/>
    <x v="0"/>
  </r>
  <r>
    <n v="83205352"/>
    <x v="17"/>
    <x v="1"/>
    <s v="Married"/>
    <x v="1"/>
    <n v="0"/>
    <x v="2"/>
    <x v="1"/>
    <n v="18"/>
    <n v="1"/>
    <s v="Life Sciences"/>
    <n v="2"/>
    <n v="3"/>
    <x v="110"/>
    <x v="1"/>
    <n v="0"/>
    <n v="3"/>
    <x v="8"/>
    <x v="0"/>
  </r>
  <r>
    <n v="41888000"/>
    <x v="13"/>
    <x v="0"/>
    <s v="Divorced"/>
    <x v="1"/>
    <n v="0"/>
    <x v="1"/>
    <x v="1"/>
    <n v="6"/>
    <n v="4"/>
    <s v="Life Sciences"/>
    <n v="3"/>
    <n v="2"/>
    <x v="111"/>
    <x v="1"/>
    <n v="6"/>
    <n v="3"/>
    <x v="6"/>
    <x v="2"/>
  </r>
  <r>
    <n v="70159314"/>
    <x v="2"/>
    <x v="1"/>
    <s v="Single"/>
    <x v="1"/>
    <n v="0"/>
    <x v="0"/>
    <x v="0"/>
    <n v="3"/>
    <n v="3"/>
    <s v="Life Sciences"/>
    <n v="3"/>
    <n v="4"/>
    <x v="112"/>
    <x v="0"/>
    <n v="2"/>
    <n v="3"/>
    <x v="8"/>
    <x v="0"/>
  </r>
  <r>
    <n v="77405001"/>
    <x v="13"/>
    <x v="0"/>
    <s v="Single"/>
    <x v="1"/>
    <n v="0"/>
    <x v="5"/>
    <x v="1"/>
    <n v="5"/>
    <n v="3"/>
    <s v="Medical"/>
    <n v="3"/>
    <n v="1"/>
    <x v="113"/>
    <x v="2"/>
    <n v="2"/>
    <n v="3"/>
    <x v="19"/>
    <x v="1"/>
  </r>
  <r>
    <n v="64995403"/>
    <x v="9"/>
    <x v="0"/>
    <s v="Married"/>
    <x v="1"/>
    <n v="0"/>
    <x v="0"/>
    <x v="0"/>
    <n v="11"/>
    <n v="2"/>
    <s v="Technical Degree"/>
    <n v="2"/>
    <n v="4"/>
    <x v="114"/>
    <x v="2"/>
    <n v="0"/>
    <n v="3"/>
    <x v="7"/>
    <x v="0"/>
  </r>
  <r>
    <n v="82575217"/>
    <x v="9"/>
    <x v="0"/>
    <s v="Divorced"/>
    <x v="1"/>
    <n v="0"/>
    <x v="2"/>
    <x v="1"/>
    <n v="3"/>
    <n v="2"/>
    <s v="Life Sciences"/>
    <n v="1"/>
    <n v="4"/>
    <x v="115"/>
    <x v="1"/>
    <n v="5"/>
    <n v="3"/>
    <x v="6"/>
    <x v="2"/>
  </r>
  <r>
    <n v="37034582"/>
    <x v="23"/>
    <x v="1"/>
    <s v="Married"/>
    <x v="1"/>
    <n v="0"/>
    <x v="5"/>
    <x v="0"/>
    <n v="26"/>
    <n v="2"/>
    <s v="Life Sciences"/>
    <n v="3"/>
    <n v="4"/>
    <x v="116"/>
    <x v="3"/>
    <n v="1"/>
    <n v="4"/>
    <x v="10"/>
    <x v="3"/>
  </r>
  <r>
    <n v="69746372"/>
    <x v="7"/>
    <x v="1"/>
    <s v="Divorced"/>
    <x v="1"/>
    <n v="0"/>
    <x v="1"/>
    <x v="1"/>
    <n v="23"/>
    <n v="3"/>
    <s v="Life Sciences"/>
    <n v="1"/>
    <n v="3"/>
    <x v="117"/>
    <x v="1"/>
    <n v="1"/>
    <n v="2"/>
    <x v="1"/>
    <x v="1"/>
  </r>
  <r>
    <n v="26292612"/>
    <x v="3"/>
    <x v="1"/>
    <s v="Married"/>
    <x v="1"/>
    <n v="0"/>
    <x v="0"/>
    <x v="0"/>
    <n v="22"/>
    <n v="2"/>
    <s v="Marketing"/>
    <n v="3"/>
    <n v="2"/>
    <x v="118"/>
    <x v="0"/>
    <n v="0"/>
    <n v="4"/>
    <x v="5"/>
    <x v="0"/>
  </r>
  <r>
    <n v="43934990"/>
    <x v="29"/>
    <x v="0"/>
    <s v="Married"/>
    <x v="0"/>
    <n v="1"/>
    <x v="1"/>
    <x v="1"/>
    <n v="14"/>
    <n v="4"/>
    <s v="Life Sciences"/>
    <n v="2"/>
    <n v="2"/>
    <x v="119"/>
    <x v="1"/>
    <n v="9"/>
    <n v="3"/>
    <x v="8"/>
    <x v="0"/>
  </r>
  <r>
    <n v="66068948"/>
    <x v="31"/>
    <x v="1"/>
    <s v="Single"/>
    <x v="1"/>
    <n v="0"/>
    <x v="7"/>
    <x v="1"/>
    <n v="6"/>
    <n v="3"/>
    <s v="Life Sciences"/>
    <n v="1"/>
    <n v="3"/>
    <x v="120"/>
    <x v="4"/>
    <n v="7"/>
    <n v="3"/>
    <x v="23"/>
    <x v="4"/>
  </r>
  <r>
    <n v="50376587"/>
    <x v="12"/>
    <x v="1"/>
    <s v="Married"/>
    <x v="0"/>
    <n v="1"/>
    <x v="0"/>
    <x v="0"/>
    <n v="6"/>
    <n v="4"/>
    <s v="Life Sciences"/>
    <n v="2"/>
    <n v="3"/>
    <x v="121"/>
    <x v="0"/>
    <n v="4"/>
    <n v="2"/>
    <x v="5"/>
    <x v="0"/>
  </r>
  <r>
    <n v="81567255"/>
    <x v="25"/>
    <x v="0"/>
    <s v="Married"/>
    <x v="1"/>
    <n v="0"/>
    <x v="1"/>
    <x v="1"/>
    <n v="6"/>
    <n v="3"/>
    <s v="Other"/>
    <n v="3"/>
    <n v="2"/>
    <x v="122"/>
    <x v="1"/>
    <n v="1"/>
    <n v="2"/>
    <x v="8"/>
    <x v="0"/>
  </r>
  <r>
    <n v="19655815"/>
    <x v="34"/>
    <x v="0"/>
    <s v="Married"/>
    <x v="0"/>
    <n v="1"/>
    <x v="4"/>
    <x v="1"/>
    <n v="23"/>
    <n v="4"/>
    <s v="Medical"/>
    <n v="4"/>
    <n v="4"/>
    <x v="123"/>
    <x v="2"/>
    <n v="1"/>
    <n v="2"/>
    <x v="24"/>
    <x v="7"/>
  </r>
  <r>
    <n v="52285669"/>
    <x v="37"/>
    <x v="1"/>
    <s v="Single"/>
    <x v="0"/>
    <n v="1"/>
    <x v="6"/>
    <x v="0"/>
    <n v="22"/>
    <n v="1"/>
    <s v="Marketing"/>
    <n v="4"/>
    <n v="3"/>
    <x v="124"/>
    <x v="1"/>
    <n v="1"/>
    <n v="2"/>
    <x v="2"/>
    <x v="2"/>
  </r>
  <r>
    <n v="60174944"/>
    <x v="15"/>
    <x v="1"/>
    <s v="Married"/>
    <x v="1"/>
    <n v="0"/>
    <x v="2"/>
    <x v="1"/>
    <n v="2"/>
    <n v="1"/>
    <s v="Technical Degree"/>
    <n v="3"/>
    <n v="4"/>
    <x v="125"/>
    <x v="1"/>
    <n v="0"/>
    <n v="3"/>
    <x v="4"/>
    <x v="2"/>
  </r>
  <r>
    <n v="23775070"/>
    <x v="1"/>
    <x v="0"/>
    <s v="Married"/>
    <x v="1"/>
    <n v="0"/>
    <x v="3"/>
    <x v="1"/>
    <n v="20"/>
    <n v="4"/>
    <s v="Medical"/>
    <n v="3"/>
    <n v="1"/>
    <x v="126"/>
    <x v="0"/>
    <n v="1"/>
    <n v="2"/>
    <x v="15"/>
    <x v="5"/>
  </r>
  <r>
    <n v="36327490"/>
    <x v="23"/>
    <x v="0"/>
    <s v="Single"/>
    <x v="1"/>
    <n v="0"/>
    <x v="1"/>
    <x v="1"/>
    <n v="28"/>
    <n v="3"/>
    <s v="Medical"/>
    <n v="2"/>
    <n v="3"/>
    <x v="127"/>
    <x v="1"/>
    <n v="4"/>
    <n v="3"/>
    <x v="11"/>
    <x v="2"/>
  </r>
  <r>
    <n v="27869273"/>
    <x v="24"/>
    <x v="0"/>
    <s v="Single"/>
    <x v="1"/>
    <n v="0"/>
    <x v="0"/>
    <x v="0"/>
    <n v="12"/>
    <n v="3"/>
    <s v="Marketing"/>
    <n v="3"/>
    <n v="4"/>
    <x v="128"/>
    <x v="2"/>
    <n v="4"/>
    <n v="3"/>
    <x v="4"/>
    <x v="2"/>
  </r>
  <r>
    <n v="20980043"/>
    <x v="12"/>
    <x v="0"/>
    <s v="Married"/>
    <x v="0"/>
    <n v="1"/>
    <x v="0"/>
    <x v="0"/>
    <n v="20"/>
    <n v="3"/>
    <s v="Life Sciences"/>
    <n v="2"/>
    <n v="3"/>
    <x v="129"/>
    <x v="1"/>
    <n v="3"/>
    <n v="3"/>
    <x v="4"/>
    <x v="2"/>
  </r>
  <r>
    <n v="24734502"/>
    <x v="0"/>
    <x v="1"/>
    <s v="Divorced"/>
    <x v="1"/>
    <n v="0"/>
    <x v="0"/>
    <x v="0"/>
    <n v="9"/>
    <n v="1"/>
    <s v="Life Sciences"/>
    <n v="3"/>
    <n v="3"/>
    <x v="130"/>
    <x v="0"/>
    <n v="3"/>
    <n v="3"/>
    <x v="7"/>
    <x v="0"/>
  </r>
  <r>
    <n v="47361509"/>
    <x v="25"/>
    <x v="0"/>
    <s v="Married"/>
    <x v="1"/>
    <n v="0"/>
    <x v="8"/>
    <x v="2"/>
    <n v="25"/>
    <n v="1"/>
    <s v="Life Sciences"/>
    <n v="3"/>
    <n v="3"/>
    <x v="131"/>
    <x v="1"/>
    <n v="1"/>
    <n v="3"/>
    <x v="3"/>
    <x v="0"/>
  </r>
  <r>
    <n v="42553570"/>
    <x v="9"/>
    <x v="1"/>
    <s v="Divorced"/>
    <x v="1"/>
    <n v="0"/>
    <x v="3"/>
    <x v="1"/>
    <n v="6"/>
    <n v="2"/>
    <s v="Medical"/>
    <n v="2"/>
    <n v="2"/>
    <x v="132"/>
    <x v="1"/>
    <n v="6"/>
    <n v="3"/>
    <x v="11"/>
    <x v="2"/>
  </r>
  <r>
    <n v="78539279"/>
    <x v="31"/>
    <x v="1"/>
    <s v="Single"/>
    <x v="0"/>
    <n v="1"/>
    <x v="3"/>
    <x v="1"/>
    <n v="8"/>
    <n v="4"/>
    <s v="Life Sciences"/>
    <n v="1"/>
    <n v="4"/>
    <x v="133"/>
    <x v="2"/>
    <n v="2"/>
    <n v="3"/>
    <x v="9"/>
    <x v="2"/>
  </r>
  <r>
    <n v="32836455"/>
    <x v="22"/>
    <x v="0"/>
    <s v="Married"/>
    <x v="1"/>
    <n v="0"/>
    <x v="0"/>
    <x v="0"/>
    <n v="4"/>
    <n v="4"/>
    <s v="Life Sciences"/>
    <n v="4"/>
    <n v="3"/>
    <x v="134"/>
    <x v="0"/>
    <n v="4"/>
    <n v="4"/>
    <x v="15"/>
    <x v="5"/>
  </r>
  <r>
    <n v="57212572"/>
    <x v="36"/>
    <x v="1"/>
    <s v="Married"/>
    <x v="1"/>
    <n v="0"/>
    <x v="0"/>
    <x v="0"/>
    <n v="28"/>
    <n v="3"/>
    <s v="Life Sciences"/>
    <n v="1"/>
    <n v="3"/>
    <x v="135"/>
    <x v="0"/>
    <n v="2"/>
    <n v="3"/>
    <x v="4"/>
    <x v="2"/>
  </r>
  <r>
    <n v="30715163"/>
    <x v="7"/>
    <x v="1"/>
    <s v="Married"/>
    <x v="1"/>
    <n v="0"/>
    <x v="8"/>
    <x v="2"/>
    <n v="9"/>
    <n v="3"/>
    <s v="Human Resources"/>
    <n v="3"/>
    <n v="4"/>
    <x v="136"/>
    <x v="0"/>
    <n v="0"/>
    <n v="1"/>
    <x v="19"/>
    <x v="1"/>
  </r>
  <r>
    <n v="10560854"/>
    <x v="5"/>
    <x v="0"/>
    <s v="Single"/>
    <x v="0"/>
    <n v="1"/>
    <x v="2"/>
    <x v="1"/>
    <n v="9"/>
    <n v="3"/>
    <s v="Medical"/>
    <n v="1"/>
    <n v="1"/>
    <x v="137"/>
    <x v="1"/>
    <n v="7"/>
    <n v="4"/>
    <x v="8"/>
    <x v="0"/>
  </r>
  <r>
    <n v="25682458"/>
    <x v="28"/>
    <x v="1"/>
    <s v="Single"/>
    <x v="1"/>
    <n v="0"/>
    <x v="1"/>
    <x v="1"/>
    <n v="29"/>
    <n v="3"/>
    <s v="Medical"/>
    <n v="3"/>
    <n v="4"/>
    <x v="138"/>
    <x v="1"/>
    <n v="5"/>
    <n v="2"/>
    <x v="0"/>
    <x v="0"/>
  </r>
  <r>
    <n v="78932488"/>
    <x v="8"/>
    <x v="0"/>
    <s v="Single"/>
    <x v="1"/>
    <n v="0"/>
    <x v="1"/>
    <x v="1"/>
    <n v="3"/>
    <n v="5"/>
    <s v="Technical Degree"/>
    <n v="4"/>
    <n v="3"/>
    <x v="139"/>
    <x v="1"/>
    <n v="3"/>
    <n v="3"/>
    <x v="11"/>
    <x v="2"/>
  </r>
  <r>
    <n v="44564666"/>
    <x v="7"/>
    <x v="0"/>
    <s v="Single"/>
    <x v="1"/>
    <n v="0"/>
    <x v="1"/>
    <x v="1"/>
    <n v="18"/>
    <n v="3"/>
    <s v="Life Sciences"/>
    <n v="1"/>
    <n v="3"/>
    <x v="140"/>
    <x v="1"/>
    <n v="1"/>
    <n v="2"/>
    <x v="8"/>
    <x v="0"/>
  </r>
  <r>
    <n v="68983734"/>
    <x v="5"/>
    <x v="1"/>
    <s v="Divorced"/>
    <x v="1"/>
    <n v="0"/>
    <x v="0"/>
    <x v="0"/>
    <n v="9"/>
    <n v="2"/>
    <s v="Medical"/>
    <n v="4"/>
    <n v="4"/>
    <x v="141"/>
    <x v="1"/>
    <n v="0"/>
    <n v="4"/>
    <x v="3"/>
    <x v="0"/>
  </r>
  <r>
    <n v="38673437"/>
    <x v="7"/>
    <x v="0"/>
    <s v="Divorced"/>
    <x v="1"/>
    <n v="0"/>
    <x v="1"/>
    <x v="1"/>
    <n v="5"/>
    <n v="3"/>
    <s v="Technical Degree"/>
    <n v="4"/>
    <n v="1"/>
    <x v="142"/>
    <x v="1"/>
    <n v="5"/>
    <n v="3"/>
    <x v="11"/>
    <x v="2"/>
  </r>
  <r>
    <n v="75212715"/>
    <x v="7"/>
    <x v="1"/>
    <s v="Single"/>
    <x v="1"/>
    <n v="0"/>
    <x v="2"/>
    <x v="1"/>
    <n v="2"/>
    <n v="1"/>
    <s v="Medical"/>
    <n v="2"/>
    <n v="4"/>
    <x v="143"/>
    <x v="1"/>
    <n v="0"/>
    <n v="3"/>
    <x v="8"/>
    <x v="0"/>
  </r>
  <r>
    <n v="12205979"/>
    <x v="0"/>
    <x v="1"/>
    <s v="Divorced"/>
    <x v="1"/>
    <n v="0"/>
    <x v="5"/>
    <x v="1"/>
    <n v="10"/>
    <n v="3"/>
    <s v="Life Sciences"/>
    <n v="4"/>
    <n v="1"/>
    <x v="144"/>
    <x v="4"/>
    <n v="4"/>
    <n v="2"/>
    <x v="5"/>
    <x v="0"/>
  </r>
  <r>
    <n v="27116823"/>
    <x v="0"/>
    <x v="1"/>
    <s v="Married"/>
    <x v="1"/>
    <n v="0"/>
    <x v="2"/>
    <x v="1"/>
    <n v="9"/>
    <n v="4"/>
    <s v="Life Sciences"/>
    <n v="3"/>
    <n v="1"/>
    <x v="145"/>
    <x v="1"/>
    <n v="2"/>
    <n v="3"/>
    <x v="8"/>
    <x v="0"/>
  </r>
  <r>
    <n v="74678812"/>
    <x v="37"/>
    <x v="0"/>
    <s v="Single"/>
    <x v="1"/>
    <n v="0"/>
    <x v="2"/>
    <x v="1"/>
    <n v="3"/>
    <n v="1"/>
    <s v="Medical"/>
    <n v="2"/>
    <n v="2"/>
    <x v="146"/>
    <x v="1"/>
    <n v="1"/>
    <n v="3"/>
    <x v="6"/>
    <x v="2"/>
  </r>
  <r>
    <n v="12360481"/>
    <x v="32"/>
    <x v="0"/>
    <s v="Divorced"/>
    <x v="1"/>
    <n v="0"/>
    <x v="1"/>
    <x v="1"/>
    <n v="26"/>
    <n v="3"/>
    <s v="Medical"/>
    <n v="2"/>
    <n v="2"/>
    <x v="147"/>
    <x v="0"/>
    <n v="1"/>
    <n v="3"/>
    <x v="23"/>
    <x v="4"/>
  </r>
  <r>
    <n v="58835531"/>
    <x v="10"/>
    <x v="1"/>
    <s v="Married"/>
    <x v="1"/>
    <n v="0"/>
    <x v="0"/>
    <x v="0"/>
    <n v="1"/>
    <n v="5"/>
    <s v="Marketing"/>
    <n v="3"/>
    <n v="2"/>
    <x v="148"/>
    <x v="0"/>
    <n v="1"/>
    <n v="3"/>
    <x v="1"/>
    <x v="1"/>
  </r>
  <r>
    <n v="39381880"/>
    <x v="16"/>
    <x v="1"/>
    <s v="Married"/>
    <x v="1"/>
    <n v="0"/>
    <x v="6"/>
    <x v="0"/>
    <n v="6"/>
    <n v="2"/>
    <s v="Marketing"/>
    <n v="2"/>
    <n v="3"/>
    <x v="149"/>
    <x v="1"/>
    <n v="2"/>
    <n v="1"/>
    <x v="5"/>
    <x v="0"/>
  </r>
  <r>
    <n v="53019605"/>
    <x v="28"/>
    <x v="1"/>
    <s v="Divorced"/>
    <x v="1"/>
    <n v="0"/>
    <x v="2"/>
    <x v="1"/>
    <n v="9"/>
    <n v="3"/>
    <s v="Life Sciences"/>
    <n v="2"/>
    <n v="2"/>
    <x v="150"/>
    <x v="1"/>
    <n v="8"/>
    <n v="1"/>
    <x v="18"/>
    <x v="5"/>
  </r>
  <r>
    <n v="46434249"/>
    <x v="5"/>
    <x v="0"/>
    <s v="Single"/>
    <x v="1"/>
    <n v="0"/>
    <x v="0"/>
    <x v="0"/>
    <n v="8"/>
    <n v="3"/>
    <s v="Marketing"/>
    <n v="2"/>
    <n v="4"/>
    <x v="151"/>
    <x v="0"/>
    <n v="1"/>
    <n v="3"/>
    <x v="7"/>
    <x v="0"/>
  </r>
  <r>
    <n v="23196498"/>
    <x v="11"/>
    <x v="1"/>
    <s v="Married"/>
    <x v="1"/>
    <n v="0"/>
    <x v="3"/>
    <x v="1"/>
    <n v="1"/>
    <n v="1"/>
    <s v="Technical Degree"/>
    <n v="4"/>
    <n v="3"/>
    <x v="152"/>
    <x v="1"/>
    <n v="1"/>
    <n v="3"/>
    <x v="1"/>
    <x v="1"/>
  </r>
  <r>
    <n v="56104638"/>
    <x v="31"/>
    <x v="1"/>
    <s v="Married"/>
    <x v="1"/>
    <n v="0"/>
    <x v="3"/>
    <x v="1"/>
    <n v="7"/>
    <n v="4"/>
    <s v="Medical"/>
    <n v="2"/>
    <n v="3"/>
    <x v="153"/>
    <x v="0"/>
    <n v="2"/>
    <n v="3"/>
    <x v="6"/>
    <x v="2"/>
  </r>
  <r>
    <n v="59051726"/>
    <x v="34"/>
    <x v="0"/>
    <s v="Married"/>
    <x v="1"/>
    <n v="0"/>
    <x v="1"/>
    <x v="1"/>
    <n v="9"/>
    <n v="3"/>
    <s v="Medical"/>
    <n v="2"/>
    <n v="2"/>
    <x v="154"/>
    <x v="1"/>
    <n v="4"/>
    <n v="2"/>
    <x v="6"/>
    <x v="2"/>
  </r>
  <r>
    <n v="80731064"/>
    <x v="32"/>
    <x v="1"/>
    <s v="Married"/>
    <x v="1"/>
    <n v="0"/>
    <x v="0"/>
    <x v="0"/>
    <n v="4"/>
    <n v="4"/>
    <s v="Marketing"/>
    <n v="3"/>
    <n v="4"/>
    <x v="155"/>
    <x v="2"/>
    <n v="7"/>
    <n v="2"/>
    <x v="12"/>
    <x v="1"/>
  </r>
  <r>
    <n v="65617457"/>
    <x v="13"/>
    <x v="0"/>
    <s v="Married"/>
    <x v="1"/>
    <n v="0"/>
    <x v="6"/>
    <x v="0"/>
    <n v="2"/>
    <n v="4"/>
    <s v="Marketing"/>
    <n v="3"/>
    <n v="3"/>
    <x v="156"/>
    <x v="1"/>
    <n v="6"/>
    <n v="3"/>
    <x v="9"/>
    <x v="2"/>
  </r>
  <r>
    <n v="24521818"/>
    <x v="15"/>
    <x v="1"/>
    <s v="Married"/>
    <x v="1"/>
    <n v="0"/>
    <x v="1"/>
    <x v="1"/>
    <n v="19"/>
    <n v="1"/>
    <s v="Medical"/>
    <n v="3"/>
    <n v="4"/>
    <x v="157"/>
    <x v="1"/>
    <n v="1"/>
    <n v="3"/>
    <x v="4"/>
    <x v="2"/>
  </r>
  <r>
    <n v="32354957"/>
    <x v="4"/>
    <x v="1"/>
    <s v="Divorced"/>
    <x v="1"/>
    <n v="0"/>
    <x v="1"/>
    <x v="1"/>
    <n v="9"/>
    <n v="3"/>
    <s v="Medical"/>
    <n v="4"/>
    <n v="2"/>
    <x v="158"/>
    <x v="1"/>
    <n v="6"/>
    <n v="1"/>
    <x v="4"/>
    <x v="2"/>
  </r>
  <r>
    <n v="89213162"/>
    <x v="14"/>
    <x v="1"/>
    <s v="Married"/>
    <x v="1"/>
    <n v="0"/>
    <x v="1"/>
    <x v="1"/>
    <n v="21"/>
    <n v="3"/>
    <s v="Medical"/>
    <n v="3"/>
    <n v="4"/>
    <x v="159"/>
    <x v="1"/>
    <n v="1"/>
    <n v="1"/>
    <x v="8"/>
    <x v="0"/>
  </r>
  <r>
    <n v="55801282"/>
    <x v="38"/>
    <x v="1"/>
    <s v="Divorced"/>
    <x v="1"/>
    <n v="0"/>
    <x v="4"/>
    <x v="1"/>
    <n v="24"/>
    <n v="2"/>
    <s v="Life Sciences"/>
    <n v="3"/>
    <n v="4"/>
    <x v="160"/>
    <x v="2"/>
    <n v="3"/>
    <n v="1"/>
    <x v="8"/>
    <x v="0"/>
  </r>
  <r>
    <n v="39282228"/>
    <x v="4"/>
    <x v="1"/>
    <s v="Divorced"/>
    <x v="1"/>
    <n v="0"/>
    <x v="1"/>
    <x v="1"/>
    <n v="3"/>
    <n v="3"/>
    <s v="Medical"/>
    <n v="3"/>
    <n v="3"/>
    <x v="161"/>
    <x v="1"/>
    <n v="1"/>
    <n v="2"/>
    <x v="6"/>
    <x v="2"/>
  </r>
  <r>
    <n v="78886739"/>
    <x v="24"/>
    <x v="0"/>
    <s v="Single"/>
    <x v="1"/>
    <n v="0"/>
    <x v="5"/>
    <x v="1"/>
    <n v="11"/>
    <n v="3"/>
    <s v="Life Sciences"/>
    <n v="3"/>
    <n v="2"/>
    <x v="162"/>
    <x v="4"/>
    <n v="3"/>
    <n v="3"/>
    <x v="8"/>
    <x v="0"/>
  </r>
  <r>
    <n v="14633476"/>
    <x v="0"/>
    <x v="1"/>
    <s v="Divorced"/>
    <x v="1"/>
    <n v="0"/>
    <x v="1"/>
    <x v="1"/>
    <n v="14"/>
    <n v="3"/>
    <s v="Life Sciences"/>
    <n v="1"/>
    <n v="3"/>
    <x v="163"/>
    <x v="1"/>
    <n v="4"/>
    <n v="3"/>
    <x v="7"/>
    <x v="0"/>
  </r>
  <r>
    <n v="84813668"/>
    <x v="7"/>
    <x v="0"/>
    <s v="Married"/>
    <x v="1"/>
    <n v="0"/>
    <x v="0"/>
    <x v="0"/>
    <n v="5"/>
    <n v="3"/>
    <s v="Life Sciences"/>
    <n v="2"/>
    <n v="4"/>
    <x v="164"/>
    <x v="2"/>
    <n v="2"/>
    <n v="3"/>
    <x v="1"/>
    <x v="1"/>
  </r>
  <r>
    <n v="81209907"/>
    <x v="8"/>
    <x v="0"/>
    <s v="Single"/>
    <x v="1"/>
    <n v="0"/>
    <x v="0"/>
    <x v="0"/>
    <n v="1"/>
    <n v="4"/>
    <s v="Life Sciences"/>
    <n v="1"/>
    <n v="4"/>
    <x v="165"/>
    <x v="0"/>
    <n v="4"/>
    <n v="4"/>
    <x v="3"/>
    <x v="0"/>
  </r>
  <r>
    <n v="16361934"/>
    <x v="5"/>
    <x v="1"/>
    <s v="Single"/>
    <x v="1"/>
    <n v="0"/>
    <x v="1"/>
    <x v="1"/>
    <n v="6"/>
    <n v="5"/>
    <s v="Life Sciences"/>
    <n v="3"/>
    <n v="3"/>
    <x v="71"/>
    <x v="1"/>
    <n v="3"/>
    <n v="3"/>
    <x v="8"/>
    <x v="0"/>
  </r>
  <r>
    <n v="44329409"/>
    <x v="4"/>
    <x v="1"/>
    <s v="Married"/>
    <x v="1"/>
    <n v="0"/>
    <x v="1"/>
    <x v="1"/>
    <n v="17"/>
    <n v="3"/>
    <s v="Technical Degree"/>
    <n v="3"/>
    <n v="2"/>
    <x v="166"/>
    <x v="1"/>
    <n v="0"/>
    <n v="2"/>
    <x v="8"/>
    <x v="0"/>
  </r>
  <r>
    <n v="72126349"/>
    <x v="37"/>
    <x v="0"/>
    <s v="Single"/>
    <x v="0"/>
    <n v="1"/>
    <x v="6"/>
    <x v="0"/>
    <n v="1"/>
    <n v="1"/>
    <s v="Technical Degree"/>
    <n v="3"/>
    <n v="1"/>
    <x v="167"/>
    <x v="1"/>
    <n v="0"/>
    <n v="4"/>
    <x v="2"/>
    <x v="2"/>
  </r>
  <r>
    <n v="40475404"/>
    <x v="9"/>
    <x v="1"/>
    <s v="Single"/>
    <x v="1"/>
    <n v="0"/>
    <x v="2"/>
    <x v="1"/>
    <n v="3"/>
    <n v="2"/>
    <s v="Medical"/>
    <n v="4"/>
    <n v="2"/>
    <x v="168"/>
    <x v="1"/>
    <n v="4"/>
    <n v="2"/>
    <x v="3"/>
    <x v="0"/>
  </r>
  <r>
    <n v="53716872"/>
    <x v="7"/>
    <x v="1"/>
    <s v="Divorced"/>
    <x v="1"/>
    <n v="0"/>
    <x v="2"/>
    <x v="1"/>
    <n v="9"/>
    <n v="3"/>
    <s v="Medical"/>
    <n v="3"/>
    <n v="1"/>
    <x v="169"/>
    <x v="1"/>
    <n v="1"/>
    <n v="3"/>
    <x v="12"/>
    <x v="1"/>
  </r>
  <r>
    <n v="41823180"/>
    <x v="28"/>
    <x v="0"/>
    <s v="Divorced"/>
    <x v="1"/>
    <n v="0"/>
    <x v="0"/>
    <x v="0"/>
    <n v="4"/>
    <n v="2"/>
    <s v="Life Sciences"/>
    <n v="3"/>
    <n v="1"/>
    <x v="170"/>
    <x v="0"/>
    <n v="4"/>
    <n v="4"/>
    <x v="8"/>
    <x v="0"/>
  </r>
  <r>
    <n v="86796104"/>
    <x v="29"/>
    <x v="0"/>
    <s v="Divorced"/>
    <x v="1"/>
    <n v="0"/>
    <x v="1"/>
    <x v="1"/>
    <n v="8"/>
    <n v="3"/>
    <s v="Life Sciences"/>
    <n v="3"/>
    <n v="1"/>
    <x v="171"/>
    <x v="1"/>
    <n v="4"/>
    <n v="3"/>
    <x v="4"/>
    <x v="2"/>
  </r>
  <r>
    <n v="28509363"/>
    <x v="3"/>
    <x v="1"/>
    <s v="Single"/>
    <x v="1"/>
    <n v="0"/>
    <x v="1"/>
    <x v="1"/>
    <n v="2"/>
    <n v="3"/>
    <s v="Life Sciences"/>
    <n v="3"/>
    <n v="4"/>
    <x v="172"/>
    <x v="1"/>
    <n v="0"/>
    <n v="4"/>
    <x v="11"/>
    <x v="2"/>
  </r>
  <r>
    <n v="14739427"/>
    <x v="37"/>
    <x v="1"/>
    <s v="Single"/>
    <x v="0"/>
    <n v="1"/>
    <x v="2"/>
    <x v="1"/>
    <n v="2"/>
    <n v="3"/>
    <s v="Life Sciences"/>
    <n v="2"/>
    <n v="4"/>
    <x v="173"/>
    <x v="1"/>
    <n v="1"/>
    <n v="2"/>
    <x v="6"/>
    <x v="2"/>
  </r>
  <r>
    <n v="35968917"/>
    <x v="21"/>
    <x v="0"/>
    <s v="Divorced"/>
    <x v="1"/>
    <n v="0"/>
    <x v="0"/>
    <x v="0"/>
    <n v="1"/>
    <n v="2"/>
    <s v="Marketing"/>
    <n v="2"/>
    <n v="1"/>
    <x v="174"/>
    <x v="2"/>
    <n v="1"/>
    <n v="3"/>
    <x v="25"/>
    <x v="4"/>
  </r>
  <r>
    <n v="66913263"/>
    <x v="8"/>
    <x v="0"/>
    <s v="Single"/>
    <x v="1"/>
    <n v="0"/>
    <x v="2"/>
    <x v="1"/>
    <n v="9"/>
    <n v="2"/>
    <s v="Life Sciences"/>
    <n v="3"/>
    <n v="4"/>
    <x v="175"/>
    <x v="1"/>
    <n v="1"/>
    <n v="3"/>
    <x v="4"/>
    <x v="2"/>
  </r>
  <r>
    <n v="24555492"/>
    <x v="12"/>
    <x v="0"/>
    <s v="Married"/>
    <x v="1"/>
    <n v="0"/>
    <x v="1"/>
    <x v="1"/>
    <n v="12"/>
    <n v="1"/>
    <s v="Medical"/>
    <n v="3"/>
    <n v="4"/>
    <x v="176"/>
    <x v="1"/>
    <n v="8"/>
    <n v="3"/>
    <x v="9"/>
    <x v="2"/>
  </r>
  <r>
    <n v="26929401"/>
    <x v="13"/>
    <x v="0"/>
    <s v="Single"/>
    <x v="1"/>
    <n v="0"/>
    <x v="1"/>
    <x v="1"/>
    <n v="27"/>
    <n v="2"/>
    <s v="Medical"/>
    <n v="4"/>
    <n v="2"/>
    <x v="177"/>
    <x v="1"/>
    <n v="2"/>
    <n v="3"/>
    <x v="11"/>
    <x v="2"/>
  </r>
  <r>
    <n v="56316650"/>
    <x v="0"/>
    <x v="0"/>
    <s v="Single"/>
    <x v="0"/>
    <n v="1"/>
    <x v="6"/>
    <x v="0"/>
    <n v="20"/>
    <n v="2"/>
    <s v="Marketing"/>
    <n v="2"/>
    <n v="2"/>
    <x v="178"/>
    <x v="1"/>
    <n v="1"/>
    <n v="2"/>
    <x v="9"/>
    <x v="2"/>
  </r>
  <r>
    <n v="88610492"/>
    <x v="24"/>
    <x v="1"/>
    <s v="Married"/>
    <x v="1"/>
    <n v="0"/>
    <x v="2"/>
    <x v="1"/>
    <n v="1"/>
    <n v="3"/>
    <s v="Medical"/>
    <n v="3"/>
    <n v="3"/>
    <x v="179"/>
    <x v="1"/>
    <n v="2"/>
    <n v="2"/>
    <x v="11"/>
    <x v="2"/>
  </r>
  <r>
    <n v="58014540"/>
    <x v="16"/>
    <x v="0"/>
    <s v="Divorced"/>
    <x v="1"/>
    <n v="0"/>
    <x v="3"/>
    <x v="1"/>
    <n v="13"/>
    <n v="2"/>
    <s v="Medical"/>
    <n v="4"/>
    <n v="1"/>
    <x v="180"/>
    <x v="1"/>
    <n v="1"/>
    <n v="3"/>
    <x v="9"/>
    <x v="2"/>
  </r>
  <r>
    <n v="76156773"/>
    <x v="3"/>
    <x v="0"/>
    <s v="Married"/>
    <x v="1"/>
    <n v="0"/>
    <x v="1"/>
    <x v="1"/>
    <n v="14"/>
    <n v="3"/>
    <s v="Medical"/>
    <n v="4"/>
    <n v="2"/>
    <x v="181"/>
    <x v="1"/>
    <n v="1"/>
    <n v="3"/>
    <x v="3"/>
    <x v="0"/>
  </r>
  <r>
    <n v="79748446"/>
    <x v="32"/>
    <x v="0"/>
    <s v="Married"/>
    <x v="1"/>
    <n v="0"/>
    <x v="5"/>
    <x v="1"/>
    <n v="4"/>
    <n v="1"/>
    <s v="Medical"/>
    <n v="4"/>
    <n v="3"/>
    <x v="182"/>
    <x v="4"/>
    <n v="1"/>
    <n v="3"/>
    <x v="23"/>
    <x v="4"/>
  </r>
  <r>
    <n v="76279165"/>
    <x v="27"/>
    <x v="1"/>
    <s v="Single"/>
    <x v="1"/>
    <n v="0"/>
    <x v="7"/>
    <x v="1"/>
    <n v="14"/>
    <n v="4"/>
    <s v="Medical"/>
    <n v="3"/>
    <n v="2"/>
    <x v="183"/>
    <x v="4"/>
    <n v="8"/>
    <n v="3"/>
    <x v="25"/>
    <x v="4"/>
  </r>
  <r>
    <n v="19161332"/>
    <x v="13"/>
    <x v="1"/>
    <s v="Married"/>
    <x v="1"/>
    <n v="0"/>
    <x v="3"/>
    <x v="1"/>
    <n v="2"/>
    <n v="1"/>
    <s v="Life Sciences"/>
    <n v="4"/>
    <n v="3"/>
    <x v="184"/>
    <x v="2"/>
    <n v="1"/>
    <n v="2"/>
    <x v="1"/>
    <x v="1"/>
  </r>
  <r>
    <n v="66445114"/>
    <x v="31"/>
    <x v="0"/>
    <s v="Single"/>
    <x v="1"/>
    <n v="0"/>
    <x v="4"/>
    <x v="1"/>
    <n v="3"/>
    <n v="3"/>
    <s v="Medical"/>
    <n v="4"/>
    <n v="2"/>
    <x v="185"/>
    <x v="3"/>
    <n v="3"/>
    <n v="3"/>
    <x v="5"/>
    <x v="0"/>
  </r>
  <r>
    <n v="44356288"/>
    <x v="39"/>
    <x v="1"/>
    <s v="Married"/>
    <x v="1"/>
    <n v="0"/>
    <x v="5"/>
    <x v="1"/>
    <n v="1"/>
    <n v="4"/>
    <s v="Life Sciences"/>
    <n v="3"/>
    <n v="3"/>
    <x v="186"/>
    <x v="4"/>
    <n v="0"/>
    <n v="3"/>
    <x v="26"/>
    <x v="8"/>
  </r>
  <r>
    <n v="56235731"/>
    <x v="4"/>
    <x v="0"/>
    <s v="Single"/>
    <x v="1"/>
    <n v="0"/>
    <x v="1"/>
    <x v="1"/>
    <n v="9"/>
    <n v="3"/>
    <s v="Medical"/>
    <n v="4"/>
    <n v="2"/>
    <x v="187"/>
    <x v="1"/>
    <n v="1"/>
    <n v="2"/>
    <x v="5"/>
    <x v="0"/>
  </r>
  <r>
    <n v="79819466"/>
    <x v="10"/>
    <x v="1"/>
    <s v="Married"/>
    <x v="0"/>
    <n v="1"/>
    <x v="3"/>
    <x v="1"/>
    <n v="23"/>
    <n v="2"/>
    <s v="Life Sciences"/>
    <n v="2"/>
    <n v="3"/>
    <x v="188"/>
    <x v="0"/>
    <n v="3"/>
    <n v="3"/>
    <x v="6"/>
    <x v="2"/>
  </r>
  <r>
    <n v="28072017"/>
    <x v="23"/>
    <x v="1"/>
    <s v="Divorced"/>
    <x v="1"/>
    <n v="0"/>
    <x v="1"/>
    <x v="1"/>
    <n v="7"/>
    <n v="3"/>
    <s v="Medical"/>
    <n v="4"/>
    <n v="4"/>
    <x v="189"/>
    <x v="1"/>
    <n v="4"/>
    <n v="4"/>
    <x v="8"/>
    <x v="0"/>
  </r>
  <r>
    <n v="33308831"/>
    <x v="28"/>
    <x v="1"/>
    <s v="Married"/>
    <x v="1"/>
    <n v="0"/>
    <x v="5"/>
    <x v="1"/>
    <n v="2"/>
    <n v="2"/>
    <s v="Medical"/>
    <n v="1"/>
    <n v="4"/>
    <x v="190"/>
    <x v="3"/>
    <n v="9"/>
    <n v="3"/>
    <x v="23"/>
    <x v="4"/>
  </r>
  <r>
    <n v="76772708"/>
    <x v="2"/>
    <x v="1"/>
    <s v="Married"/>
    <x v="1"/>
    <n v="0"/>
    <x v="1"/>
    <x v="1"/>
    <n v="21"/>
    <n v="3"/>
    <s v="Life Sciences"/>
    <n v="2"/>
    <n v="1"/>
    <x v="191"/>
    <x v="1"/>
    <n v="1"/>
    <n v="2"/>
    <x v="3"/>
    <x v="0"/>
  </r>
  <r>
    <n v="74183192"/>
    <x v="10"/>
    <x v="0"/>
    <s v="Single"/>
    <x v="1"/>
    <n v="0"/>
    <x v="2"/>
    <x v="1"/>
    <n v="2"/>
    <n v="3"/>
    <s v="Medical"/>
    <n v="2"/>
    <n v="2"/>
    <x v="192"/>
    <x v="1"/>
    <n v="5"/>
    <n v="3"/>
    <x v="0"/>
    <x v="0"/>
  </r>
  <r>
    <n v="39158497"/>
    <x v="19"/>
    <x v="0"/>
    <s v="Divorced"/>
    <x v="1"/>
    <n v="0"/>
    <x v="3"/>
    <x v="1"/>
    <n v="21"/>
    <n v="2"/>
    <s v="Medical"/>
    <n v="3"/>
    <n v="3"/>
    <x v="193"/>
    <x v="0"/>
    <n v="2"/>
    <n v="3"/>
    <x v="8"/>
    <x v="0"/>
  </r>
  <r>
    <n v="61820232"/>
    <x v="8"/>
    <x v="1"/>
    <s v="Married"/>
    <x v="1"/>
    <n v="0"/>
    <x v="3"/>
    <x v="1"/>
    <n v="2"/>
    <n v="4"/>
    <s v="Life Sciences"/>
    <n v="4"/>
    <n v="3"/>
    <x v="194"/>
    <x v="0"/>
    <n v="9"/>
    <n v="3"/>
    <x v="6"/>
    <x v="2"/>
  </r>
  <r>
    <n v="39598999"/>
    <x v="8"/>
    <x v="1"/>
    <s v="Married"/>
    <x v="1"/>
    <n v="0"/>
    <x v="3"/>
    <x v="1"/>
    <n v="29"/>
    <n v="3"/>
    <s v="Technical Degree"/>
    <n v="4"/>
    <n v="4"/>
    <x v="195"/>
    <x v="0"/>
    <n v="3"/>
    <n v="1"/>
    <x v="5"/>
    <x v="0"/>
  </r>
  <r>
    <n v="31586707"/>
    <x v="4"/>
    <x v="1"/>
    <s v="Married"/>
    <x v="1"/>
    <n v="0"/>
    <x v="3"/>
    <x v="1"/>
    <n v="1"/>
    <n v="1"/>
    <s v="Technical Degree"/>
    <n v="3"/>
    <n v="1"/>
    <x v="196"/>
    <x v="1"/>
    <n v="5"/>
    <n v="3"/>
    <x v="4"/>
    <x v="2"/>
  </r>
  <r>
    <n v="51959912"/>
    <x v="1"/>
    <x v="1"/>
    <s v="Divorced"/>
    <x v="1"/>
    <n v="0"/>
    <x v="3"/>
    <x v="1"/>
    <n v="18"/>
    <n v="4"/>
    <s v="Life Sciences"/>
    <n v="4"/>
    <n v="4"/>
    <x v="197"/>
    <x v="0"/>
    <n v="1"/>
    <n v="3"/>
    <x v="5"/>
    <x v="0"/>
  </r>
  <r>
    <n v="39020040"/>
    <x v="13"/>
    <x v="1"/>
    <s v="Divorced"/>
    <x v="1"/>
    <n v="0"/>
    <x v="1"/>
    <x v="1"/>
    <n v="10"/>
    <n v="4"/>
    <s v="Medical"/>
    <n v="4"/>
    <n v="3"/>
    <x v="198"/>
    <x v="1"/>
    <n v="1"/>
    <n v="4"/>
    <x v="8"/>
    <x v="0"/>
  </r>
  <r>
    <n v="45044708"/>
    <x v="32"/>
    <x v="1"/>
    <s v="Married"/>
    <x v="1"/>
    <n v="0"/>
    <x v="2"/>
    <x v="1"/>
    <n v="19"/>
    <n v="2"/>
    <s v="Medical"/>
    <n v="3"/>
    <n v="4"/>
    <x v="199"/>
    <x v="1"/>
    <n v="8"/>
    <n v="4"/>
    <x v="5"/>
    <x v="0"/>
  </r>
  <r>
    <n v="26102735"/>
    <x v="8"/>
    <x v="1"/>
    <s v="Married"/>
    <x v="0"/>
    <n v="1"/>
    <x v="4"/>
    <x v="1"/>
    <n v="29"/>
    <n v="1"/>
    <s v="Medical"/>
    <n v="2"/>
    <n v="1"/>
    <x v="200"/>
    <x v="0"/>
    <n v="7"/>
    <n v="3"/>
    <x v="6"/>
    <x v="2"/>
  </r>
  <r>
    <n v="11783776"/>
    <x v="11"/>
    <x v="0"/>
    <s v="Married"/>
    <x v="0"/>
    <n v="1"/>
    <x v="0"/>
    <x v="0"/>
    <n v="27"/>
    <n v="3"/>
    <s v="Marketing"/>
    <n v="2"/>
    <n v="4"/>
    <x v="201"/>
    <x v="0"/>
    <n v="1"/>
    <n v="2"/>
    <x v="1"/>
    <x v="1"/>
  </r>
  <r>
    <n v="48154364"/>
    <x v="15"/>
    <x v="1"/>
    <s v="Divorced"/>
    <x v="1"/>
    <n v="0"/>
    <x v="1"/>
    <x v="1"/>
    <n v="5"/>
    <n v="3"/>
    <s v="Life Sciences"/>
    <n v="4"/>
    <n v="2"/>
    <x v="202"/>
    <x v="1"/>
    <n v="1"/>
    <n v="2"/>
    <x v="9"/>
    <x v="2"/>
  </r>
  <r>
    <n v="17878314"/>
    <x v="9"/>
    <x v="0"/>
    <s v="Single"/>
    <x v="1"/>
    <n v="0"/>
    <x v="2"/>
    <x v="1"/>
    <n v="18"/>
    <n v="1"/>
    <s v="Medical"/>
    <n v="2"/>
    <n v="4"/>
    <x v="203"/>
    <x v="1"/>
    <n v="1"/>
    <n v="3"/>
    <x v="3"/>
    <x v="0"/>
  </r>
  <r>
    <n v="13249724"/>
    <x v="32"/>
    <x v="1"/>
    <s v="Married"/>
    <x v="1"/>
    <n v="0"/>
    <x v="4"/>
    <x v="1"/>
    <n v="9"/>
    <n v="5"/>
    <s v="Life Sciences"/>
    <n v="4"/>
    <n v="4"/>
    <x v="204"/>
    <x v="1"/>
    <n v="9"/>
    <n v="1"/>
    <x v="11"/>
    <x v="2"/>
  </r>
  <r>
    <n v="66262346"/>
    <x v="21"/>
    <x v="1"/>
    <s v="Divorced"/>
    <x v="1"/>
    <n v="0"/>
    <x v="4"/>
    <x v="1"/>
    <n v="1"/>
    <n v="4"/>
    <s v="Medical"/>
    <n v="4"/>
    <n v="1"/>
    <x v="205"/>
    <x v="2"/>
    <n v="7"/>
    <n v="3"/>
    <x v="9"/>
    <x v="2"/>
  </r>
  <r>
    <n v="80791831"/>
    <x v="5"/>
    <x v="1"/>
    <s v="Married"/>
    <x v="0"/>
    <n v="1"/>
    <x v="0"/>
    <x v="0"/>
    <n v="4"/>
    <n v="4"/>
    <s v="Medical"/>
    <n v="4"/>
    <n v="4"/>
    <x v="206"/>
    <x v="2"/>
    <n v="1"/>
    <n v="2"/>
    <x v="13"/>
    <x v="1"/>
  </r>
  <r>
    <n v="26397355"/>
    <x v="7"/>
    <x v="1"/>
    <s v="Single"/>
    <x v="1"/>
    <n v="0"/>
    <x v="3"/>
    <x v="1"/>
    <n v="1"/>
    <n v="1"/>
    <s v="Life Sciences"/>
    <n v="3"/>
    <n v="3"/>
    <x v="207"/>
    <x v="0"/>
    <n v="1"/>
    <n v="3"/>
    <x v="19"/>
    <x v="1"/>
  </r>
  <r>
    <n v="57527591"/>
    <x v="4"/>
    <x v="0"/>
    <s v="Single"/>
    <x v="1"/>
    <n v="0"/>
    <x v="0"/>
    <x v="0"/>
    <n v="20"/>
    <n v="3"/>
    <s v="Life Sciences"/>
    <n v="4"/>
    <n v="3"/>
    <x v="208"/>
    <x v="2"/>
    <n v="1"/>
    <n v="3"/>
    <x v="5"/>
    <x v="0"/>
  </r>
  <r>
    <n v="23302033"/>
    <x v="31"/>
    <x v="1"/>
    <s v="Married"/>
    <x v="1"/>
    <n v="0"/>
    <x v="7"/>
    <x v="1"/>
    <n v="8"/>
    <n v="4"/>
    <s v="Life Sciences"/>
    <n v="2"/>
    <n v="2"/>
    <x v="209"/>
    <x v="2"/>
    <n v="5"/>
    <n v="1"/>
    <x v="1"/>
    <x v="1"/>
  </r>
  <r>
    <n v="66957847"/>
    <x v="7"/>
    <x v="0"/>
    <s v="Single"/>
    <x v="0"/>
    <n v="1"/>
    <x v="1"/>
    <x v="1"/>
    <n v="3"/>
    <n v="3"/>
    <s v="Technical Degree"/>
    <n v="4"/>
    <n v="1"/>
    <x v="210"/>
    <x v="1"/>
    <n v="5"/>
    <n v="3"/>
    <x v="8"/>
    <x v="0"/>
  </r>
  <r>
    <n v="62911778"/>
    <x v="0"/>
    <x v="0"/>
    <s v="Single"/>
    <x v="1"/>
    <n v="0"/>
    <x v="5"/>
    <x v="0"/>
    <n v="6"/>
    <n v="3"/>
    <s v="Life Sciences"/>
    <n v="4"/>
    <n v="4"/>
    <x v="211"/>
    <x v="3"/>
    <n v="3"/>
    <n v="3"/>
    <x v="6"/>
    <x v="2"/>
  </r>
  <r>
    <n v="12722995"/>
    <x v="7"/>
    <x v="0"/>
    <s v="Single"/>
    <x v="0"/>
    <n v="1"/>
    <x v="0"/>
    <x v="0"/>
    <n v="26"/>
    <n v="4"/>
    <s v="Marketing"/>
    <n v="3"/>
    <n v="1"/>
    <x v="212"/>
    <x v="0"/>
    <n v="5"/>
    <n v="2"/>
    <x v="0"/>
    <x v="0"/>
  </r>
  <r>
    <n v="36327887"/>
    <x v="11"/>
    <x v="1"/>
    <s v="Single"/>
    <x v="0"/>
    <n v="1"/>
    <x v="1"/>
    <x v="1"/>
    <n v="1"/>
    <n v="3"/>
    <s v="Technical Degree"/>
    <n v="3"/>
    <n v="3"/>
    <x v="213"/>
    <x v="1"/>
    <n v="0"/>
    <n v="2"/>
    <x v="0"/>
    <x v="0"/>
  </r>
  <r>
    <n v="27058403"/>
    <x v="28"/>
    <x v="0"/>
    <s v="Single"/>
    <x v="1"/>
    <n v="0"/>
    <x v="0"/>
    <x v="0"/>
    <n v="6"/>
    <n v="3"/>
    <s v="Medical"/>
    <n v="4"/>
    <n v="4"/>
    <x v="214"/>
    <x v="0"/>
    <n v="6"/>
    <n v="3"/>
    <x v="27"/>
    <x v="5"/>
  </r>
  <r>
    <n v="51204792"/>
    <x v="33"/>
    <x v="0"/>
    <s v="Married"/>
    <x v="1"/>
    <n v="0"/>
    <x v="0"/>
    <x v="0"/>
    <n v="3"/>
    <n v="3"/>
    <s v="Marketing"/>
    <n v="4"/>
    <n v="1"/>
    <x v="215"/>
    <x v="0"/>
    <n v="2"/>
    <n v="3"/>
    <x v="0"/>
    <x v="0"/>
  </r>
  <r>
    <n v="70805842"/>
    <x v="9"/>
    <x v="1"/>
    <s v="Single"/>
    <x v="1"/>
    <n v="0"/>
    <x v="2"/>
    <x v="1"/>
    <n v="5"/>
    <n v="2"/>
    <s v="Life Sciences"/>
    <n v="4"/>
    <n v="2"/>
    <x v="216"/>
    <x v="0"/>
    <n v="8"/>
    <n v="4"/>
    <x v="20"/>
    <x v="1"/>
  </r>
  <r>
    <n v="87823218"/>
    <x v="3"/>
    <x v="0"/>
    <s v="Married"/>
    <x v="1"/>
    <n v="0"/>
    <x v="1"/>
    <x v="1"/>
    <n v="4"/>
    <n v="4"/>
    <s v="Medical"/>
    <n v="3"/>
    <n v="2"/>
    <x v="217"/>
    <x v="1"/>
    <n v="6"/>
    <n v="3"/>
    <x v="11"/>
    <x v="2"/>
  </r>
  <r>
    <n v="25443723"/>
    <x v="2"/>
    <x v="1"/>
    <s v="Divorced"/>
    <x v="1"/>
    <n v="0"/>
    <x v="7"/>
    <x v="1"/>
    <n v="11"/>
    <n v="3"/>
    <s v="Other"/>
    <n v="2"/>
    <n v="4"/>
    <x v="218"/>
    <x v="2"/>
    <n v="1"/>
    <n v="3"/>
    <x v="1"/>
    <x v="1"/>
  </r>
  <r>
    <n v="59040671"/>
    <x v="8"/>
    <x v="1"/>
    <s v="Divorced"/>
    <x v="1"/>
    <n v="0"/>
    <x v="0"/>
    <x v="0"/>
    <n v="3"/>
    <n v="3"/>
    <s v="Life Sciences"/>
    <n v="1"/>
    <n v="3"/>
    <x v="219"/>
    <x v="2"/>
    <n v="0"/>
    <n v="2"/>
    <x v="22"/>
    <x v="5"/>
  </r>
  <r>
    <n v="78679948"/>
    <x v="12"/>
    <x v="1"/>
    <s v="Married"/>
    <x v="1"/>
    <n v="0"/>
    <x v="3"/>
    <x v="1"/>
    <n v="1"/>
    <n v="4"/>
    <s v="Medical"/>
    <n v="3"/>
    <n v="3"/>
    <x v="220"/>
    <x v="1"/>
    <n v="0"/>
    <n v="3"/>
    <x v="8"/>
    <x v="0"/>
  </r>
  <r>
    <n v="57381588"/>
    <x v="6"/>
    <x v="1"/>
    <s v="Married"/>
    <x v="1"/>
    <n v="0"/>
    <x v="1"/>
    <x v="1"/>
    <n v="3"/>
    <n v="3"/>
    <s v="Life Sciences"/>
    <n v="3"/>
    <n v="4"/>
    <x v="221"/>
    <x v="1"/>
    <n v="3"/>
    <n v="3"/>
    <x v="6"/>
    <x v="2"/>
  </r>
  <r>
    <n v="37845508"/>
    <x v="2"/>
    <x v="1"/>
    <s v="Divorced"/>
    <x v="1"/>
    <n v="0"/>
    <x v="6"/>
    <x v="0"/>
    <n v="4"/>
    <n v="4"/>
    <s v="Marketing"/>
    <n v="1"/>
    <n v="4"/>
    <x v="222"/>
    <x v="1"/>
    <n v="4"/>
    <n v="3"/>
    <x v="7"/>
    <x v="0"/>
  </r>
  <r>
    <n v="78953570"/>
    <x v="11"/>
    <x v="0"/>
    <s v="Married"/>
    <x v="1"/>
    <n v="0"/>
    <x v="0"/>
    <x v="0"/>
    <n v="1"/>
    <n v="1"/>
    <s v="Medical"/>
    <n v="2"/>
    <n v="4"/>
    <x v="223"/>
    <x v="0"/>
    <n v="1"/>
    <n v="3"/>
    <x v="19"/>
    <x v="1"/>
  </r>
  <r>
    <n v="16120776"/>
    <x v="10"/>
    <x v="0"/>
    <s v="Single"/>
    <x v="1"/>
    <n v="0"/>
    <x v="0"/>
    <x v="0"/>
    <n v="1"/>
    <n v="3"/>
    <s v="Marketing"/>
    <n v="3"/>
    <n v="3"/>
    <x v="224"/>
    <x v="0"/>
    <n v="1"/>
    <n v="4"/>
    <x v="1"/>
    <x v="1"/>
  </r>
  <r>
    <n v="25234657"/>
    <x v="11"/>
    <x v="1"/>
    <s v="Single"/>
    <x v="0"/>
    <n v="1"/>
    <x v="1"/>
    <x v="1"/>
    <n v="18"/>
    <n v="1"/>
    <s v="Medical"/>
    <n v="3"/>
    <n v="4"/>
    <x v="225"/>
    <x v="1"/>
    <n v="1"/>
    <n v="2"/>
    <x v="9"/>
    <x v="2"/>
  </r>
  <r>
    <n v="44322313"/>
    <x v="39"/>
    <x v="0"/>
    <s v="Single"/>
    <x v="1"/>
    <n v="0"/>
    <x v="2"/>
    <x v="1"/>
    <n v="2"/>
    <n v="3"/>
    <s v="Life Sciences"/>
    <n v="3"/>
    <n v="4"/>
    <x v="226"/>
    <x v="1"/>
    <n v="7"/>
    <n v="2"/>
    <x v="4"/>
    <x v="2"/>
  </r>
  <r>
    <n v="46101906"/>
    <x v="19"/>
    <x v="1"/>
    <s v="Married"/>
    <x v="1"/>
    <n v="0"/>
    <x v="5"/>
    <x v="1"/>
    <n v="4"/>
    <n v="2"/>
    <s v="Technical Degree"/>
    <n v="3"/>
    <n v="4"/>
    <x v="227"/>
    <x v="4"/>
    <n v="1"/>
    <n v="3"/>
    <x v="14"/>
    <x v="4"/>
  </r>
  <r>
    <n v="47234158"/>
    <x v="6"/>
    <x v="1"/>
    <s v="Married"/>
    <x v="1"/>
    <n v="0"/>
    <x v="8"/>
    <x v="2"/>
    <n v="6"/>
    <n v="2"/>
    <s v="Medical"/>
    <n v="2"/>
    <n v="3"/>
    <x v="228"/>
    <x v="1"/>
    <n v="8"/>
    <n v="2"/>
    <x v="4"/>
    <x v="2"/>
  </r>
  <r>
    <n v="86207748"/>
    <x v="24"/>
    <x v="0"/>
    <s v="Divorced"/>
    <x v="1"/>
    <n v="0"/>
    <x v="5"/>
    <x v="0"/>
    <n v="1"/>
    <n v="4"/>
    <s v="Medical"/>
    <n v="4"/>
    <n v="4"/>
    <x v="229"/>
    <x v="4"/>
    <n v="3"/>
    <n v="2"/>
    <x v="5"/>
    <x v="0"/>
  </r>
  <r>
    <n v="38144905"/>
    <x v="3"/>
    <x v="1"/>
    <s v="Married"/>
    <x v="0"/>
    <n v="1"/>
    <x v="2"/>
    <x v="1"/>
    <n v="14"/>
    <n v="3"/>
    <s v="Medical"/>
    <n v="3"/>
    <n v="4"/>
    <x v="230"/>
    <x v="1"/>
    <n v="5"/>
    <n v="1"/>
    <x v="8"/>
    <x v="0"/>
  </r>
  <r>
    <n v="67083569"/>
    <x v="23"/>
    <x v="0"/>
    <s v="Married"/>
    <x v="1"/>
    <n v="0"/>
    <x v="5"/>
    <x v="0"/>
    <n v="16"/>
    <n v="3"/>
    <s v="Marketing"/>
    <n v="4"/>
    <n v="4"/>
    <x v="231"/>
    <x v="3"/>
    <n v="5"/>
    <n v="3"/>
    <x v="18"/>
    <x v="5"/>
  </r>
  <r>
    <n v="31358957"/>
    <x v="3"/>
    <x v="0"/>
    <s v="Married"/>
    <x v="0"/>
    <n v="1"/>
    <x v="2"/>
    <x v="1"/>
    <n v="2"/>
    <n v="2"/>
    <s v="Life Sciences"/>
    <n v="1"/>
    <n v="1"/>
    <x v="232"/>
    <x v="1"/>
    <n v="7"/>
    <n v="4"/>
    <x v="7"/>
    <x v="0"/>
  </r>
  <r>
    <n v="65673779"/>
    <x v="39"/>
    <x v="1"/>
    <s v="Single"/>
    <x v="1"/>
    <n v="0"/>
    <x v="5"/>
    <x v="0"/>
    <n v="2"/>
    <n v="4"/>
    <s v="Life Sciences"/>
    <n v="1"/>
    <n v="3"/>
    <x v="233"/>
    <x v="4"/>
    <n v="1"/>
    <n v="4"/>
    <x v="26"/>
    <x v="8"/>
  </r>
  <r>
    <n v="89531320"/>
    <x v="5"/>
    <x v="0"/>
    <s v="Married"/>
    <x v="1"/>
    <n v="0"/>
    <x v="6"/>
    <x v="0"/>
    <n v="4"/>
    <n v="2"/>
    <s v="Life Sciences"/>
    <n v="3"/>
    <n v="2"/>
    <x v="234"/>
    <x v="1"/>
    <n v="2"/>
    <n v="3"/>
    <x v="9"/>
    <x v="2"/>
  </r>
  <r>
    <n v="37796906"/>
    <x v="5"/>
    <x v="1"/>
    <s v="Single"/>
    <x v="0"/>
    <n v="1"/>
    <x v="2"/>
    <x v="1"/>
    <n v="1"/>
    <n v="3"/>
    <s v="Life Sciences"/>
    <n v="4"/>
    <n v="3"/>
    <x v="235"/>
    <x v="1"/>
    <n v="0"/>
    <n v="1"/>
    <x v="11"/>
    <x v="2"/>
  </r>
  <r>
    <n v="79089315"/>
    <x v="22"/>
    <x v="0"/>
    <s v="Divorced"/>
    <x v="1"/>
    <n v="0"/>
    <x v="2"/>
    <x v="1"/>
    <n v="1"/>
    <n v="4"/>
    <s v="Medical"/>
    <n v="3"/>
    <n v="3"/>
    <x v="236"/>
    <x v="1"/>
    <n v="7"/>
    <n v="3"/>
    <x v="11"/>
    <x v="2"/>
  </r>
  <r>
    <n v="79276251"/>
    <x v="5"/>
    <x v="1"/>
    <s v="Married"/>
    <x v="1"/>
    <n v="0"/>
    <x v="0"/>
    <x v="0"/>
    <n v="26"/>
    <n v="4"/>
    <s v="Marketing"/>
    <n v="3"/>
    <n v="4"/>
    <x v="237"/>
    <x v="1"/>
    <n v="0"/>
    <n v="3"/>
    <x v="11"/>
    <x v="2"/>
  </r>
  <r>
    <n v="50047344"/>
    <x v="0"/>
    <x v="1"/>
    <s v="Divorced"/>
    <x v="1"/>
    <n v="0"/>
    <x v="1"/>
    <x v="1"/>
    <n v="19"/>
    <n v="2"/>
    <s v="Life Sciences"/>
    <n v="3"/>
    <n v="1"/>
    <x v="169"/>
    <x v="1"/>
    <n v="2"/>
    <n v="2"/>
    <x v="6"/>
    <x v="2"/>
  </r>
  <r>
    <n v="10474714"/>
    <x v="32"/>
    <x v="1"/>
    <s v="Divorced"/>
    <x v="1"/>
    <n v="0"/>
    <x v="1"/>
    <x v="1"/>
    <n v="24"/>
    <n v="2"/>
    <s v="Technical Degree"/>
    <n v="1"/>
    <n v="4"/>
    <x v="238"/>
    <x v="1"/>
    <n v="1"/>
    <n v="3"/>
    <x v="7"/>
    <x v="0"/>
  </r>
  <r>
    <n v="28288952"/>
    <x v="28"/>
    <x v="1"/>
    <s v="Married"/>
    <x v="1"/>
    <n v="0"/>
    <x v="5"/>
    <x v="1"/>
    <n v="1"/>
    <n v="3"/>
    <s v="Other"/>
    <n v="3"/>
    <n v="4"/>
    <x v="239"/>
    <x v="4"/>
    <n v="0"/>
    <n v="3"/>
    <x v="25"/>
    <x v="4"/>
  </r>
  <r>
    <n v="22489139"/>
    <x v="12"/>
    <x v="1"/>
    <s v="Divorced"/>
    <x v="1"/>
    <n v="0"/>
    <x v="7"/>
    <x v="1"/>
    <n v="3"/>
    <n v="4"/>
    <s v="Medical"/>
    <n v="2"/>
    <n v="3"/>
    <x v="240"/>
    <x v="3"/>
    <n v="9"/>
    <n v="3"/>
    <x v="4"/>
    <x v="2"/>
  </r>
  <r>
    <n v="11986083"/>
    <x v="3"/>
    <x v="0"/>
    <s v="Married"/>
    <x v="1"/>
    <n v="0"/>
    <x v="1"/>
    <x v="1"/>
    <n v="5"/>
    <n v="4"/>
    <s v="Life Sciences"/>
    <n v="3"/>
    <n v="4"/>
    <x v="12"/>
    <x v="1"/>
    <n v="1"/>
    <n v="2"/>
    <x v="4"/>
    <x v="2"/>
  </r>
  <r>
    <n v="30415188"/>
    <x v="13"/>
    <x v="1"/>
    <s v="Married"/>
    <x v="1"/>
    <n v="0"/>
    <x v="3"/>
    <x v="1"/>
    <n v="2"/>
    <n v="4"/>
    <s v="Life Sciences"/>
    <n v="4"/>
    <n v="1"/>
    <x v="241"/>
    <x v="0"/>
    <n v="6"/>
    <n v="3"/>
    <x v="19"/>
    <x v="1"/>
  </r>
  <r>
    <n v="17835457"/>
    <x v="2"/>
    <x v="0"/>
    <s v="Married"/>
    <x v="1"/>
    <n v="0"/>
    <x v="1"/>
    <x v="1"/>
    <n v="1"/>
    <n v="2"/>
    <s v="Medical"/>
    <n v="3"/>
    <n v="1"/>
    <x v="242"/>
    <x v="1"/>
    <n v="2"/>
    <n v="2"/>
    <x v="11"/>
    <x v="2"/>
  </r>
  <r>
    <n v="41774235"/>
    <x v="28"/>
    <x v="1"/>
    <s v="Married"/>
    <x v="1"/>
    <n v="0"/>
    <x v="3"/>
    <x v="1"/>
    <n v="7"/>
    <n v="4"/>
    <s v="Life Sciences"/>
    <n v="1"/>
    <n v="3"/>
    <x v="243"/>
    <x v="0"/>
    <n v="4"/>
    <n v="3"/>
    <x v="11"/>
    <x v="2"/>
  </r>
  <r>
    <n v="81466189"/>
    <x v="2"/>
    <x v="1"/>
    <s v="Divorced"/>
    <x v="0"/>
    <n v="1"/>
    <x v="3"/>
    <x v="1"/>
    <n v="10"/>
    <n v="3"/>
    <s v="Medical"/>
    <n v="1"/>
    <n v="3"/>
    <x v="244"/>
    <x v="2"/>
    <n v="6"/>
    <n v="3"/>
    <x v="6"/>
    <x v="2"/>
  </r>
  <r>
    <n v="16426072"/>
    <x v="22"/>
    <x v="0"/>
    <s v="Single"/>
    <x v="1"/>
    <n v="0"/>
    <x v="4"/>
    <x v="1"/>
    <n v="2"/>
    <n v="4"/>
    <s v="Technical Degree"/>
    <n v="3"/>
    <n v="3"/>
    <x v="245"/>
    <x v="2"/>
    <n v="0"/>
    <n v="3"/>
    <x v="27"/>
    <x v="5"/>
  </r>
  <r>
    <n v="12325464"/>
    <x v="11"/>
    <x v="1"/>
    <s v="Single"/>
    <x v="1"/>
    <n v="0"/>
    <x v="1"/>
    <x v="1"/>
    <n v="15"/>
    <n v="3"/>
    <s v="Life Sciences"/>
    <n v="3"/>
    <n v="4"/>
    <x v="246"/>
    <x v="1"/>
    <n v="1"/>
    <n v="3"/>
    <x v="0"/>
    <x v="0"/>
  </r>
  <r>
    <n v="29516981"/>
    <x v="19"/>
    <x v="0"/>
    <s v="Single"/>
    <x v="1"/>
    <n v="0"/>
    <x v="1"/>
    <x v="1"/>
    <n v="17"/>
    <n v="2"/>
    <s v="Life Sciences"/>
    <n v="4"/>
    <n v="1"/>
    <x v="247"/>
    <x v="0"/>
    <n v="3"/>
    <n v="3"/>
    <x v="11"/>
    <x v="2"/>
  </r>
  <r>
    <n v="67591497"/>
    <x v="11"/>
    <x v="1"/>
    <s v="Divorced"/>
    <x v="1"/>
    <n v="0"/>
    <x v="0"/>
    <x v="0"/>
    <n v="20"/>
    <n v="2"/>
    <s v="Marketing"/>
    <n v="4"/>
    <n v="4"/>
    <x v="248"/>
    <x v="0"/>
    <n v="2"/>
    <n v="3"/>
    <x v="11"/>
    <x v="2"/>
  </r>
  <r>
    <n v="18438099"/>
    <x v="36"/>
    <x v="0"/>
    <s v="Married"/>
    <x v="1"/>
    <n v="0"/>
    <x v="3"/>
    <x v="1"/>
    <n v="1"/>
    <n v="3"/>
    <s v="Life Sciences"/>
    <n v="1"/>
    <n v="3"/>
    <x v="249"/>
    <x v="1"/>
    <n v="0"/>
    <n v="3"/>
    <x v="9"/>
    <x v="2"/>
  </r>
  <r>
    <n v="14558989"/>
    <x v="19"/>
    <x v="0"/>
    <s v="Divorced"/>
    <x v="1"/>
    <n v="0"/>
    <x v="2"/>
    <x v="1"/>
    <n v="2"/>
    <n v="3"/>
    <s v="Medical"/>
    <n v="4"/>
    <n v="1"/>
    <x v="250"/>
    <x v="1"/>
    <n v="0"/>
    <n v="3"/>
    <x v="7"/>
    <x v="0"/>
  </r>
  <r>
    <n v="23564587"/>
    <x v="32"/>
    <x v="1"/>
    <s v="Divorced"/>
    <x v="1"/>
    <n v="0"/>
    <x v="7"/>
    <x v="1"/>
    <n v="2"/>
    <n v="2"/>
    <s v="Medical"/>
    <n v="1"/>
    <n v="3"/>
    <x v="251"/>
    <x v="4"/>
    <n v="0"/>
    <n v="3"/>
    <x v="17"/>
    <x v="4"/>
  </r>
  <r>
    <n v="32938752"/>
    <x v="31"/>
    <x v="1"/>
    <s v="Married"/>
    <x v="1"/>
    <n v="0"/>
    <x v="1"/>
    <x v="1"/>
    <n v="1"/>
    <n v="3"/>
    <s v="Life Sciences"/>
    <n v="3"/>
    <n v="4"/>
    <x v="252"/>
    <x v="1"/>
    <n v="1"/>
    <n v="2"/>
    <x v="6"/>
    <x v="2"/>
  </r>
  <r>
    <n v="55381937"/>
    <x v="12"/>
    <x v="1"/>
    <s v="Single"/>
    <x v="0"/>
    <n v="1"/>
    <x v="2"/>
    <x v="1"/>
    <n v="29"/>
    <n v="2"/>
    <s v="Medical"/>
    <n v="3"/>
    <n v="2"/>
    <x v="253"/>
    <x v="1"/>
    <n v="0"/>
    <n v="4"/>
    <x v="8"/>
    <x v="0"/>
  </r>
  <r>
    <n v="48863799"/>
    <x v="5"/>
    <x v="1"/>
    <s v="Married"/>
    <x v="1"/>
    <n v="0"/>
    <x v="2"/>
    <x v="1"/>
    <n v="7"/>
    <n v="3"/>
    <s v="Life Sciences"/>
    <n v="2"/>
    <n v="2"/>
    <x v="254"/>
    <x v="1"/>
    <n v="1"/>
    <n v="1"/>
    <x v="8"/>
    <x v="0"/>
  </r>
  <r>
    <n v="24515879"/>
    <x v="8"/>
    <x v="1"/>
    <s v="Married"/>
    <x v="1"/>
    <n v="0"/>
    <x v="0"/>
    <x v="0"/>
    <n v="2"/>
    <n v="2"/>
    <s v="Life Sciences"/>
    <n v="4"/>
    <n v="4"/>
    <x v="255"/>
    <x v="0"/>
    <n v="3"/>
    <n v="3"/>
    <x v="3"/>
    <x v="0"/>
  </r>
  <r>
    <n v="25654577"/>
    <x v="5"/>
    <x v="1"/>
    <s v="Single"/>
    <x v="1"/>
    <n v="0"/>
    <x v="2"/>
    <x v="1"/>
    <n v="2"/>
    <n v="1"/>
    <s v="Technical Degree"/>
    <n v="4"/>
    <n v="1"/>
    <x v="256"/>
    <x v="1"/>
    <n v="4"/>
    <n v="3"/>
    <x v="0"/>
    <x v="0"/>
  </r>
  <r>
    <n v="48427275"/>
    <x v="21"/>
    <x v="0"/>
    <s v="Married"/>
    <x v="1"/>
    <n v="0"/>
    <x v="5"/>
    <x v="0"/>
    <n v="2"/>
    <n v="3"/>
    <s v="Technical Degree"/>
    <n v="3"/>
    <n v="2"/>
    <x v="257"/>
    <x v="3"/>
    <n v="3"/>
    <n v="2"/>
    <x v="5"/>
    <x v="0"/>
  </r>
  <r>
    <n v="35700578"/>
    <x v="14"/>
    <x v="1"/>
    <s v="Single"/>
    <x v="0"/>
    <n v="1"/>
    <x v="2"/>
    <x v="1"/>
    <n v="2"/>
    <n v="4"/>
    <s v="Life Sciences"/>
    <n v="1"/>
    <n v="3"/>
    <x v="258"/>
    <x v="1"/>
    <n v="2"/>
    <n v="1"/>
    <x v="2"/>
    <x v="2"/>
  </r>
  <r>
    <n v="50954240"/>
    <x v="11"/>
    <x v="1"/>
    <s v="Married"/>
    <x v="1"/>
    <n v="0"/>
    <x v="0"/>
    <x v="0"/>
    <n v="2"/>
    <n v="3"/>
    <s v="Medical"/>
    <n v="1"/>
    <n v="2"/>
    <x v="259"/>
    <x v="0"/>
    <n v="2"/>
    <n v="3"/>
    <x v="2"/>
    <x v="2"/>
  </r>
  <r>
    <n v="66074101"/>
    <x v="12"/>
    <x v="1"/>
    <s v="Married"/>
    <x v="1"/>
    <n v="0"/>
    <x v="4"/>
    <x v="1"/>
    <n v="23"/>
    <n v="3"/>
    <s v="Medical"/>
    <n v="2"/>
    <n v="4"/>
    <x v="260"/>
    <x v="0"/>
    <n v="0"/>
    <n v="3"/>
    <x v="7"/>
    <x v="0"/>
  </r>
  <r>
    <n v="54549638"/>
    <x v="36"/>
    <x v="1"/>
    <s v="Divorced"/>
    <x v="1"/>
    <n v="0"/>
    <x v="4"/>
    <x v="1"/>
    <n v="5"/>
    <n v="2"/>
    <s v="Life Sciences"/>
    <n v="2"/>
    <n v="1"/>
    <x v="261"/>
    <x v="1"/>
    <n v="1"/>
    <n v="3"/>
    <x v="0"/>
    <x v="0"/>
  </r>
  <r>
    <n v="54597644"/>
    <x v="28"/>
    <x v="1"/>
    <s v="Married"/>
    <x v="1"/>
    <n v="0"/>
    <x v="4"/>
    <x v="1"/>
    <n v="20"/>
    <n v="2"/>
    <s v="Medical"/>
    <n v="3"/>
    <n v="4"/>
    <x v="262"/>
    <x v="3"/>
    <n v="0"/>
    <n v="3"/>
    <x v="23"/>
    <x v="4"/>
  </r>
  <r>
    <n v="27403967"/>
    <x v="9"/>
    <x v="1"/>
    <s v="Married"/>
    <x v="1"/>
    <n v="0"/>
    <x v="2"/>
    <x v="1"/>
    <n v="6"/>
    <n v="3"/>
    <s v="Life Sciences"/>
    <n v="4"/>
    <n v="4"/>
    <x v="263"/>
    <x v="1"/>
    <n v="0"/>
    <n v="3"/>
    <x v="15"/>
    <x v="5"/>
  </r>
  <r>
    <n v="51022838"/>
    <x v="27"/>
    <x v="1"/>
    <s v="Single"/>
    <x v="1"/>
    <n v="0"/>
    <x v="5"/>
    <x v="1"/>
    <n v="1"/>
    <n v="3"/>
    <s v="Medical"/>
    <n v="4"/>
    <n v="1"/>
    <x v="264"/>
    <x v="4"/>
    <n v="0"/>
    <n v="3"/>
    <x v="28"/>
    <x v="6"/>
  </r>
  <r>
    <n v="64406571"/>
    <x v="40"/>
    <x v="1"/>
    <s v="Married"/>
    <x v="0"/>
    <n v="1"/>
    <x v="5"/>
    <x v="1"/>
    <n v="29"/>
    <n v="4"/>
    <s v="Life Sciences"/>
    <n v="1"/>
    <n v="2"/>
    <x v="265"/>
    <x v="2"/>
    <n v="1"/>
    <n v="2"/>
    <x v="1"/>
    <x v="1"/>
  </r>
  <r>
    <n v="38605872"/>
    <x v="14"/>
    <x v="1"/>
    <s v="Married"/>
    <x v="1"/>
    <n v="0"/>
    <x v="1"/>
    <x v="1"/>
    <n v="9"/>
    <n v="3"/>
    <s v="Medical"/>
    <n v="4"/>
    <n v="4"/>
    <x v="266"/>
    <x v="1"/>
    <n v="1"/>
    <n v="2"/>
    <x v="8"/>
    <x v="0"/>
  </r>
  <r>
    <n v="11245755"/>
    <x v="2"/>
    <x v="1"/>
    <s v="Married"/>
    <x v="1"/>
    <n v="0"/>
    <x v="0"/>
    <x v="0"/>
    <n v="6"/>
    <n v="4"/>
    <s v="Medical"/>
    <n v="3"/>
    <n v="4"/>
    <x v="267"/>
    <x v="0"/>
    <n v="4"/>
    <n v="4"/>
    <x v="8"/>
    <x v="0"/>
  </r>
  <r>
    <n v="23450646"/>
    <x v="18"/>
    <x v="1"/>
    <s v="Single"/>
    <x v="1"/>
    <n v="0"/>
    <x v="1"/>
    <x v="1"/>
    <n v="3"/>
    <n v="2"/>
    <s v="Medical"/>
    <n v="4"/>
    <n v="3"/>
    <x v="268"/>
    <x v="1"/>
    <n v="1"/>
    <n v="4"/>
    <x v="11"/>
    <x v="2"/>
  </r>
  <r>
    <n v="26531180"/>
    <x v="2"/>
    <x v="0"/>
    <s v="Divorced"/>
    <x v="1"/>
    <n v="0"/>
    <x v="7"/>
    <x v="1"/>
    <n v="1"/>
    <n v="4"/>
    <s v="Medical"/>
    <n v="1"/>
    <n v="4"/>
    <x v="269"/>
    <x v="3"/>
    <n v="2"/>
    <n v="3"/>
    <x v="8"/>
    <x v="0"/>
  </r>
  <r>
    <n v="55695753"/>
    <x v="10"/>
    <x v="0"/>
    <s v="Divorced"/>
    <x v="1"/>
    <n v="0"/>
    <x v="5"/>
    <x v="1"/>
    <n v="22"/>
    <n v="3"/>
    <s v="Life Sciences"/>
    <n v="2"/>
    <n v="2"/>
    <x v="270"/>
    <x v="2"/>
    <n v="7"/>
    <n v="2"/>
    <x v="5"/>
    <x v="0"/>
  </r>
  <r>
    <n v="18080045"/>
    <x v="8"/>
    <x v="0"/>
    <s v="Divorced"/>
    <x v="1"/>
    <n v="0"/>
    <x v="0"/>
    <x v="0"/>
    <n v="7"/>
    <n v="2"/>
    <s v="Medical"/>
    <n v="1"/>
    <n v="1"/>
    <x v="147"/>
    <x v="0"/>
    <n v="1"/>
    <n v="3"/>
    <x v="3"/>
    <x v="0"/>
  </r>
  <r>
    <n v="69161375"/>
    <x v="25"/>
    <x v="0"/>
    <s v="Divorced"/>
    <x v="1"/>
    <n v="0"/>
    <x v="3"/>
    <x v="1"/>
    <n v="1"/>
    <n v="3"/>
    <s v="Life Sciences"/>
    <n v="3"/>
    <n v="2"/>
    <x v="271"/>
    <x v="0"/>
    <n v="1"/>
    <n v="1"/>
    <x v="0"/>
    <x v="0"/>
  </r>
  <r>
    <n v="65724620"/>
    <x v="24"/>
    <x v="1"/>
    <s v="Divorced"/>
    <x v="1"/>
    <n v="0"/>
    <x v="7"/>
    <x v="1"/>
    <n v="4"/>
    <n v="1"/>
    <s v="Life Sciences"/>
    <n v="1"/>
    <n v="2"/>
    <x v="272"/>
    <x v="4"/>
    <n v="3"/>
    <n v="2"/>
    <x v="1"/>
    <x v="1"/>
  </r>
  <r>
    <n v="24279128"/>
    <x v="16"/>
    <x v="1"/>
    <s v="Married"/>
    <x v="1"/>
    <n v="0"/>
    <x v="7"/>
    <x v="1"/>
    <n v="3"/>
    <n v="4"/>
    <s v="Medical"/>
    <n v="3"/>
    <n v="3"/>
    <x v="273"/>
    <x v="4"/>
    <n v="3"/>
    <n v="2"/>
    <x v="8"/>
    <x v="0"/>
  </r>
  <r>
    <n v="72976508"/>
    <x v="19"/>
    <x v="1"/>
    <s v="Married"/>
    <x v="1"/>
    <n v="0"/>
    <x v="0"/>
    <x v="0"/>
    <n v="1"/>
    <n v="1"/>
    <s v="Life Sciences"/>
    <n v="2"/>
    <n v="3"/>
    <x v="274"/>
    <x v="1"/>
    <n v="1"/>
    <n v="3"/>
    <x v="23"/>
    <x v="4"/>
  </r>
  <r>
    <n v="74522705"/>
    <x v="11"/>
    <x v="1"/>
    <s v="Single"/>
    <x v="1"/>
    <n v="0"/>
    <x v="0"/>
    <x v="0"/>
    <n v="2"/>
    <n v="2"/>
    <s v="Life Sciences"/>
    <n v="2"/>
    <n v="4"/>
    <x v="275"/>
    <x v="1"/>
    <n v="1"/>
    <n v="2"/>
    <x v="1"/>
    <x v="1"/>
  </r>
  <r>
    <n v="21650645"/>
    <x v="27"/>
    <x v="1"/>
    <s v="Married"/>
    <x v="1"/>
    <n v="0"/>
    <x v="2"/>
    <x v="1"/>
    <n v="20"/>
    <n v="2"/>
    <s v="Technical Degree"/>
    <n v="2"/>
    <n v="4"/>
    <x v="276"/>
    <x v="0"/>
    <n v="3"/>
    <n v="3"/>
    <x v="1"/>
    <x v="1"/>
  </r>
  <r>
    <n v="36911099"/>
    <x v="25"/>
    <x v="1"/>
    <s v="Married"/>
    <x v="1"/>
    <n v="0"/>
    <x v="4"/>
    <x v="1"/>
    <n v="11"/>
    <n v="2"/>
    <s v="Medical"/>
    <n v="1"/>
    <n v="1"/>
    <x v="277"/>
    <x v="1"/>
    <n v="1"/>
    <n v="3"/>
    <x v="8"/>
    <x v="0"/>
  </r>
  <r>
    <n v="52521119"/>
    <x v="2"/>
    <x v="0"/>
    <s v="Single"/>
    <x v="1"/>
    <n v="0"/>
    <x v="1"/>
    <x v="1"/>
    <n v="1"/>
    <n v="3"/>
    <s v="Life Sciences"/>
    <n v="4"/>
    <n v="4"/>
    <x v="278"/>
    <x v="1"/>
    <n v="1"/>
    <n v="3"/>
    <x v="18"/>
    <x v="5"/>
  </r>
  <r>
    <n v="22894536"/>
    <x v="20"/>
    <x v="1"/>
    <s v="Divorced"/>
    <x v="0"/>
    <n v="1"/>
    <x v="2"/>
    <x v="1"/>
    <n v="24"/>
    <n v="3"/>
    <s v="Life Sciences"/>
    <n v="4"/>
    <n v="3"/>
    <x v="279"/>
    <x v="1"/>
    <n v="3"/>
    <n v="1"/>
    <x v="6"/>
    <x v="2"/>
  </r>
  <r>
    <n v="25356954"/>
    <x v="8"/>
    <x v="1"/>
    <s v="Divorced"/>
    <x v="1"/>
    <n v="0"/>
    <x v="4"/>
    <x v="1"/>
    <n v="23"/>
    <n v="4"/>
    <s v="Life Sciences"/>
    <n v="4"/>
    <n v="4"/>
    <x v="280"/>
    <x v="0"/>
    <n v="9"/>
    <n v="3"/>
    <x v="4"/>
    <x v="2"/>
  </r>
  <r>
    <n v="81029631"/>
    <x v="25"/>
    <x v="1"/>
    <s v="Divorced"/>
    <x v="0"/>
    <n v="1"/>
    <x v="2"/>
    <x v="1"/>
    <n v="16"/>
    <n v="4"/>
    <s v="Medical"/>
    <n v="1"/>
    <n v="2"/>
    <x v="281"/>
    <x v="1"/>
    <n v="2"/>
    <n v="3"/>
    <x v="11"/>
    <x v="2"/>
  </r>
  <r>
    <n v="70602620"/>
    <x v="14"/>
    <x v="0"/>
    <s v="Single"/>
    <x v="1"/>
    <n v="0"/>
    <x v="1"/>
    <x v="1"/>
    <n v="8"/>
    <n v="2"/>
    <s v="Life Sciences"/>
    <n v="4"/>
    <n v="4"/>
    <x v="282"/>
    <x v="1"/>
    <n v="1"/>
    <n v="3"/>
    <x v="8"/>
    <x v="0"/>
  </r>
  <r>
    <n v="14498373"/>
    <x v="1"/>
    <x v="0"/>
    <s v="Single"/>
    <x v="1"/>
    <n v="0"/>
    <x v="7"/>
    <x v="1"/>
    <n v="10"/>
    <n v="4"/>
    <s v="Life Sciences"/>
    <n v="3"/>
    <n v="1"/>
    <x v="283"/>
    <x v="4"/>
    <n v="9"/>
    <n v="3"/>
    <x v="11"/>
    <x v="2"/>
  </r>
  <r>
    <n v="24430773"/>
    <x v="9"/>
    <x v="1"/>
    <s v="Single"/>
    <x v="1"/>
    <n v="0"/>
    <x v="1"/>
    <x v="1"/>
    <n v="3"/>
    <n v="3"/>
    <s v="Technical Degree"/>
    <n v="3"/>
    <n v="2"/>
    <x v="284"/>
    <x v="1"/>
    <n v="4"/>
    <n v="3"/>
    <x v="3"/>
    <x v="0"/>
  </r>
  <r>
    <n v="86901257"/>
    <x v="12"/>
    <x v="0"/>
    <s v="Divorced"/>
    <x v="1"/>
    <n v="0"/>
    <x v="6"/>
    <x v="0"/>
    <n v="5"/>
    <n v="3"/>
    <s v="Marketing"/>
    <n v="4"/>
    <n v="2"/>
    <x v="285"/>
    <x v="1"/>
    <n v="1"/>
    <n v="2"/>
    <x v="4"/>
    <x v="2"/>
  </r>
  <r>
    <n v="27657204"/>
    <x v="25"/>
    <x v="1"/>
    <s v="Single"/>
    <x v="0"/>
    <n v="1"/>
    <x v="0"/>
    <x v="0"/>
    <n v="4"/>
    <n v="4"/>
    <s v="Marketing"/>
    <n v="4"/>
    <n v="4"/>
    <x v="286"/>
    <x v="0"/>
    <n v="1"/>
    <n v="3"/>
    <x v="3"/>
    <x v="0"/>
  </r>
  <r>
    <n v="61506734"/>
    <x v="2"/>
    <x v="1"/>
    <s v="Married"/>
    <x v="1"/>
    <n v="0"/>
    <x v="1"/>
    <x v="1"/>
    <n v="9"/>
    <n v="3"/>
    <s v="Medical"/>
    <n v="2"/>
    <n v="4"/>
    <x v="287"/>
    <x v="1"/>
    <n v="1"/>
    <n v="2"/>
    <x v="9"/>
    <x v="2"/>
  </r>
  <r>
    <n v="52148067"/>
    <x v="19"/>
    <x v="0"/>
    <s v="Married"/>
    <x v="1"/>
    <n v="0"/>
    <x v="0"/>
    <x v="0"/>
    <n v="26"/>
    <n v="3"/>
    <s v="Marketing"/>
    <n v="3"/>
    <n v="2"/>
    <x v="288"/>
    <x v="3"/>
    <n v="5"/>
    <n v="4"/>
    <x v="23"/>
    <x v="4"/>
  </r>
  <r>
    <n v="80271988"/>
    <x v="41"/>
    <x v="1"/>
    <s v="Single"/>
    <x v="0"/>
    <n v="1"/>
    <x v="2"/>
    <x v="1"/>
    <n v="3"/>
    <n v="3"/>
    <s v="Life Sciences"/>
    <n v="3"/>
    <n v="3"/>
    <x v="289"/>
    <x v="1"/>
    <n v="1"/>
    <n v="3"/>
    <x v="2"/>
    <x v="2"/>
  </r>
  <r>
    <n v="25781153"/>
    <x v="10"/>
    <x v="1"/>
    <s v="Married"/>
    <x v="1"/>
    <n v="0"/>
    <x v="0"/>
    <x v="0"/>
    <n v="16"/>
    <n v="3"/>
    <s v="Marketing"/>
    <n v="3"/>
    <n v="2"/>
    <x v="290"/>
    <x v="0"/>
    <n v="0"/>
    <n v="2"/>
    <x v="19"/>
    <x v="1"/>
  </r>
  <r>
    <n v="58766522"/>
    <x v="9"/>
    <x v="1"/>
    <s v="Married"/>
    <x v="1"/>
    <n v="0"/>
    <x v="2"/>
    <x v="1"/>
    <n v="18"/>
    <n v="4"/>
    <s v="Life Sciences"/>
    <n v="3"/>
    <n v="4"/>
    <x v="291"/>
    <x v="1"/>
    <n v="4"/>
    <n v="3"/>
    <x v="6"/>
    <x v="2"/>
  </r>
  <r>
    <n v="57259268"/>
    <x v="31"/>
    <x v="1"/>
    <s v="Divorced"/>
    <x v="1"/>
    <n v="0"/>
    <x v="3"/>
    <x v="1"/>
    <n v="2"/>
    <n v="3"/>
    <s v="Medical"/>
    <n v="4"/>
    <n v="2"/>
    <x v="292"/>
    <x v="0"/>
    <n v="5"/>
    <n v="3"/>
    <x v="9"/>
    <x v="2"/>
  </r>
  <r>
    <n v="31071504"/>
    <x v="0"/>
    <x v="1"/>
    <s v="Single"/>
    <x v="1"/>
    <n v="0"/>
    <x v="5"/>
    <x v="0"/>
    <n v="2"/>
    <n v="4"/>
    <s v="Life Sciences"/>
    <n v="4"/>
    <n v="2"/>
    <x v="293"/>
    <x v="3"/>
    <n v="1"/>
    <n v="3"/>
    <x v="14"/>
    <x v="4"/>
  </r>
  <r>
    <n v="51271068"/>
    <x v="41"/>
    <x v="0"/>
    <s v="Single"/>
    <x v="1"/>
    <n v="0"/>
    <x v="6"/>
    <x v="0"/>
    <n v="10"/>
    <n v="3"/>
    <s v="Medical"/>
    <n v="4"/>
    <n v="3"/>
    <x v="294"/>
    <x v="1"/>
    <n v="1"/>
    <n v="3"/>
    <x v="2"/>
    <x v="2"/>
  </r>
  <r>
    <n v="12942615"/>
    <x v="14"/>
    <x v="1"/>
    <s v="Single"/>
    <x v="1"/>
    <n v="0"/>
    <x v="4"/>
    <x v="1"/>
    <n v="16"/>
    <n v="2"/>
    <s v="Medical"/>
    <n v="2"/>
    <n v="1"/>
    <x v="295"/>
    <x v="0"/>
    <n v="0"/>
    <n v="3"/>
    <x v="3"/>
    <x v="0"/>
  </r>
  <r>
    <n v="81668095"/>
    <x v="12"/>
    <x v="1"/>
    <s v="Married"/>
    <x v="1"/>
    <n v="0"/>
    <x v="0"/>
    <x v="0"/>
    <n v="7"/>
    <n v="3"/>
    <s v="Technical Degree"/>
    <n v="2"/>
    <n v="4"/>
    <x v="296"/>
    <x v="0"/>
    <n v="4"/>
    <n v="2"/>
    <x v="3"/>
    <x v="0"/>
  </r>
  <r>
    <n v="11668425"/>
    <x v="22"/>
    <x v="1"/>
    <s v="Divorced"/>
    <x v="1"/>
    <n v="0"/>
    <x v="4"/>
    <x v="1"/>
    <n v="1"/>
    <n v="3"/>
    <s v="Medical"/>
    <n v="3"/>
    <n v="4"/>
    <x v="297"/>
    <x v="2"/>
    <n v="0"/>
    <n v="2"/>
    <x v="29"/>
    <x v="5"/>
  </r>
  <r>
    <n v="66613082"/>
    <x v="9"/>
    <x v="0"/>
    <s v="Married"/>
    <x v="1"/>
    <n v="0"/>
    <x v="2"/>
    <x v="1"/>
    <n v="24"/>
    <n v="4"/>
    <s v="Life Sciences"/>
    <n v="2"/>
    <n v="2"/>
    <x v="298"/>
    <x v="0"/>
    <n v="7"/>
    <n v="3"/>
    <x v="7"/>
    <x v="0"/>
  </r>
  <r>
    <n v="64433926"/>
    <x v="5"/>
    <x v="1"/>
    <s v="Married"/>
    <x v="1"/>
    <n v="0"/>
    <x v="0"/>
    <x v="0"/>
    <n v="7"/>
    <n v="3"/>
    <s v="Life Sciences"/>
    <n v="4"/>
    <n v="3"/>
    <x v="299"/>
    <x v="0"/>
    <n v="1"/>
    <n v="2"/>
    <x v="20"/>
    <x v="1"/>
  </r>
  <r>
    <n v="68689296"/>
    <x v="8"/>
    <x v="0"/>
    <s v="Married"/>
    <x v="1"/>
    <n v="0"/>
    <x v="7"/>
    <x v="1"/>
    <n v="25"/>
    <n v="2"/>
    <s v="Life Sciences"/>
    <n v="1"/>
    <n v="2"/>
    <x v="300"/>
    <x v="2"/>
    <n v="3"/>
    <n v="3"/>
    <x v="1"/>
    <x v="1"/>
  </r>
  <r>
    <n v="80116339"/>
    <x v="34"/>
    <x v="1"/>
    <s v="Divorced"/>
    <x v="1"/>
    <n v="0"/>
    <x v="4"/>
    <x v="1"/>
    <n v="1"/>
    <n v="4"/>
    <s v="Life Sciences"/>
    <n v="4"/>
    <n v="3"/>
    <x v="301"/>
    <x v="0"/>
    <n v="2"/>
    <n v="3"/>
    <x v="8"/>
    <x v="0"/>
  </r>
  <r>
    <n v="76955127"/>
    <x v="12"/>
    <x v="1"/>
    <s v="Married"/>
    <x v="1"/>
    <n v="0"/>
    <x v="1"/>
    <x v="1"/>
    <n v="5"/>
    <n v="4"/>
    <s v="Technical Degree"/>
    <n v="3"/>
    <n v="4"/>
    <x v="302"/>
    <x v="1"/>
    <n v="0"/>
    <n v="3"/>
    <x v="8"/>
    <x v="0"/>
  </r>
  <r>
    <n v="52865979"/>
    <x v="12"/>
    <x v="1"/>
    <s v="Married"/>
    <x v="1"/>
    <n v="0"/>
    <x v="8"/>
    <x v="2"/>
    <n v="2"/>
    <n v="3"/>
    <s v="Human Resources"/>
    <n v="1"/>
    <n v="1"/>
    <x v="303"/>
    <x v="0"/>
    <n v="3"/>
    <n v="3"/>
    <x v="4"/>
    <x v="2"/>
  </r>
  <r>
    <n v="18352737"/>
    <x v="28"/>
    <x v="1"/>
    <s v="Divorced"/>
    <x v="1"/>
    <n v="0"/>
    <x v="2"/>
    <x v="1"/>
    <n v="7"/>
    <n v="3"/>
    <s v="Life Sciences"/>
    <n v="1"/>
    <n v="1"/>
    <x v="304"/>
    <x v="0"/>
    <n v="1"/>
    <n v="3"/>
    <x v="25"/>
    <x v="4"/>
  </r>
  <r>
    <n v="30620555"/>
    <x v="12"/>
    <x v="1"/>
    <s v="Divorced"/>
    <x v="1"/>
    <n v="0"/>
    <x v="1"/>
    <x v="1"/>
    <n v="2"/>
    <n v="4"/>
    <s v="Life Sciences"/>
    <n v="3"/>
    <n v="4"/>
    <x v="305"/>
    <x v="1"/>
    <n v="0"/>
    <n v="1"/>
    <x v="4"/>
    <x v="2"/>
  </r>
  <r>
    <n v="44149248"/>
    <x v="3"/>
    <x v="0"/>
    <s v="Married"/>
    <x v="1"/>
    <n v="0"/>
    <x v="5"/>
    <x v="1"/>
    <n v="5"/>
    <n v="4"/>
    <s v="Life Sciences"/>
    <n v="4"/>
    <n v="2"/>
    <x v="306"/>
    <x v="2"/>
    <n v="6"/>
    <n v="3"/>
    <x v="1"/>
    <x v="1"/>
  </r>
  <r>
    <n v="73252720"/>
    <x v="22"/>
    <x v="1"/>
    <s v="Married"/>
    <x v="1"/>
    <n v="0"/>
    <x v="5"/>
    <x v="1"/>
    <n v="10"/>
    <n v="1"/>
    <s v="Medical"/>
    <n v="3"/>
    <n v="1"/>
    <x v="307"/>
    <x v="4"/>
    <n v="1"/>
    <n v="3"/>
    <x v="17"/>
    <x v="4"/>
  </r>
  <r>
    <n v="75947845"/>
    <x v="23"/>
    <x v="0"/>
    <s v="Single"/>
    <x v="1"/>
    <n v="0"/>
    <x v="2"/>
    <x v="1"/>
    <n v="10"/>
    <n v="4"/>
    <s v="Life Sciences"/>
    <n v="3"/>
    <n v="4"/>
    <x v="308"/>
    <x v="1"/>
    <n v="0"/>
    <n v="3"/>
    <x v="3"/>
    <x v="0"/>
  </r>
  <r>
    <n v="81455793"/>
    <x v="1"/>
    <x v="0"/>
    <s v="Single"/>
    <x v="1"/>
    <n v="0"/>
    <x v="4"/>
    <x v="1"/>
    <n v="1"/>
    <n v="2"/>
    <s v="Technical Degree"/>
    <n v="3"/>
    <n v="3"/>
    <x v="309"/>
    <x v="3"/>
    <n v="7"/>
    <n v="3"/>
    <x v="5"/>
    <x v="0"/>
  </r>
  <r>
    <n v="13137839"/>
    <x v="39"/>
    <x v="1"/>
    <s v="Married"/>
    <x v="0"/>
    <n v="1"/>
    <x v="1"/>
    <x v="1"/>
    <n v="8"/>
    <n v="4"/>
    <s v="Medical"/>
    <n v="3"/>
    <n v="2"/>
    <x v="132"/>
    <x v="1"/>
    <n v="2"/>
    <n v="2"/>
    <x v="3"/>
    <x v="0"/>
  </r>
  <r>
    <n v="85420101"/>
    <x v="4"/>
    <x v="0"/>
    <s v="Single"/>
    <x v="1"/>
    <n v="0"/>
    <x v="1"/>
    <x v="1"/>
    <n v="5"/>
    <n v="3"/>
    <s v="Life Sciences"/>
    <n v="3"/>
    <n v="2"/>
    <x v="310"/>
    <x v="1"/>
    <n v="1"/>
    <n v="2"/>
    <x v="9"/>
    <x v="2"/>
  </r>
  <r>
    <n v="22291417"/>
    <x v="5"/>
    <x v="0"/>
    <s v="Married"/>
    <x v="1"/>
    <n v="0"/>
    <x v="0"/>
    <x v="0"/>
    <n v="8"/>
    <n v="2"/>
    <s v="Technical Degree"/>
    <n v="3"/>
    <n v="2"/>
    <x v="311"/>
    <x v="0"/>
    <n v="1"/>
    <n v="3"/>
    <x v="20"/>
    <x v="1"/>
  </r>
  <r>
    <n v="13167347"/>
    <x v="4"/>
    <x v="1"/>
    <s v="Single"/>
    <x v="1"/>
    <n v="0"/>
    <x v="0"/>
    <x v="0"/>
    <n v="2"/>
    <n v="3"/>
    <s v="Life Sciences"/>
    <n v="4"/>
    <n v="3"/>
    <x v="312"/>
    <x v="1"/>
    <n v="1"/>
    <n v="3"/>
    <x v="8"/>
    <x v="0"/>
  </r>
  <r>
    <n v="62042137"/>
    <x v="12"/>
    <x v="1"/>
    <s v="Divorced"/>
    <x v="1"/>
    <n v="0"/>
    <x v="0"/>
    <x v="0"/>
    <n v="7"/>
    <n v="3"/>
    <s v="Marketing"/>
    <n v="4"/>
    <n v="4"/>
    <x v="313"/>
    <x v="0"/>
    <n v="4"/>
    <n v="3"/>
    <x v="5"/>
    <x v="0"/>
  </r>
  <r>
    <n v="30056288"/>
    <x v="5"/>
    <x v="0"/>
    <s v="Single"/>
    <x v="1"/>
    <n v="0"/>
    <x v="1"/>
    <x v="1"/>
    <n v="2"/>
    <n v="4"/>
    <s v="Medical"/>
    <n v="1"/>
    <n v="4"/>
    <x v="314"/>
    <x v="0"/>
    <n v="7"/>
    <n v="2"/>
    <x v="5"/>
    <x v="0"/>
  </r>
  <r>
    <n v="63530197"/>
    <x v="14"/>
    <x v="1"/>
    <s v="Married"/>
    <x v="0"/>
    <n v="1"/>
    <x v="1"/>
    <x v="1"/>
    <n v="2"/>
    <n v="4"/>
    <s v="Medical"/>
    <n v="1"/>
    <n v="4"/>
    <x v="315"/>
    <x v="1"/>
    <n v="5"/>
    <n v="2"/>
    <x v="11"/>
    <x v="2"/>
  </r>
  <r>
    <n v="17398393"/>
    <x v="7"/>
    <x v="0"/>
    <s v="Married"/>
    <x v="1"/>
    <n v="0"/>
    <x v="1"/>
    <x v="1"/>
    <n v="28"/>
    <n v="2"/>
    <s v="Medical"/>
    <n v="4"/>
    <n v="4"/>
    <x v="316"/>
    <x v="0"/>
    <n v="1"/>
    <n v="3"/>
    <x v="1"/>
    <x v="1"/>
  </r>
  <r>
    <n v="43352109"/>
    <x v="12"/>
    <x v="0"/>
    <s v="Married"/>
    <x v="1"/>
    <n v="0"/>
    <x v="3"/>
    <x v="1"/>
    <n v="7"/>
    <n v="2"/>
    <s v="Life Sciences"/>
    <n v="3"/>
    <n v="3"/>
    <x v="317"/>
    <x v="0"/>
    <n v="1"/>
    <n v="3"/>
    <x v="1"/>
    <x v="1"/>
  </r>
  <r>
    <n v="84788010"/>
    <x v="22"/>
    <x v="1"/>
    <s v="Married"/>
    <x v="1"/>
    <n v="0"/>
    <x v="5"/>
    <x v="1"/>
    <n v="7"/>
    <n v="2"/>
    <s v="Medical"/>
    <n v="3"/>
    <n v="4"/>
    <x v="318"/>
    <x v="4"/>
    <n v="1"/>
    <n v="3"/>
    <x v="17"/>
    <x v="4"/>
  </r>
  <r>
    <n v="53826437"/>
    <x v="22"/>
    <x v="0"/>
    <s v="Married"/>
    <x v="0"/>
    <n v="1"/>
    <x v="0"/>
    <x v="0"/>
    <n v="3"/>
    <n v="2"/>
    <s v="Medical"/>
    <n v="4"/>
    <n v="3"/>
    <x v="319"/>
    <x v="0"/>
    <n v="4"/>
    <n v="2"/>
    <x v="6"/>
    <x v="2"/>
  </r>
  <r>
    <n v="75627113"/>
    <x v="3"/>
    <x v="1"/>
    <s v="Single"/>
    <x v="1"/>
    <n v="0"/>
    <x v="0"/>
    <x v="0"/>
    <n v="10"/>
    <n v="3"/>
    <s v="Marketing"/>
    <n v="2"/>
    <n v="4"/>
    <x v="320"/>
    <x v="1"/>
    <n v="3"/>
    <n v="2"/>
    <x v="5"/>
    <x v="0"/>
  </r>
  <r>
    <n v="51026969"/>
    <x v="40"/>
    <x v="1"/>
    <s v="Married"/>
    <x v="1"/>
    <n v="0"/>
    <x v="7"/>
    <x v="1"/>
    <n v="5"/>
    <n v="5"/>
    <s v="Life Sciences"/>
    <n v="4"/>
    <n v="3"/>
    <x v="321"/>
    <x v="4"/>
    <n v="4"/>
    <n v="3"/>
    <x v="11"/>
    <x v="2"/>
  </r>
  <r>
    <n v="17429481"/>
    <x v="23"/>
    <x v="0"/>
    <s v="Divorced"/>
    <x v="1"/>
    <n v="0"/>
    <x v="2"/>
    <x v="1"/>
    <n v="10"/>
    <n v="4"/>
    <s v="Life Sciences"/>
    <n v="3"/>
    <n v="3"/>
    <x v="322"/>
    <x v="0"/>
    <n v="1"/>
    <n v="4"/>
    <x v="7"/>
    <x v="0"/>
  </r>
  <r>
    <n v="48130075"/>
    <x v="4"/>
    <x v="1"/>
    <s v="Married"/>
    <x v="1"/>
    <n v="0"/>
    <x v="0"/>
    <x v="0"/>
    <n v="1"/>
    <n v="1"/>
    <s v="Marketing"/>
    <n v="3"/>
    <n v="2"/>
    <x v="323"/>
    <x v="0"/>
    <n v="0"/>
    <n v="3"/>
    <x v="8"/>
    <x v="0"/>
  </r>
  <r>
    <n v="21217161"/>
    <x v="33"/>
    <x v="0"/>
    <s v="Single"/>
    <x v="1"/>
    <n v="0"/>
    <x v="1"/>
    <x v="1"/>
    <n v="20"/>
    <n v="4"/>
    <s v="Life Sciences"/>
    <n v="4"/>
    <n v="3"/>
    <x v="324"/>
    <x v="1"/>
    <n v="3"/>
    <n v="2"/>
    <x v="9"/>
    <x v="2"/>
  </r>
  <r>
    <n v="67695878"/>
    <x v="23"/>
    <x v="0"/>
    <s v="Married"/>
    <x v="1"/>
    <n v="0"/>
    <x v="4"/>
    <x v="1"/>
    <n v="7"/>
    <n v="3"/>
    <s v="Life Sciences"/>
    <n v="3"/>
    <n v="1"/>
    <x v="325"/>
    <x v="2"/>
    <n v="8"/>
    <n v="2"/>
    <x v="6"/>
    <x v="2"/>
  </r>
  <r>
    <n v="72473898"/>
    <x v="28"/>
    <x v="1"/>
    <s v="Married"/>
    <x v="1"/>
    <n v="0"/>
    <x v="1"/>
    <x v="1"/>
    <n v="8"/>
    <n v="4"/>
    <s v="Other"/>
    <n v="4"/>
    <n v="4"/>
    <x v="326"/>
    <x v="1"/>
    <n v="9"/>
    <n v="3"/>
    <x v="1"/>
    <x v="1"/>
  </r>
  <r>
    <n v="47029204"/>
    <x v="32"/>
    <x v="1"/>
    <s v="Married"/>
    <x v="1"/>
    <n v="0"/>
    <x v="0"/>
    <x v="0"/>
    <n v="1"/>
    <n v="2"/>
    <s v="Medical"/>
    <n v="2"/>
    <n v="4"/>
    <x v="327"/>
    <x v="0"/>
    <n v="2"/>
    <n v="2"/>
    <x v="9"/>
    <x v="2"/>
  </r>
  <r>
    <n v="16103995"/>
    <x v="11"/>
    <x v="1"/>
    <s v="Married"/>
    <x v="0"/>
    <n v="1"/>
    <x v="2"/>
    <x v="1"/>
    <n v="8"/>
    <n v="4"/>
    <s v="Other"/>
    <n v="2"/>
    <n v="1"/>
    <x v="328"/>
    <x v="1"/>
    <n v="1"/>
    <n v="2"/>
    <x v="5"/>
    <x v="0"/>
  </r>
  <r>
    <n v="33599809"/>
    <x v="11"/>
    <x v="1"/>
    <s v="Single"/>
    <x v="1"/>
    <n v="0"/>
    <x v="2"/>
    <x v="1"/>
    <n v="9"/>
    <n v="5"/>
    <s v="Other"/>
    <n v="2"/>
    <n v="4"/>
    <x v="329"/>
    <x v="1"/>
    <n v="0"/>
    <n v="3"/>
    <x v="11"/>
    <x v="2"/>
  </r>
  <r>
    <n v="57251946"/>
    <x v="7"/>
    <x v="0"/>
    <s v="Divorced"/>
    <x v="1"/>
    <n v="0"/>
    <x v="0"/>
    <x v="0"/>
    <n v="5"/>
    <n v="3"/>
    <s v="Marketing"/>
    <n v="4"/>
    <n v="3"/>
    <x v="330"/>
    <x v="0"/>
    <n v="1"/>
    <n v="3"/>
    <x v="1"/>
    <x v="1"/>
  </r>
  <r>
    <n v="68433145"/>
    <x v="4"/>
    <x v="0"/>
    <s v="Married"/>
    <x v="1"/>
    <n v="0"/>
    <x v="0"/>
    <x v="0"/>
    <n v="8"/>
    <n v="4"/>
    <s v="Marketing"/>
    <n v="2"/>
    <n v="2"/>
    <x v="331"/>
    <x v="0"/>
    <n v="1"/>
    <n v="3"/>
    <x v="3"/>
    <x v="0"/>
  </r>
  <r>
    <n v="82659988"/>
    <x v="2"/>
    <x v="1"/>
    <s v="Divorced"/>
    <x v="1"/>
    <n v="0"/>
    <x v="3"/>
    <x v="1"/>
    <n v="5"/>
    <n v="2"/>
    <s v="Medical"/>
    <n v="4"/>
    <n v="4"/>
    <x v="136"/>
    <x v="0"/>
    <n v="7"/>
    <n v="2"/>
    <x v="0"/>
    <x v="0"/>
  </r>
  <r>
    <n v="20205498"/>
    <x v="8"/>
    <x v="1"/>
    <s v="Divorced"/>
    <x v="1"/>
    <n v="0"/>
    <x v="7"/>
    <x v="1"/>
    <n v="15"/>
    <n v="2"/>
    <s v="Life Sciences"/>
    <n v="3"/>
    <n v="4"/>
    <x v="332"/>
    <x v="2"/>
    <n v="0"/>
    <n v="3"/>
    <x v="19"/>
    <x v="1"/>
  </r>
  <r>
    <n v="32709739"/>
    <x v="12"/>
    <x v="0"/>
    <s v="Single"/>
    <x v="1"/>
    <n v="0"/>
    <x v="3"/>
    <x v="1"/>
    <n v="7"/>
    <n v="4"/>
    <s v="Medical"/>
    <n v="3"/>
    <n v="4"/>
    <x v="333"/>
    <x v="0"/>
    <n v="1"/>
    <n v="2"/>
    <x v="19"/>
    <x v="1"/>
  </r>
  <r>
    <n v="87998554"/>
    <x v="11"/>
    <x v="0"/>
    <s v="Divorced"/>
    <x v="1"/>
    <n v="0"/>
    <x v="0"/>
    <x v="0"/>
    <n v="10"/>
    <n v="1"/>
    <s v="Marketing"/>
    <n v="4"/>
    <n v="2"/>
    <x v="334"/>
    <x v="0"/>
    <n v="1"/>
    <n v="3"/>
    <x v="5"/>
    <x v="0"/>
  </r>
  <r>
    <n v="69716420"/>
    <x v="10"/>
    <x v="1"/>
    <s v="Single"/>
    <x v="1"/>
    <n v="0"/>
    <x v="3"/>
    <x v="1"/>
    <n v="5"/>
    <n v="4"/>
    <s v="Technical Degree"/>
    <n v="3"/>
    <n v="2"/>
    <x v="335"/>
    <x v="0"/>
    <n v="0"/>
    <n v="3"/>
    <x v="22"/>
    <x v="5"/>
  </r>
  <r>
    <n v="53092470"/>
    <x v="30"/>
    <x v="1"/>
    <s v="Divorced"/>
    <x v="1"/>
    <n v="0"/>
    <x v="1"/>
    <x v="1"/>
    <n v="26"/>
    <n v="1"/>
    <s v="Life Sciences"/>
    <n v="3"/>
    <n v="4"/>
    <x v="336"/>
    <x v="1"/>
    <n v="1"/>
    <n v="2"/>
    <x v="9"/>
    <x v="2"/>
  </r>
  <r>
    <n v="87616316"/>
    <x v="0"/>
    <x v="1"/>
    <s v="Single"/>
    <x v="1"/>
    <n v="0"/>
    <x v="3"/>
    <x v="1"/>
    <n v="6"/>
    <n v="3"/>
    <s v="Medical"/>
    <n v="4"/>
    <n v="2"/>
    <x v="337"/>
    <x v="0"/>
    <n v="6"/>
    <n v="3"/>
    <x v="8"/>
    <x v="0"/>
  </r>
  <r>
    <n v="24009505"/>
    <x v="40"/>
    <x v="1"/>
    <s v="Single"/>
    <x v="1"/>
    <n v="0"/>
    <x v="6"/>
    <x v="0"/>
    <n v="4"/>
    <n v="1"/>
    <s v="Medical"/>
    <n v="2"/>
    <n v="3"/>
    <x v="338"/>
    <x v="1"/>
    <n v="3"/>
    <n v="3"/>
    <x v="2"/>
    <x v="2"/>
  </r>
  <r>
    <n v="31911571"/>
    <x v="19"/>
    <x v="0"/>
    <s v="Single"/>
    <x v="1"/>
    <n v="0"/>
    <x v="7"/>
    <x v="1"/>
    <n v="23"/>
    <n v="5"/>
    <s v="Life Sciences"/>
    <n v="1"/>
    <n v="4"/>
    <x v="339"/>
    <x v="3"/>
    <n v="2"/>
    <n v="3"/>
    <x v="6"/>
    <x v="2"/>
  </r>
  <r>
    <n v="59300332"/>
    <x v="11"/>
    <x v="1"/>
    <s v="Married"/>
    <x v="1"/>
    <n v="0"/>
    <x v="0"/>
    <x v="0"/>
    <n v="2"/>
    <n v="3"/>
    <s v="Life Sciences"/>
    <n v="4"/>
    <n v="3"/>
    <x v="340"/>
    <x v="1"/>
    <n v="1"/>
    <n v="2"/>
    <x v="9"/>
    <x v="2"/>
  </r>
  <r>
    <n v="38046654"/>
    <x v="19"/>
    <x v="1"/>
    <s v="Divorced"/>
    <x v="1"/>
    <n v="0"/>
    <x v="8"/>
    <x v="2"/>
    <n v="2"/>
    <n v="1"/>
    <s v="Technical Degree"/>
    <n v="3"/>
    <n v="3"/>
    <x v="341"/>
    <x v="1"/>
    <n v="0"/>
    <n v="3"/>
    <x v="11"/>
    <x v="2"/>
  </r>
  <r>
    <n v="24374926"/>
    <x v="5"/>
    <x v="0"/>
    <s v="Married"/>
    <x v="1"/>
    <n v="0"/>
    <x v="2"/>
    <x v="1"/>
    <n v="2"/>
    <n v="3"/>
    <s v="Medical"/>
    <n v="3"/>
    <n v="2"/>
    <x v="342"/>
    <x v="1"/>
    <n v="1"/>
    <n v="3"/>
    <x v="3"/>
    <x v="0"/>
  </r>
  <r>
    <n v="75699377"/>
    <x v="26"/>
    <x v="0"/>
    <s v="Married"/>
    <x v="1"/>
    <n v="0"/>
    <x v="5"/>
    <x v="0"/>
    <n v="29"/>
    <n v="1"/>
    <s v="Medical"/>
    <n v="1"/>
    <n v="3"/>
    <x v="343"/>
    <x v="2"/>
    <n v="3"/>
    <n v="1"/>
    <x v="2"/>
    <x v="2"/>
  </r>
  <r>
    <n v="13920942"/>
    <x v="2"/>
    <x v="1"/>
    <s v="Divorced"/>
    <x v="1"/>
    <n v="0"/>
    <x v="1"/>
    <x v="1"/>
    <n v="6"/>
    <n v="3"/>
    <s v="Medical"/>
    <n v="3"/>
    <n v="1"/>
    <x v="344"/>
    <x v="0"/>
    <n v="4"/>
    <n v="3"/>
    <x v="5"/>
    <x v="0"/>
  </r>
  <r>
    <n v="48862219"/>
    <x v="7"/>
    <x v="0"/>
    <s v="Married"/>
    <x v="1"/>
    <n v="0"/>
    <x v="0"/>
    <x v="0"/>
    <n v="25"/>
    <n v="2"/>
    <s v="Technical Degree"/>
    <n v="4"/>
    <n v="3"/>
    <x v="345"/>
    <x v="1"/>
    <n v="7"/>
    <n v="4"/>
    <x v="4"/>
    <x v="2"/>
  </r>
  <r>
    <n v="46659053"/>
    <x v="25"/>
    <x v="1"/>
    <s v="Married"/>
    <x v="1"/>
    <n v="0"/>
    <x v="0"/>
    <x v="0"/>
    <n v="1"/>
    <n v="3"/>
    <s v="Life Sciences"/>
    <n v="3"/>
    <n v="3"/>
    <x v="346"/>
    <x v="0"/>
    <n v="1"/>
    <n v="3"/>
    <x v="3"/>
    <x v="0"/>
  </r>
  <r>
    <n v="89429756"/>
    <x v="19"/>
    <x v="1"/>
    <s v="Single"/>
    <x v="1"/>
    <n v="0"/>
    <x v="4"/>
    <x v="1"/>
    <n v="2"/>
    <n v="4"/>
    <s v="Other"/>
    <n v="1"/>
    <n v="4"/>
    <x v="347"/>
    <x v="0"/>
    <n v="3"/>
    <n v="3"/>
    <x v="6"/>
    <x v="2"/>
  </r>
  <r>
    <n v="83814898"/>
    <x v="18"/>
    <x v="0"/>
    <s v="Single"/>
    <x v="0"/>
    <n v="1"/>
    <x v="6"/>
    <x v="0"/>
    <n v="1"/>
    <n v="1"/>
    <s v="Technical Degree"/>
    <n v="1"/>
    <n v="2"/>
    <x v="348"/>
    <x v="1"/>
    <n v="1"/>
    <n v="3"/>
    <x v="11"/>
    <x v="2"/>
  </r>
  <r>
    <n v="52025339"/>
    <x v="9"/>
    <x v="0"/>
    <s v="Single"/>
    <x v="1"/>
    <n v="0"/>
    <x v="0"/>
    <x v="0"/>
    <n v="1"/>
    <n v="5"/>
    <s v="Medical"/>
    <n v="4"/>
    <n v="4"/>
    <x v="349"/>
    <x v="0"/>
    <n v="4"/>
    <n v="3"/>
    <x v="6"/>
    <x v="2"/>
  </r>
  <r>
    <n v="26667319"/>
    <x v="9"/>
    <x v="1"/>
    <s v="Married"/>
    <x v="1"/>
    <n v="0"/>
    <x v="0"/>
    <x v="0"/>
    <n v="3"/>
    <n v="4"/>
    <s v="Medical"/>
    <n v="1"/>
    <n v="4"/>
    <x v="350"/>
    <x v="2"/>
    <n v="4"/>
    <n v="3"/>
    <x v="20"/>
    <x v="1"/>
  </r>
  <r>
    <n v="40576040"/>
    <x v="38"/>
    <x v="1"/>
    <s v="Married"/>
    <x v="1"/>
    <n v="0"/>
    <x v="4"/>
    <x v="1"/>
    <n v="1"/>
    <n v="4"/>
    <s v="Medical"/>
    <n v="4"/>
    <n v="3"/>
    <x v="351"/>
    <x v="0"/>
    <n v="2"/>
    <n v="3"/>
    <x v="11"/>
    <x v="2"/>
  </r>
  <r>
    <n v="29071613"/>
    <x v="32"/>
    <x v="0"/>
    <s v="Married"/>
    <x v="1"/>
    <n v="0"/>
    <x v="2"/>
    <x v="1"/>
    <n v="10"/>
    <n v="4"/>
    <s v="Life Sciences"/>
    <n v="4"/>
    <n v="3"/>
    <x v="352"/>
    <x v="1"/>
    <n v="3"/>
    <n v="3"/>
    <x v="5"/>
    <x v="0"/>
  </r>
  <r>
    <n v="72542926"/>
    <x v="18"/>
    <x v="1"/>
    <s v="Single"/>
    <x v="1"/>
    <n v="0"/>
    <x v="6"/>
    <x v="0"/>
    <n v="9"/>
    <n v="2"/>
    <s v="Medical"/>
    <n v="1"/>
    <n v="4"/>
    <x v="353"/>
    <x v="1"/>
    <n v="1"/>
    <n v="2"/>
    <x v="11"/>
    <x v="2"/>
  </r>
  <r>
    <n v="21380251"/>
    <x v="3"/>
    <x v="0"/>
    <s v="Single"/>
    <x v="0"/>
    <n v="1"/>
    <x v="6"/>
    <x v="0"/>
    <n v="5"/>
    <n v="3"/>
    <s v="Marketing"/>
    <n v="4"/>
    <n v="3"/>
    <x v="354"/>
    <x v="1"/>
    <n v="1"/>
    <n v="3"/>
    <x v="6"/>
    <x v="2"/>
  </r>
  <r>
    <n v="44890544"/>
    <x v="2"/>
    <x v="0"/>
    <s v="Married"/>
    <x v="1"/>
    <n v="0"/>
    <x v="2"/>
    <x v="1"/>
    <n v="10"/>
    <n v="3"/>
    <s v="Medical"/>
    <n v="3"/>
    <n v="1"/>
    <x v="138"/>
    <x v="1"/>
    <n v="6"/>
    <n v="3"/>
    <x v="8"/>
    <x v="0"/>
  </r>
  <r>
    <n v="70591073"/>
    <x v="21"/>
    <x v="0"/>
    <s v="Married"/>
    <x v="1"/>
    <n v="0"/>
    <x v="3"/>
    <x v="1"/>
    <n v="7"/>
    <n v="4"/>
    <s v="Medical"/>
    <n v="3"/>
    <n v="3"/>
    <x v="355"/>
    <x v="0"/>
    <n v="2"/>
    <n v="4"/>
    <x v="6"/>
    <x v="2"/>
  </r>
  <r>
    <n v="10518082"/>
    <x v="0"/>
    <x v="1"/>
    <s v="Single"/>
    <x v="0"/>
    <n v="1"/>
    <x v="0"/>
    <x v="0"/>
    <n v="4"/>
    <n v="3"/>
    <s v="Marketing"/>
    <n v="1"/>
    <n v="2"/>
    <x v="356"/>
    <x v="2"/>
    <n v="1"/>
    <n v="3"/>
    <x v="3"/>
    <x v="0"/>
  </r>
  <r>
    <n v="13137058"/>
    <x v="24"/>
    <x v="1"/>
    <s v="Single"/>
    <x v="1"/>
    <n v="0"/>
    <x v="4"/>
    <x v="1"/>
    <n v="10"/>
    <n v="3"/>
    <s v="Technical Degree"/>
    <n v="4"/>
    <n v="4"/>
    <x v="357"/>
    <x v="2"/>
    <n v="6"/>
    <n v="3"/>
    <x v="9"/>
    <x v="2"/>
  </r>
  <r>
    <n v="38168124"/>
    <x v="32"/>
    <x v="1"/>
    <s v="Married"/>
    <x v="0"/>
    <n v="1"/>
    <x v="0"/>
    <x v="0"/>
    <n v="22"/>
    <n v="2"/>
    <s v="Marketing"/>
    <n v="3"/>
    <n v="3"/>
    <x v="358"/>
    <x v="0"/>
    <n v="2"/>
    <n v="3"/>
    <x v="0"/>
    <x v="0"/>
  </r>
  <r>
    <n v="29705537"/>
    <x v="12"/>
    <x v="1"/>
    <s v="Single"/>
    <x v="1"/>
    <n v="0"/>
    <x v="1"/>
    <x v="1"/>
    <n v="9"/>
    <n v="4"/>
    <s v="Life Sciences"/>
    <n v="3"/>
    <n v="2"/>
    <x v="210"/>
    <x v="1"/>
    <n v="0"/>
    <n v="3"/>
    <x v="4"/>
    <x v="2"/>
  </r>
  <r>
    <n v="86104036"/>
    <x v="18"/>
    <x v="0"/>
    <s v="Single"/>
    <x v="0"/>
    <n v="1"/>
    <x v="6"/>
    <x v="0"/>
    <n v="12"/>
    <n v="3"/>
    <s v="Life Sciences"/>
    <n v="3"/>
    <n v="2"/>
    <x v="359"/>
    <x v="1"/>
    <n v="1"/>
    <n v="3"/>
    <x v="6"/>
    <x v="2"/>
  </r>
  <r>
    <n v="10346798"/>
    <x v="11"/>
    <x v="1"/>
    <s v="Single"/>
    <x v="1"/>
    <n v="0"/>
    <x v="1"/>
    <x v="1"/>
    <n v="23"/>
    <n v="3"/>
    <s v="Life Sciences"/>
    <n v="4"/>
    <n v="4"/>
    <x v="360"/>
    <x v="1"/>
    <n v="9"/>
    <n v="3"/>
    <x v="11"/>
    <x v="2"/>
  </r>
  <r>
    <n v="31217216"/>
    <x v="10"/>
    <x v="1"/>
    <s v="Single"/>
    <x v="1"/>
    <n v="0"/>
    <x v="4"/>
    <x v="1"/>
    <n v="9"/>
    <n v="4"/>
    <s v="Life Sciences"/>
    <n v="3"/>
    <n v="2"/>
    <x v="361"/>
    <x v="0"/>
    <n v="9"/>
    <n v="3"/>
    <x v="6"/>
    <x v="2"/>
  </r>
  <r>
    <n v="53249763"/>
    <x v="4"/>
    <x v="1"/>
    <s v="Divorced"/>
    <x v="1"/>
    <n v="0"/>
    <x v="2"/>
    <x v="1"/>
    <n v="1"/>
    <n v="2"/>
    <s v="Medical"/>
    <n v="4"/>
    <n v="2"/>
    <x v="362"/>
    <x v="1"/>
    <n v="1"/>
    <n v="3"/>
    <x v="8"/>
    <x v="0"/>
  </r>
  <r>
    <n v="17713165"/>
    <x v="14"/>
    <x v="1"/>
    <s v="Single"/>
    <x v="1"/>
    <n v="0"/>
    <x v="0"/>
    <x v="0"/>
    <n v="9"/>
    <n v="4"/>
    <s v="Life Sciences"/>
    <n v="2"/>
    <n v="4"/>
    <x v="363"/>
    <x v="0"/>
    <n v="1"/>
    <n v="3"/>
    <x v="5"/>
    <x v="0"/>
  </r>
  <r>
    <n v="29815425"/>
    <x v="1"/>
    <x v="1"/>
    <s v="Single"/>
    <x v="1"/>
    <n v="0"/>
    <x v="4"/>
    <x v="1"/>
    <n v="7"/>
    <n v="3"/>
    <s v="Other"/>
    <n v="2"/>
    <n v="3"/>
    <x v="364"/>
    <x v="2"/>
    <n v="8"/>
    <n v="3"/>
    <x v="8"/>
    <x v="0"/>
  </r>
  <r>
    <n v="26079553"/>
    <x v="31"/>
    <x v="0"/>
    <s v="Married"/>
    <x v="1"/>
    <n v="0"/>
    <x v="0"/>
    <x v="0"/>
    <n v="14"/>
    <n v="2"/>
    <s v="Life Sciences"/>
    <n v="3"/>
    <n v="4"/>
    <x v="365"/>
    <x v="1"/>
    <n v="4"/>
    <n v="2"/>
    <x v="5"/>
    <x v="0"/>
  </r>
  <r>
    <n v="36184913"/>
    <x v="9"/>
    <x v="0"/>
    <s v="Married"/>
    <x v="1"/>
    <n v="0"/>
    <x v="1"/>
    <x v="1"/>
    <n v="2"/>
    <n v="3"/>
    <s v="Life Sciences"/>
    <n v="4"/>
    <n v="3"/>
    <x v="366"/>
    <x v="1"/>
    <n v="4"/>
    <n v="3"/>
    <x v="4"/>
    <x v="2"/>
  </r>
  <r>
    <n v="64763136"/>
    <x v="13"/>
    <x v="1"/>
    <s v="Single"/>
    <x v="0"/>
    <n v="1"/>
    <x v="0"/>
    <x v="0"/>
    <n v="19"/>
    <n v="3"/>
    <s v="Marketing"/>
    <n v="1"/>
    <n v="4"/>
    <x v="367"/>
    <x v="0"/>
    <n v="8"/>
    <n v="2"/>
    <x v="8"/>
    <x v="0"/>
  </r>
  <r>
    <n v="50316679"/>
    <x v="27"/>
    <x v="0"/>
    <s v="Single"/>
    <x v="1"/>
    <n v="0"/>
    <x v="5"/>
    <x v="1"/>
    <n v="2"/>
    <n v="3"/>
    <s v="Life Sciences"/>
    <n v="3"/>
    <n v="4"/>
    <x v="368"/>
    <x v="3"/>
    <n v="2"/>
    <n v="3"/>
    <x v="8"/>
    <x v="0"/>
  </r>
  <r>
    <n v="21803653"/>
    <x v="17"/>
    <x v="0"/>
    <s v="Divorced"/>
    <x v="1"/>
    <n v="0"/>
    <x v="0"/>
    <x v="0"/>
    <n v="10"/>
    <n v="4"/>
    <s v="Marketing"/>
    <n v="4"/>
    <n v="3"/>
    <x v="369"/>
    <x v="1"/>
    <n v="1"/>
    <n v="4"/>
    <x v="8"/>
    <x v="0"/>
  </r>
  <r>
    <n v="47780798"/>
    <x v="7"/>
    <x v="1"/>
    <s v="Married"/>
    <x v="1"/>
    <n v="0"/>
    <x v="6"/>
    <x v="0"/>
    <n v="2"/>
    <n v="1"/>
    <s v="Technical Degree"/>
    <n v="3"/>
    <n v="2"/>
    <x v="370"/>
    <x v="1"/>
    <n v="1"/>
    <n v="3"/>
    <x v="6"/>
    <x v="2"/>
  </r>
  <r>
    <n v="40898189"/>
    <x v="25"/>
    <x v="1"/>
    <s v="Single"/>
    <x v="0"/>
    <n v="1"/>
    <x v="1"/>
    <x v="1"/>
    <n v="3"/>
    <n v="1"/>
    <s v="Technical Degree"/>
    <n v="3"/>
    <n v="1"/>
    <x v="371"/>
    <x v="1"/>
    <n v="0"/>
    <n v="3"/>
    <x v="0"/>
    <x v="0"/>
  </r>
  <r>
    <n v="54253341"/>
    <x v="15"/>
    <x v="0"/>
    <s v="Married"/>
    <x v="1"/>
    <n v="0"/>
    <x v="1"/>
    <x v="1"/>
    <n v="11"/>
    <n v="3"/>
    <s v="Medical"/>
    <n v="1"/>
    <n v="2"/>
    <x v="372"/>
    <x v="1"/>
    <n v="1"/>
    <n v="3"/>
    <x v="4"/>
    <x v="2"/>
  </r>
  <r>
    <n v="89186028"/>
    <x v="9"/>
    <x v="1"/>
    <s v="Married"/>
    <x v="1"/>
    <n v="0"/>
    <x v="0"/>
    <x v="0"/>
    <n v="2"/>
    <n v="2"/>
    <s v="Medical"/>
    <n v="2"/>
    <n v="3"/>
    <x v="373"/>
    <x v="0"/>
    <n v="1"/>
    <n v="3"/>
    <x v="1"/>
    <x v="1"/>
  </r>
  <r>
    <n v="45513005"/>
    <x v="7"/>
    <x v="1"/>
    <s v="Single"/>
    <x v="0"/>
    <n v="1"/>
    <x v="1"/>
    <x v="1"/>
    <n v="4"/>
    <n v="3"/>
    <s v="Technical Degree"/>
    <n v="3"/>
    <n v="4"/>
    <x v="374"/>
    <x v="1"/>
    <n v="9"/>
    <n v="3"/>
    <x v="6"/>
    <x v="2"/>
  </r>
  <r>
    <n v="17500333"/>
    <x v="2"/>
    <x v="0"/>
    <s v="Divorced"/>
    <x v="1"/>
    <n v="0"/>
    <x v="2"/>
    <x v="1"/>
    <n v="14"/>
    <n v="3"/>
    <s v="Life Sciences"/>
    <n v="4"/>
    <n v="1"/>
    <x v="375"/>
    <x v="1"/>
    <n v="1"/>
    <n v="2"/>
    <x v="29"/>
    <x v="5"/>
  </r>
  <r>
    <n v="22883207"/>
    <x v="32"/>
    <x v="0"/>
    <s v="Divorced"/>
    <x v="1"/>
    <n v="0"/>
    <x v="0"/>
    <x v="0"/>
    <n v="2"/>
    <n v="2"/>
    <s v="Marketing"/>
    <n v="4"/>
    <n v="2"/>
    <x v="376"/>
    <x v="0"/>
    <n v="7"/>
    <n v="3"/>
    <x v="8"/>
    <x v="0"/>
  </r>
  <r>
    <n v="85670839"/>
    <x v="19"/>
    <x v="0"/>
    <s v="Divorced"/>
    <x v="1"/>
    <n v="0"/>
    <x v="2"/>
    <x v="1"/>
    <n v="1"/>
    <n v="4"/>
    <s v="Life Sciences"/>
    <n v="2"/>
    <n v="1"/>
    <x v="377"/>
    <x v="1"/>
    <n v="3"/>
    <n v="3"/>
    <x v="8"/>
    <x v="0"/>
  </r>
  <r>
    <n v="27964683"/>
    <x v="2"/>
    <x v="1"/>
    <s v="Single"/>
    <x v="1"/>
    <n v="0"/>
    <x v="3"/>
    <x v="1"/>
    <n v="10"/>
    <n v="4"/>
    <s v="Life Sciences"/>
    <n v="3"/>
    <n v="2"/>
    <x v="378"/>
    <x v="1"/>
    <n v="2"/>
    <n v="2"/>
    <x v="6"/>
    <x v="2"/>
  </r>
  <r>
    <n v="42164074"/>
    <x v="23"/>
    <x v="1"/>
    <s v="Divorced"/>
    <x v="1"/>
    <n v="0"/>
    <x v="7"/>
    <x v="1"/>
    <n v="12"/>
    <n v="3"/>
    <s v="Life Sciences"/>
    <n v="1"/>
    <n v="2"/>
    <x v="379"/>
    <x v="3"/>
    <n v="1"/>
    <n v="3"/>
    <x v="10"/>
    <x v="3"/>
  </r>
  <r>
    <n v="74536217"/>
    <x v="32"/>
    <x v="0"/>
    <s v="Married"/>
    <x v="1"/>
    <n v="0"/>
    <x v="2"/>
    <x v="1"/>
    <n v="2"/>
    <n v="3"/>
    <s v="Medical"/>
    <n v="2"/>
    <n v="3"/>
    <x v="380"/>
    <x v="1"/>
    <n v="6"/>
    <n v="3"/>
    <x v="6"/>
    <x v="2"/>
  </r>
  <r>
    <n v="18640144"/>
    <x v="33"/>
    <x v="1"/>
    <s v="Married"/>
    <x v="1"/>
    <n v="0"/>
    <x v="7"/>
    <x v="1"/>
    <n v="5"/>
    <n v="2"/>
    <s v="Medical"/>
    <n v="1"/>
    <n v="1"/>
    <x v="381"/>
    <x v="4"/>
    <n v="4"/>
    <n v="2"/>
    <x v="9"/>
    <x v="2"/>
  </r>
  <r>
    <n v="41243201"/>
    <x v="13"/>
    <x v="0"/>
    <s v="Married"/>
    <x v="1"/>
    <n v="0"/>
    <x v="0"/>
    <x v="0"/>
    <n v="4"/>
    <n v="4"/>
    <s v="Marketing"/>
    <n v="3"/>
    <n v="3"/>
    <x v="382"/>
    <x v="0"/>
    <n v="9"/>
    <n v="3"/>
    <x v="11"/>
    <x v="2"/>
  </r>
  <r>
    <n v="31226141"/>
    <x v="12"/>
    <x v="0"/>
    <s v="Married"/>
    <x v="1"/>
    <n v="0"/>
    <x v="3"/>
    <x v="1"/>
    <n v="7"/>
    <n v="2"/>
    <s v="Medical"/>
    <n v="2"/>
    <n v="1"/>
    <x v="383"/>
    <x v="1"/>
    <n v="1"/>
    <n v="1"/>
    <x v="20"/>
    <x v="1"/>
  </r>
  <r>
    <n v="63697836"/>
    <x v="23"/>
    <x v="1"/>
    <s v="Married"/>
    <x v="1"/>
    <n v="0"/>
    <x v="2"/>
    <x v="1"/>
    <n v="21"/>
    <n v="3"/>
    <s v="Medical"/>
    <n v="4"/>
    <n v="4"/>
    <x v="384"/>
    <x v="1"/>
    <n v="7"/>
    <n v="3"/>
    <x v="11"/>
    <x v="2"/>
  </r>
  <r>
    <n v="26005340"/>
    <x v="23"/>
    <x v="0"/>
    <s v="Divorced"/>
    <x v="1"/>
    <n v="0"/>
    <x v="4"/>
    <x v="1"/>
    <n v="8"/>
    <n v="4"/>
    <s v="Other"/>
    <n v="3"/>
    <n v="3"/>
    <x v="385"/>
    <x v="1"/>
    <n v="4"/>
    <n v="3"/>
    <x v="8"/>
    <x v="0"/>
  </r>
  <r>
    <n v="73444675"/>
    <x v="36"/>
    <x v="0"/>
    <s v="Single"/>
    <x v="1"/>
    <n v="0"/>
    <x v="0"/>
    <x v="0"/>
    <n v="4"/>
    <n v="2"/>
    <s v="Life Sciences"/>
    <n v="2"/>
    <n v="4"/>
    <x v="386"/>
    <x v="1"/>
    <n v="1"/>
    <n v="3"/>
    <x v="8"/>
    <x v="0"/>
  </r>
  <r>
    <n v="78273666"/>
    <x v="2"/>
    <x v="0"/>
    <s v="Married"/>
    <x v="1"/>
    <n v="0"/>
    <x v="1"/>
    <x v="1"/>
    <n v="25"/>
    <n v="5"/>
    <s v="Medical"/>
    <n v="2"/>
    <n v="3"/>
    <x v="387"/>
    <x v="1"/>
    <n v="3"/>
    <n v="3"/>
    <x v="20"/>
    <x v="1"/>
  </r>
  <r>
    <n v="18327039"/>
    <x v="12"/>
    <x v="1"/>
    <s v="Married"/>
    <x v="1"/>
    <n v="0"/>
    <x v="2"/>
    <x v="1"/>
    <n v="1"/>
    <n v="2"/>
    <s v="Life Sciences"/>
    <n v="4"/>
    <n v="1"/>
    <x v="388"/>
    <x v="1"/>
    <n v="1"/>
    <n v="3"/>
    <x v="9"/>
    <x v="2"/>
  </r>
  <r>
    <n v="70749356"/>
    <x v="22"/>
    <x v="1"/>
    <s v="Divorced"/>
    <x v="1"/>
    <n v="0"/>
    <x v="5"/>
    <x v="1"/>
    <n v="1"/>
    <n v="1"/>
    <s v="Life Sciences"/>
    <n v="2"/>
    <n v="3"/>
    <x v="389"/>
    <x v="4"/>
    <n v="1"/>
    <n v="3"/>
    <x v="17"/>
    <x v="4"/>
  </r>
  <r>
    <n v="88975028"/>
    <x v="29"/>
    <x v="0"/>
    <s v="Married"/>
    <x v="1"/>
    <n v="0"/>
    <x v="0"/>
    <x v="0"/>
    <n v="6"/>
    <n v="3"/>
    <s v="Life Sciences"/>
    <n v="3"/>
    <n v="1"/>
    <x v="390"/>
    <x v="3"/>
    <n v="9"/>
    <n v="2"/>
    <x v="5"/>
    <x v="0"/>
  </r>
  <r>
    <n v="41551420"/>
    <x v="7"/>
    <x v="0"/>
    <s v="Single"/>
    <x v="1"/>
    <n v="0"/>
    <x v="0"/>
    <x v="0"/>
    <n v="12"/>
    <n v="3"/>
    <s v="Technical Degree"/>
    <n v="2"/>
    <n v="3"/>
    <x v="391"/>
    <x v="0"/>
    <n v="0"/>
    <n v="3"/>
    <x v="8"/>
    <x v="0"/>
  </r>
  <r>
    <n v="44045232"/>
    <x v="0"/>
    <x v="1"/>
    <s v="Married"/>
    <x v="1"/>
    <n v="0"/>
    <x v="0"/>
    <x v="0"/>
    <n v="1"/>
    <n v="3"/>
    <s v="Marketing"/>
    <n v="2"/>
    <n v="1"/>
    <x v="392"/>
    <x v="0"/>
    <n v="1"/>
    <n v="3"/>
    <x v="1"/>
    <x v="1"/>
  </r>
  <r>
    <n v="81548209"/>
    <x v="14"/>
    <x v="1"/>
    <s v="Divorced"/>
    <x v="1"/>
    <n v="0"/>
    <x v="2"/>
    <x v="1"/>
    <n v="17"/>
    <n v="2"/>
    <s v="Medical"/>
    <n v="3"/>
    <n v="1"/>
    <x v="393"/>
    <x v="1"/>
    <n v="1"/>
    <n v="3"/>
    <x v="1"/>
    <x v="1"/>
  </r>
  <r>
    <n v="77866370"/>
    <x v="36"/>
    <x v="1"/>
    <s v="Married"/>
    <x v="0"/>
    <n v="1"/>
    <x v="2"/>
    <x v="1"/>
    <n v="3"/>
    <n v="3"/>
    <s v="Medical"/>
    <n v="1"/>
    <n v="1"/>
    <x v="394"/>
    <x v="1"/>
    <n v="5"/>
    <n v="3"/>
    <x v="4"/>
    <x v="2"/>
  </r>
  <r>
    <n v="25691813"/>
    <x v="39"/>
    <x v="1"/>
    <s v="Married"/>
    <x v="1"/>
    <n v="0"/>
    <x v="3"/>
    <x v="1"/>
    <n v="3"/>
    <n v="3"/>
    <s v="Medical"/>
    <n v="4"/>
    <n v="3"/>
    <x v="395"/>
    <x v="0"/>
    <n v="2"/>
    <n v="3"/>
    <x v="8"/>
    <x v="0"/>
  </r>
  <r>
    <n v="15729152"/>
    <x v="28"/>
    <x v="1"/>
    <s v="Married"/>
    <x v="1"/>
    <n v="0"/>
    <x v="1"/>
    <x v="1"/>
    <n v="10"/>
    <n v="2"/>
    <s v="Life Sciences"/>
    <n v="1"/>
    <n v="4"/>
    <x v="396"/>
    <x v="1"/>
    <n v="3"/>
    <n v="2"/>
    <x v="4"/>
    <x v="2"/>
  </r>
  <r>
    <n v="81981661"/>
    <x v="39"/>
    <x v="0"/>
    <s v="Married"/>
    <x v="1"/>
    <n v="0"/>
    <x v="5"/>
    <x v="1"/>
    <n v="4"/>
    <n v="2"/>
    <s v="Life Sciences"/>
    <n v="4"/>
    <n v="4"/>
    <x v="397"/>
    <x v="3"/>
    <n v="2"/>
    <n v="1"/>
    <x v="8"/>
    <x v="0"/>
  </r>
  <r>
    <n v="27102070"/>
    <x v="19"/>
    <x v="0"/>
    <s v="Divorced"/>
    <x v="1"/>
    <n v="0"/>
    <x v="1"/>
    <x v="1"/>
    <n v="29"/>
    <n v="2"/>
    <s v="Life Sciences"/>
    <n v="1"/>
    <n v="3"/>
    <x v="398"/>
    <x v="1"/>
    <n v="2"/>
    <n v="3"/>
    <x v="8"/>
    <x v="0"/>
  </r>
  <r>
    <n v="53814025"/>
    <x v="7"/>
    <x v="0"/>
    <s v="Single"/>
    <x v="1"/>
    <n v="0"/>
    <x v="3"/>
    <x v="1"/>
    <n v="2"/>
    <n v="3"/>
    <s v="Life Sciences"/>
    <n v="3"/>
    <n v="4"/>
    <x v="399"/>
    <x v="0"/>
    <n v="2"/>
    <n v="3"/>
    <x v="8"/>
    <x v="0"/>
  </r>
  <r>
    <n v="72039115"/>
    <x v="42"/>
    <x v="0"/>
    <s v="Married"/>
    <x v="1"/>
    <n v="0"/>
    <x v="5"/>
    <x v="1"/>
    <n v="7"/>
    <n v="3"/>
    <s v="Life Sciences"/>
    <n v="1"/>
    <n v="1"/>
    <x v="400"/>
    <x v="4"/>
    <n v="5"/>
    <n v="1"/>
    <x v="30"/>
    <x v="3"/>
  </r>
  <r>
    <n v="18342288"/>
    <x v="21"/>
    <x v="0"/>
    <s v="Divorced"/>
    <x v="1"/>
    <n v="0"/>
    <x v="3"/>
    <x v="1"/>
    <n v="18"/>
    <n v="3"/>
    <s v="Medical"/>
    <n v="3"/>
    <n v="3"/>
    <x v="401"/>
    <x v="1"/>
    <n v="2"/>
    <n v="2"/>
    <x v="1"/>
    <x v="1"/>
  </r>
  <r>
    <n v="85756803"/>
    <x v="19"/>
    <x v="0"/>
    <s v="Married"/>
    <x v="1"/>
    <n v="0"/>
    <x v="4"/>
    <x v="1"/>
    <n v="28"/>
    <n v="4"/>
    <s v="Technical Degree"/>
    <n v="4"/>
    <n v="4"/>
    <x v="402"/>
    <x v="1"/>
    <n v="0"/>
    <n v="4"/>
    <x v="0"/>
    <x v="0"/>
  </r>
  <r>
    <n v="86367380"/>
    <x v="17"/>
    <x v="0"/>
    <s v="Single"/>
    <x v="0"/>
    <n v="1"/>
    <x v="6"/>
    <x v="0"/>
    <n v="1"/>
    <n v="1"/>
    <s v="Technical Degree"/>
    <n v="1"/>
    <n v="2"/>
    <x v="403"/>
    <x v="1"/>
    <n v="1"/>
    <n v="3"/>
    <x v="8"/>
    <x v="0"/>
  </r>
  <r>
    <n v="33560133"/>
    <x v="13"/>
    <x v="0"/>
    <s v="Divorced"/>
    <x v="0"/>
    <n v="1"/>
    <x v="6"/>
    <x v="0"/>
    <n v="6"/>
    <n v="2"/>
    <s v="Marketing"/>
    <n v="4"/>
    <n v="3"/>
    <x v="404"/>
    <x v="1"/>
    <n v="0"/>
    <n v="2"/>
    <x v="4"/>
    <x v="2"/>
  </r>
  <r>
    <n v="32489310"/>
    <x v="8"/>
    <x v="1"/>
    <s v="Married"/>
    <x v="1"/>
    <n v="0"/>
    <x v="2"/>
    <x v="1"/>
    <n v="2"/>
    <n v="2"/>
    <s v="Life Sciences"/>
    <n v="4"/>
    <n v="4"/>
    <x v="405"/>
    <x v="1"/>
    <n v="1"/>
    <n v="3"/>
    <x v="6"/>
    <x v="2"/>
  </r>
  <r>
    <n v="77848008"/>
    <x v="32"/>
    <x v="0"/>
    <s v="Married"/>
    <x v="1"/>
    <n v="0"/>
    <x v="5"/>
    <x v="0"/>
    <n v="2"/>
    <n v="4"/>
    <s v="Life Sciences"/>
    <n v="3"/>
    <n v="3"/>
    <x v="406"/>
    <x v="4"/>
    <n v="0"/>
    <n v="3"/>
    <x v="23"/>
    <x v="4"/>
  </r>
  <r>
    <n v="17637652"/>
    <x v="25"/>
    <x v="0"/>
    <s v="Divorced"/>
    <x v="1"/>
    <n v="0"/>
    <x v="1"/>
    <x v="1"/>
    <n v="23"/>
    <n v="3"/>
    <s v="Life Sciences"/>
    <n v="1"/>
    <n v="4"/>
    <x v="407"/>
    <x v="1"/>
    <n v="1"/>
    <n v="1"/>
    <x v="11"/>
    <x v="2"/>
  </r>
  <r>
    <n v="52669884"/>
    <x v="7"/>
    <x v="1"/>
    <s v="Married"/>
    <x v="1"/>
    <n v="0"/>
    <x v="2"/>
    <x v="1"/>
    <n v="3"/>
    <n v="3"/>
    <s v="Life Sciences"/>
    <n v="3"/>
    <n v="4"/>
    <x v="408"/>
    <x v="1"/>
    <n v="4"/>
    <n v="1"/>
    <x v="8"/>
    <x v="0"/>
  </r>
  <r>
    <n v="87140652"/>
    <x v="11"/>
    <x v="1"/>
    <s v="Married"/>
    <x v="1"/>
    <n v="0"/>
    <x v="7"/>
    <x v="1"/>
    <n v="3"/>
    <n v="4"/>
    <s v="Medical"/>
    <n v="2"/>
    <n v="3"/>
    <x v="409"/>
    <x v="2"/>
    <n v="1"/>
    <n v="3"/>
    <x v="1"/>
    <x v="1"/>
  </r>
  <r>
    <n v="85617911"/>
    <x v="11"/>
    <x v="0"/>
    <s v="Married"/>
    <x v="0"/>
    <n v="1"/>
    <x v="1"/>
    <x v="1"/>
    <n v="25"/>
    <n v="5"/>
    <s v="Technical Degree"/>
    <n v="3"/>
    <n v="2"/>
    <x v="410"/>
    <x v="1"/>
    <n v="5"/>
    <n v="4"/>
    <x v="4"/>
    <x v="2"/>
  </r>
  <r>
    <n v="14442298"/>
    <x v="37"/>
    <x v="1"/>
    <s v="Single"/>
    <x v="0"/>
    <n v="1"/>
    <x v="8"/>
    <x v="2"/>
    <n v="2"/>
    <n v="2"/>
    <s v="Technical Degree"/>
    <n v="1"/>
    <n v="4"/>
    <x v="411"/>
    <x v="1"/>
    <n v="1"/>
    <n v="4"/>
    <x v="6"/>
    <x v="2"/>
  </r>
  <r>
    <n v="73401218"/>
    <x v="7"/>
    <x v="0"/>
    <s v="Married"/>
    <x v="1"/>
    <n v="0"/>
    <x v="0"/>
    <x v="0"/>
    <n v="22"/>
    <n v="4"/>
    <s v="Other"/>
    <n v="3"/>
    <n v="1"/>
    <x v="412"/>
    <x v="0"/>
    <n v="0"/>
    <n v="3"/>
    <x v="7"/>
    <x v="0"/>
  </r>
  <r>
    <n v="29342921"/>
    <x v="38"/>
    <x v="1"/>
    <s v="Divorced"/>
    <x v="1"/>
    <n v="0"/>
    <x v="5"/>
    <x v="0"/>
    <n v="29"/>
    <n v="3"/>
    <s v="Marketing"/>
    <n v="1"/>
    <n v="4"/>
    <x v="413"/>
    <x v="3"/>
    <n v="3"/>
    <n v="2"/>
    <x v="6"/>
    <x v="2"/>
  </r>
  <r>
    <n v="36874379"/>
    <x v="24"/>
    <x v="1"/>
    <s v="Married"/>
    <x v="1"/>
    <n v="0"/>
    <x v="5"/>
    <x v="1"/>
    <n v="29"/>
    <n v="4"/>
    <s v="Life Sciences"/>
    <n v="2"/>
    <n v="3"/>
    <x v="414"/>
    <x v="4"/>
    <n v="0"/>
    <n v="3"/>
    <x v="16"/>
    <x v="3"/>
  </r>
  <r>
    <n v="84323586"/>
    <x v="7"/>
    <x v="0"/>
    <s v="Single"/>
    <x v="1"/>
    <n v="0"/>
    <x v="2"/>
    <x v="1"/>
    <n v="2"/>
    <n v="3"/>
    <s v="Medical"/>
    <n v="3"/>
    <n v="4"/>
    <x v="411"/>
    <x v="1"/>
    <n v="0"/>
    <n v="2"/>
    <x v="19"/>
    <x v="1"/>
  </r>
  <r>
    <n v="60112556"/>
    <x v="42"/>
    <x v="0"/>
    <s v="Married"/>
    <x v="1"/>
    <n v="0"/>
    <x v="0"/>
    <x v="0"/>
    <n v="28"/>
    <n v="3"/>
    <s v="Marketing"/>
    <n v="3"/>
    <n v="1"/>
    <x v="415"/>
    <x v="2"/>
    <n v="4"/>
    <n v="4"/>
    <x v="29"/>
    <x v="5"/>
  </r>
  <r>
    <n v="41920556"/>
    <x v="40"/>
    <x v="0"/>
    <s v="Divorced"/>
    <x v="1"/>
    <n v="0"/>
    <x v="3"/>
    <x v="1"/>
    <n v="2"/>
    <n v="2"/>
    <s v="Medical"/>
    <n v="1"/>
    <n v="4"/>
    <x v="416"/>
    <x v="0"/>
    <n v="5"/>
    <n v="3"/>
    <x v="8"/>
    <x v="0"/>
  </r>
  <r>
    <n v="83413978"/>
    <x v="21"/>
    <x v="1"/>
    <s v="Married"/>
    <x v="1"/>
    <n v="0"/>
    <x v="7"/>
    <x v="1"/>
    <n v="2"/>
    <n v="3"/>
    <s v="Life Sciences"/>
    <n v="1"/>
    <n v="3"/>
    <x v="417"/>
    <x v="4"/>
    <n v="6"/>
    <n v="1"/>
    <x v="11"/>
    <x v="2"/>
  </r>
  <r>
    <n v="46290929"/>
    <x v="10"/>
    <x v="1"/>
    <s v="Single"/>
    <x v="1"/>
    <n v="0"/>
    <x v="2"/>
    <x v="1"/>
    <n v="22"/>
    <n v="3"/>
    <s v="Life Sciences"/>
    <n v="4"/>
    <n v="3"/>
    <x v="418"/>
    <x v="1"/>
    <n v="0"/>
    <n v="3"/>
    <x v="8"/>
    <x v="0"/>
  </r>
  <r>
    <n v="22052339"/>
    <x v="33"/>
    <x v="0"/>
    <s v="Single"/>
    <x v="1"/>
    <n v="0"/>
    <x v="2"/>
    <x v="1"/>
    <n v="8"/>
    <n v="4"/>
    <s v="Life Sciences"/>
    <n v="3"/>
    <n v="3"/>
    <x v="419"/>
    <x v="1"/>
    <n v="7"/>
    <n v="3"/>
    <x v="6"/>
    <x v="2"/>
  </r>
  <r>
    <n v="38289961"/>
    <x v="13"/>
    <x v="1"/>
    <s v="Divorced"/>
    <x v="1"/>
    <n v="0"/>
    <x v="1"/>
    <x v="1"/>
    <n v="2"/>
    <n v="4"/>
    <s v="Life Sciences"/>
    <n v="4"/>
    <n v="3"/>
    <x v="420"/>
    <x v="1"/>
    <n v="3"/>
    <n v="3"/>
    <x v="5"/>
    <x v="0"/>
  </r>
  <r>
    <n v="67313910"/>
    <x v="21"/>
    <x v="0"/>
    <s v="Married"/>
    <x v="1"/>
    <n v="0"/>
    <x v="0"/>
    <x v="0"/>
    <n v="10"/>
    <n v="3"/>
    <s v="Marketing"/>
    <n v="3"/>
    <n v="4"/>
    <x v="421"/>
    <x v="2"/>
    <n v="2"/>
    <n v="3"/>
    <x v="11"/>
    <x v="2"/>
  </r>
  <r>
    <n v="72813068"/>
    <x v="12"/>
    <x v="1"/>
    <s v="Divorced"/>
    <x v="1"/>
    <n v="0"/>
    <x v="3"/>
    <x v="1"/>
    <n v="9"/>
    <n v="1"/>
    <s v="Life Sciences"/>
    <n v="3"/>
    <n v="2"/>
    <x v="422"/>
    <x v="2"/>
    <n v="1"/>
    <n v="4"/>
    <x v="20"/>
    <x v="1"/>
  </r>
  <r>
    <n v="66842655"/>
    <x v="3"/>
    <x v="1"/>
    <s v="Married"/>
    <x v="0"/>
    <n v="1"/>
    <x v="5"/>
    <x v="1"/>
    <n v="15"/>
    <n v="1"/>
    <s v="Medical"/>
    <n v="2"/>
    <n v="3"/>
    <x v="423"/>
    <x v="3"/>
    <n v="7"/>
    <n v="4"/>
    <x v="5"/>
    <x v="0"/>
  </r>
  <r>
    <n v="16337065"/>
    <x v="3"/>
    <x v="1"/>
    <s v="Divorced"/>
    <x v="0"/>
    <n v="1"/>
    <x v="2"/>
    <x v="1"/>
    <n v="10"/>
    <n v="1"/>
    <s v="Medical"/>
    <n v="1"/>
    <n v="4"/>
    <x v="424"/>
    <x v="1"/>
    <n v="7"/>
    <n v="3"/>
    <x v="9"/>
    <x v="2"/>
  </r>
  <r>
    <n v="14311069"/>
    <x v="7"/>
    <x v="1"/>
    <s v="Single"/>
    <x v="1"/>
    <n v="0"/>
    <x v="6"/>
    <x v="0"/>
    <n v="7"/>
    <n v="1"/>
    <s v="Marketing"/>
    <n v="4"/>
    <n v="2"/>
    <x v="425"/>
    <x v="1"/>
    <n v="0"/>
    <n v="3"/>
    <x v="11"/>
    <x v="2"/>
  </r>
  <r>
    <n v="73461895"/>
    <x v="10"/>
    <x v="1"/>
    <s v="Married"/>
    <x v="1"/>
    <n v="0"/>
    <x v="4"/>
    <x v="1"/>
    <n v="16"/>
    <n v="3"/>
    <s v="Life Sciences"/>
    <n v="4"/>
    <n v="3"/>
    <x v="426"/>
    <x v="0"/>
    <n v="4"/>
    <n v="3"/>
    <x v="3"/>
    <x v="0"/>
  </r>
  <r>
    <n v="14256891"/>
    <x v="12"/>
    <x v="1"/>
    <s v="Married"/>
    <x v="0"/>
    <n v="1"/>
    <x v="4"/>
    <x v="1"/>
    <n v="20"/>
    <n v="3"/>
    <s v="Life Sciences"/>
    <n v="1"/>
    <n v="3"/>
    <x v="427"/>
    <x v="2"/>
    <n v="3"/>
    <n v="3"/>
    <x v="6"/>
    <x v="2"/>
  </r>
  <r>
    <n v="53717821"/>
    <x v="13"/>
    <x v="0"/>
    <s v="Divorced"/>
    <x v="0"/>
    <n v="1"/>
    <x v="8"/>
    <x v="2"/>
    <n v="23"/>
    <n v="3"/>
    <s v="Human Resources"/>
    <n v="2"/>
    <n v="1"/>
    <x v="428"/>
    <x v="2"/>
    <n v="9"/>
    <n v="3"/>
    <x v="11"/>
    <x v="2"/>
  </r>
  <r>
    <n v="59257263"/>
    <x v="19"/>
    <x v="1"/>
    <s v="Married"/>
    <x v="1"/>
    <n v="0"/>
    <x v="2"/>
    <x v="1"/>
    <n v="5"/>
    <n v="2"/>
    <s v="Other"/>
    <n v="2"/>
    <n v="3"/>
    <x v="429"/>
    <x v="1"/>
    <n v="4"/>
    <n v="3"/>
    <x v="4"/>
    <x v="2"/>
  </r>
  <r>
    <n v="49226214"/>
    <x v="9"/>
    <x v="1"/>
    <s v="Single"/>
    <x v="1"/>
    <n v="0"/>
    <x v="0"/>
    <x v="0"/>
    <n v="10"/>
    <n v="4"/>
    <s v="Medical"/>
    <n v="2"/>
    <n v="4"/>
    <x v="15"/>
    <x v="2"/>
    <n v="1"/>
    <n v="2"/>
    <x v="1"/>
    <x v="1"/>
  </r>
  <r>
    <n v="77326854"/>
    <x v="15"/>
    <x v="1"/>
    <s v="Single"/>
    <x v="0"/>
    <n v="1"/>
    <x v="2"/>
    <x v="1"/>
    <n v="4"/>
    <n v="1"/>
    <s v="Technical Degree"/>
    <n v="3"/>
    <n v="3"/>
    <x v="430"/>
    <x v="1"/>
    <n v="5"/>
    <n v="3"/>
    <x v="4"/>
    <x v="2"/>
  </r>
  <r>
    <n v="51723629"/>
    <x v="26"/>
    <x v="0"/>
    <s v="Married"/>
    <x v="1"/>
    <n v="0"/>
    <x v="0"/>
    <x v="0"/>
    <n v="2"/>
    <n v="5"/>
    <s v="Marketing"/>
    <n v="2"/>
    <n v="4"/>
    <x v="431"/>
    <x v="1"/>
    <n v="2"/>
    <n v="3"/>
    <x v="7"/>
    <x v="0"/>
  </r>
  <r>
    <n v="31806800"/>
    <x v="27"/>
    <x v="0"/>
    <s v="Single"/>
    <x v="1"/>
    <n v="0"/>
    <x v="5"/>
    <x v="0"/>
    <n v="18"/>
    <n v="5"/>
    <s v="Life Sciences"/>
    <n v="1"/>
    <n v="2"/>
    <x v="432"/>
    <x v="3"/>
    <n v="3"/>
    <n v="3"/>
    <x v="1"/>
    <x v="1"/>
  </r>
  <r>
    <n v="83704405"/>
    <x v="0"/>
    <x v="1"/>
    <s v="Single"/>
    <x v="1"/>
    <n v="0"/>
    <x v="0"/>
    <x v="0"/>
    <n v="10"/>
    <n v="2"/>
    <s v="Life Sciences"/>
    <n v="4"/>
    <n v="4"/>
    <x v="433"/>
    <x v="0"/>
    <n v="7"/>
    <n v="3"/>
    <x v="13"/>
    <x v="1"/>
  </r>
  <r>
    <n v="88426974"/>
    <x v="10"/>
    <x v="1"/>
    <s v="Married"/>
    <x v="1"/>
    <n v="0"/>
    <x v="0"/>
    <x v="0"/>
    <n v="1"/>
    <n v="3"/>
    <s v="Marketing"/>
    <n v="2"/>
    <n v="3"/>
    <x v="434"/>
    <x v="1"/>
    <n v="9"/>
    <n v="3"/>
    <x v="19"/>
    <x v="1"/>
  </r>
  <r>
    <n v="63779699"/>
    <x v="32"/>
    <x v="0"/>
    <s v="Single"/>
    <x v="1"/>
    <n v="0"/>
    <x v="3"/>
    <x v="1"/>
    <n v="6"/>
    <n v="3"/>
    <s v="Life Sciences"/>
    <n v="2"/>
    <n v="3"/>
    <x v="435"/>
    <x v="3"/>
    <n v="7"/>
    <n v="3"/>
    <x v="23"/>
    <x v="4"/>
  </r>
  <r>
    <n v="53191892"/>
    <x v="22"/>
    <x v="0"/>
    <s v="Married"/>
    <x v="1"/>
    <n v="0"/>
    <x v="2"/>
    <x v="1"/>
    <n v="8"/>
    <n v="1"/>
    <s v="Life Sciences"/>
    <n v="3"/>
    <n v="3"/>
    <x v="436"/>
    <x v="1"/>
    <n v="1"/>
    <n v="3"/>
    <x v="3"/>
    <x v="0"/>
  </r>
  <r>
    <n v="15976588"/>
    <x v="12"/>
    <x v="1"/>
    <s v="Single"/>
    <x v="1"/>
    <n v="0"/>
    <x v="0"/>
    <x v="0"/>
    <n v="2"/>
    <n v="1"/>
    <s v="Life Sciences"/>
    <n v="2"/>
    <n v="4"/>
    <x v="437"/>
    <x v="0"/>
    <n v="4"/>
    <n v="4"/>
    <x v="0"/>
    <x v="0"/>
  </r>
  <r>
    <n v="44605576"/>
    <x v="19"/>
    <x v="1"/>
    <s v="Married"/>
    <x v="1"/>
    <n v="0"/>
    <x v="3"/>
    <x v="1"/>
    <n v="24"/>
    <n v="3"/>
    <s v="Medical"/>
    <n v="4"/>
    <n v="1"/>
    <x v="438"/>
    <x v="0"/>
    <n v="1"/>
    <n v="2"/>
    <x v="1"/>
    <x v="1"/>
  </r>
  <r>
    <n v="44492476"/>
    <x v="28"/>
    <x v="1"/>
    <s v="Married"/>
    <x v="1"/>
    <n v="0"/>
    <x v="0"/>
    <x v="0"/>
    <n v="2"/>
    <n v="3"/>
    <s v="Other"/>
    <n v="4"/>
    <n v="2"/>
    <x v="439"/>
    <x v="1"/>
    <n v="0"/>
    <n v="4"/>
    <x v="3"/>
    <x v="0"/>
  </r>
  <r>
    <n v="74262092"/>
    <x v="25"/>
    <x v="0"/>
    <s v="Divorced"/>
    <x v="0"/>
    <n v="1"/>
    <x v="8"/>
    <x v="2"/>
    <n v="17"/>
    <n v="4"/>
    <s v="Life Sciences"/>
    <n v="2"/>
    <n v="3"/>
    <x v="199"/>
    <x v="1"/>
    <n v="0"/>
    <n v="2"/>
    <x v="5"/>
    <x v="0"/>
  </r>
  <r>
    <n v="35276904"/>
    <x v="11"/>
    <x v="1"/>
    <s v="Divorced"/>
    <x v="1"/>
    <n v="0"/>
    <x v="3"/>
    <x v="1"/>
    <n v="19"/>
    <n v="3"/>
    <s v="Technical Degree"/>
    <n v="4"/>
    <n v="4"/>
    <x v="440"/>
    <x v="1"/>
    <n v="4"/>
    <n v="4"/>
    <x v="11"/>
    <x v="2"/>
  </r>
  <r>
    <n v="52838495"/>
    <x v="3"/>
    <x v="0"/>
    <s v="Divorced"/>
    <x v="1"/>
    <n v="0"/>
    <x v="7"/>
    <x v="1"/>
    <n v="1"/>
    <n v="5"/>
    <s v="Medical"/>
    <n v="1"/>
    <n v="3"/>
    <x v="441"/>
    <x v="3"/>
    <n v="4"/>
    <n v="3"/>
    <x v="0"/>
    <x v="0"/>
  </r>
  <r>
    <n v="84094107"/>
    <x v="12"/>
    <x v="1"/>
    <s v="Divorced"/>
    <x v="1"/>
    <n v="0"/>
    <x v="5"/>
    <x v="0"/>
    <n v="7"/>
    <n v="3"/>
    <s v="Life Sciences"/>
    <n v="3"/>
    <n v="4"/>
    <x v="442"/>
    <x v="2"/>
    <n v="9"/>
    <n v="2"/>
    <x v="8"/>
    <x v="0"/>
  </r>
  <r>
    <n v="77919978"/>
    <x v="41"/>
    <x v="1"/>
    <s v="Single"/>
    <x v="0"/>
    <n v="1"/>
    <x v="6"/>
    <x v="0"/>
    <n v="5"/>
    <n v="3"/>
    <s v="Marketing"/>
    <n v="2"/>
    <n v="2"/>
    <x v="443"/>
    <x v="1"/>
    <n v="1"/>
    <n v="3"/>
    <x v="2"/>
    <x v="2"/>
  </r>
  <r>
    <n v="24207595"/>
    <x v="32"/>
    <x v="1"/>
    <s v="Divorced"/>
    <x v="1"/>
    <n v="0"/>
    <x v="0"/>
    <x v="0"/>
    <n v="28"/>
    <n v="3"/>
    <s v="Other"/>
    <n v="3"/>
    <n v="1"/>
    <x v="444"/>
    <x v="2"/>
    <n v="3"/>
    <n v="3"/>
    <x v="6"/>
    <x v="2"/>
  </r>
  <r>
    <n v="59625279"/>
    <x v="0"/>
    <x v="0"/>
    <s v="Single"/>
    <x v="1"/>
    <n v="0"/>
    <x v="4"/>
    <x v="1"/>
    <n v="2"/>
    <n v="4"/>
    <s v="Other"/>
    <n v="1"/>
    <n v="3"/>
    <x v="445"/>
    <x v="0"/>
    <n v="2"/>
    <n v="3"/>
    <x v="3"/>
    <x v="0"/>
  </r>
  <r>
    <n v="37277705"/>
    <x v="25"/>
    <x v="1"/>
    <s v="Divorced"/>
    <x v="1"/>
    <n v="0"/>
    <x v="0"/>
    <x v="0"/>
    <n v="29"/>
    <n v="2"/>
    <s v="Medical"/>
    <n v="1"/>
    <n v="3"/>
    <x v="383"/>
    <x v="1"/>
    <n v="5"/>
    <n v="3"/>
    <x v="2"/>
    <x v="2"/>
  </r>
  <r>
    <n v="18347414"/>
    <x v="10"/>
    <x v="0"/>
    <s v="Single"/>
    <x v="1"/>
    <n v="0"/>
    <x v="0"/>
    <x v="0"/>
    <n v="1"/>
    <n v="3"/>
    <s v="Medical"/>
    <n v="1"/>
    <n v="3"/>
    <x v="446"/>
    <x v="1"/>
    <n v="1"/>
    <n v="3"/>
    <x v="8"/>
    <x v="0"/>
  </r>
  <r>
    <n v="38263065"/>
    <x v="13"/>
    <x v="1"/>
    <s v="Single"/>
    <x v="1"/>
    <n v="0"/>
    <x v="0"/>
    <x v="0"/>
    <n v="21"/>
    <n v="4"/>
    <s v="Life Sciences"/>
    <n v="4"/>
    <n v="4"/>
    <x v="447"/>
    <x v="0"/>
    <n v="1"/>
    <n v="3"/>
    <x v="1"/>
    <x v="1"/>
  </r>
  <r>
    <n v="89158640"/>
    <x v="25"/>
    <x v="1"/>
    <s v="Single"/>
    <x v="0"/>
    <n v="1"/>
    <x v="2"/>
    <x v="1"/>
    <n v="24"/>
    <n v="3"/>
    <s v="Technical Degree"/>
    <n v="3"/>
    <n v="4"/>
    <x v="246"/>
    <x v="1"/>
    <n v="1"/>
    <n v="1"/>
    <x v="6"/>
    <x v="2"/>
  </r>
  <r>
    <n v="88131906"/>
    <x v="2"/>
    <x v="0"/>
    <s v="Single"/>
    <x v="1"/>
    <n v="0"/>
    <x v="3"/>
    <x v="1"/>
    <n v="1"/>
    <n v="3"/>
    <s v="Technical Degree"/>
    <n v="2"/>
    <n v="4"/>
    <x v="448"/>
    <x v="0"/>
    <n v="4"/>
    <n v="4"/>
    <x v="0"/>
    <x v="0"/>
  </r>
  <r>
    <n v="25407470"/>
    <x v="21"/>
    <x v="0"/>
    <s v="Married"/>
    <x v="1"/>
    <n v="0"/>
    <x v="4"/>
    <x v="1"/>
    <n v="18"/>
    <n v="1"/>
    <s v="Medical"/>
    <n v="1"/>
    <n v="3"/>
    <x v="449"/>
    <x v="2"/>
    <n v="5"/>
    <n v="2"/>
    <x v="4"/>
    <x v="2"/>
  </r>
  <r>
    <n v="49531515"/>
    <x v="0"/>
    <x v="0"/>
    <s v="Married"/>
    <x v="1"/>
    <n v="0"/>
    <x v="5"/>
    <x v="0"/>
    <n v="2"/>
    <n v="5"/>
    <s v="Life Sciences"/>
    <n v="2"/>
    <n v="1"/>
    <x v="450"/>
    <x v="3"/>
    <n v="7"/>
    <n v="3"/>
    <x v="29"/>
    <x v="5"/>
  </r>
  <r>
    <n v="16350498"/>
    <x v="2"/>
    <x v="1"/>
    <s v="Divorced"/>
    <x v="1"/>
    <n v="0"/>
    <x v="0"/>
    <x v="0"/>
    <n v="9"/>
    <n v="4"/>
    <s v="Medical"/>
    <n v="1"/>
    <n v="2"/>
    <x v="451"/>
    <x v="0"/>
    <n v="1"/>
    <n v="3"/>
    <x v="7"/>
    <x v="0"/>
  </r>
  <r>
    <n v="38601517"/>
    <x v="39"/>
    <x v="1"/>
    <s v="Divorced"/>
    <x v="1"/>
    <n v="0"/>
    <x v="1"/>
    <x v="1"/>
    <n v="6"/>
    <n v="2"/>
    <s v="Technical Degree"/>
    <n v="4"/>
    <n v="1"/>
    <x v="452"/>
    <x v="0"/>
    <n v="3"/>
    <n v="3"/>
    <x v="1"/>
    <x v="1"/>
  </r>
  <r>
    <n v="14445339"/>
    <x v="5"/>
    <x v="1"/>
    <s v="Married"/>
    <x v="0"/>
    <n v="1"/>
    <x v="0"/>
    <x v="0"/>
    <n v="11"/>
    <n v="4"/>
    <s v="Other"/>
    <n v="4"/>
    <n v="3"/>
    <x v="453"/>
    <x v="1"/>
    <n v="8"/>
    <n v="3"/>
    <x v="9"/>
    <x v="2"/>
  </r>
  <r>
    <n v="71272642"/>
    <x v="17"/>
    <x v="1"/>
    <s v="Married"/>
    <x v="1"/>
    <n v="0"/>
    <x v="6"/>
    <x v="0"/>
    <n v="24"/>
    <n v="3"/>
    <s v="Medical"/>
    <n v="4"/>
    <n v="4"/>
    <x v="454"/>
    <x v="1"/>
    <n v="0"/>
    <n v="3"/>
    <x v="4"/>
    <x v="2"/>
  </r>
  <r>
    <n v="43950675"/>
    <x v="8"/>
    <x v="0"/>
    <s v="Married"/>
    <x v="1"/>
    <n v="0"/>
    <x v="4"/>
    <x v="1"/>
    <n v="10"/>
    <n v="3"/>
    <s v="Medical"/>
    <n v="3"/>
    <n v="3"/>
    <x v="427"/>
    <x v="2"/>
    <n v="3"/>
    <n v="3"/>
    <x v="6"/>
    <x v="2"/>
  </r>
  <r>
    <n v="60150241"/>
    <x v="2"/>
    <x v="0"/>
    <s v="Married"/>
    <x v="1"/>
    <n v="0"/>
    <x v="3"/>
    <x v="1"/>
    <n v="1"/>
    <n v="4"/>
    <s v="Life Sciences"/>
    <n v="2"/>
    <n v="2"/>
    <x v="455"/>
    <x v="0"/>
    <n v="6"/>
    <n v="2"/>
    <x v="0"/>
    <x v="0"/>
  </r>
  <r>
    <n v="76378890"/>
    <x v="1"/>
    <x v="1"/>
    <s v="Divorced"/>
    <x v="1"/>
    <n v="0"/>
    <x v="7"/>
    <x v="1"/>
    <n v="18"/>
    <n v="4"/>
    <s v="Life Sciences"/>
    <n v="4"/>
    <n v="3"/>
    <x v="456"/>
    <x v="4"/>
    <n v="1"/>
    <n v="3"/>
    <x v="31"/>
    <x v="8"/>
  </r>
  <r>
    <n v="53698380"/>
    <x v="17"/>
    <x v="1"/>
    <s v="Married"/>
    <x v="1"/>
    <n v="0"/>
    <x v="1"/>
    <x v="1"/>
    <n v="23"/>
    <n v="3"/>
    <s v="Medical"/>
    <n v="2"/>
    <n v="4"/>
    <x v="457"/>
    <x v="1"/>
    <n v="1"/>
    <n v="3"/>
    <x v="0"/>
    <x v="0"/>
  </r>
  <r>
    <n v="22798677"/>
    <x v="25"/>
    <x v="1"/>
    <s v="Married"/>
    <x v="1"/>
    <n v="0"/>
    <x v="0"/>
    <x v="0"/>
    <n v="28"/>
    <n v="2"/>
    <s v="Marketing"/>
    <n v="1"/>
    <n v="2"/>
    <x v="458"/>
    <x v="0"/>
    <n v="1"/>
    <n v="4"/>
    <x v="8"/>
    <x v="0"/>
  </r>
  <r>
    <n v="14123044"/>
    <x v="17"/>
    <x v="1"/>
    <s v="Married"/>
    <x v="1"/>
    <n v="0"/>
    <x v="2"/>
    <x v="1"/>
    <n v="17"/>
    <n v="2"/>
    <s v="Other"/>
    <n v="4"/>
    <n v="2"/>
    <x v="459"/>
    <x v="1"/>
    <n v="1"/>
    <n v="3"/>
    <x v="6"/>
    <x v="2"/>
  </r>
  <r>
    <n v="80013519"/>
    <x v="24"/>
    <x v="1"/>
    <s v="Married"/>
    <x v="1"/>
    <n v="0"/>
    <x v="5"/>
    <x v="2"/>
    <n v="3"/>
    <n v="3"/>
    <s v="Medical"/>
    <n v="1"/>
    <n v="2"/>
    <x v="460"/>
    <x v="4"/>
    <n v="1"/>
    <n v="3"/>
    <x v="32"/>
    <x v="8"/>
  </r>
  <r>
    <n v="82781755"/>
    <x v="36"/>
    <x v="1"/>
    <s v="Married"/>
    <x v="1"/>
    <n v="0"/>
    <x v="6"/>
    <x v="0"/>
    <n v="13"/>
    <n v="1"/>
    <s v="Medical"/>
    <n v="2"/>
    <n v="3"/>
    <x v="461"/>
    <x v="1"/>
    <n v="1"/>
    <n v="3"/>
    <x v="5"/>
    <x v="0"/>
  </r>
  <r>
    <n v="38639246"/>
    <x v="17"/>
    <x v="0"/>
    <s v="Married"/>
    <x v="0"/>
    <n v="1"/>
    <x v="2"/>
    <x v="1"/>
    <n v="7"/>
    <n v="3"/>
    <s v="Life Sciences"/>
    <n v="1"/>
    <n v="3"/>
    <x v="407"/>
    <x v="1"/>
    <n v="1"/>
    <n v="3"/>
    <x v="0"/>
    <x v="0"/>
  </r>
  <r>
    <n v="20771290"/>
    <x v="7"/>
    <x v="1"/>
    <s v="Married"/>
    <x v="0"/>
    <n v="1"/>
    <x v="6"/>
    <x v="0"/>
    <n v="12"/>
    <n v="4"/>
    <s v="Life Sciences"/>
    <n v="2"/>
    <n v="1"/>
    <x v="462"/>
    <x v="1"/>
    <n v="1"/>
    <n v="4"/>
    <x v="6"/>
    <x v="2"/>
  </r>
  <r>
    <n v="39708392"/>
    <x v="13"/>
    <x v="1"/>
    <s v="Married"/>
    <x v="1"/>
    <n v="0"/>
    <x v="1"/>
    <x v="1"/>
    <n v="1"/>
    <n v="2"/>
    <s v="Life Sciences"/>
    <n v="2"/>
    <n v="4"/>
    <x v="463"/>
    <x v="1"/>
    <n v="1"/>
    <n v="3"/>
    <x v="0"/>
    <x v="0"/>
  </r>
  <r>
    <n v="50975515"/>
    <x v="12"/>
    <x v="1"/>
    <s v="Divorced"/>
    <x v="0"/>
    <n v="1"/>
    <x v="0"/>
    <x v="0"/>
    <n v="13"/>
    <n v="4"/>
    <s v="Medical"/>
    <n v="2"/>
    <n v="1"/>
    <x v="464"/>
    <x v="1"/>
    <n v="2"/>
    <n v="1"/>
    <x v="11"/>
    <x v="2"/>
  </r>
  <r>
    <n v="61782351"/>
    <x v="10"/>
    <x v="1"/>
    <s v="Single"/>
    <x v="1"/>
    <n v="0"/>
    <x v="2"/>
    <x v="1"/>
    <n v="25"/>
    <n v="2"/>
    <s v="Other"/>
    <n v="1"/>
    <n v="4"/>
    <x v="465"/>
    <x v="1"/>
    <n v="4"/>
    <n v="3"/>
    <x v="11"/>
    <x v="2"/>
  </r>
  <r>
    <n v="61684572"/>
    <x v="12"/>
    <x v="1"/>
    <s v="Divorced"/>
    <x v="1"/>
    <n v="0"/>
    <x v="0"/>
    <x v="0"/>
    <n v="6"/>
    <n v="4"/>
    <s v="Medical"/>
    <n v="1"/>
    <n v="4"/>
    <x v="466"/>
    <x v="0"/>
    <n v="4"/>
    <n v="4"/>
    <x v="5"/>
    <x v="0"/>
  </r>
  <r>
    <n v="57731037"/>
    <x v="4"/>
    <x v="0"/>
    <s v="Divorced"/>
    <x v="1"/>
    <n v="0"/>
    <x v="1"/>
    <x v="1"/>
    <n v="6"/>
    <n v="4"/>
    <s v="Medical"/>
    <n v="1"/>
    <n v="3"/>
    <x v="467"/>
    <x v="1"/>
    <n v="0"/>
    <n v="2"/>
    <x v="8"/>
    <x v="0"/>
  </r>
  <r>
    <n v="62301376"/>
    <x v="2"/>
    <x v="1"/>
    <s v="Married"/>
    <x v="1"/>
    <n v="0"/>
    <x v="0"/>
    <x v="0"/>
    <n v="2"/>
    <n v="3"/>
    <s v="Marketing"/>
    <n v="4"/>
    <n v="3"/>
    <x v="468"/>
    <x v="2"/>
    <n v="4"/>
    <n v="2"/>
    <x v="11"/>
    <x v="2"/>
  </r>
  <r>
    <n v="24336662"/>
    <x v="35"/>
    <x v="0"/>
    <s v="Single"/>
    <x v="1"/>
    <n v="0"/>
    <x v="1"/>
    <x v="1"/>
    <n v="1"/>
    <n v="3"/>
    <s v="Life Sciences"/>
    <n v="4"/>
    <n v="2"/>
    <x v="469"/>
    <x v="1"/>
    <n v="1"/>
    <n v="4"/>
    <x v="6"/>
    <x v="2"/>
  </r>
  <r>
    <n v="75834948"/>
    <x v="19"/>
    <x v="0"/>
    <s v="Married"/>
    <x v="1"/>
    <n v="0"/>
    <x v="4"/>
    <x v="1"/>
    <n v="2"/>
    <n v="4"/>
    <s v="Life Sciences"/>
    <n v="3"/>
    <n v="4"/>
    <x v="470"/>
    <x v="1"/>
    <n v="1"/>
    <n v="3"/>
    <x v="1"/>
    <x v="1"/>
  </r>
  <r>
    <n v="58255060"/>
    <x v="23"/>
    <x v="1"/>
    <s v="Divorced"/>
    <x v="1"/>
    <n v="0"/>
    <x v="7"/>
    <x v="1"/>
    <n v="6"/>
    <n v="4"/>
    <s v="Other"/>
    <n v="2"/>
    <n v="4"/>
    <x v="471"/>
    <x v="3"/>
    <n v="4"/>
    <n v="2"/>
    <x v="6"/>
    <x v="2"/>
  </r>
  <r>
    <n v="38022677"/>
    <x v="8"/>
    <x v="0"/>
    <s v="Single"/>
    <x v="1"/>
    <n v="0"/>
    <x v="1"/>
    <x v="1"/>
    <n v="1"/>
    <n v="1"/>
    <s v="Life Sciences"/>
    <n v="3"/>
    <n v="1"/>
    <x v="472"/>
    <x v="1"/>
    <n v="3"/>
    <n v="2"/>
    <x v="2"/>
    <x v="2"/>
  </r>
  <r>
    <n v="79236972"/>
    <x v="23"/>
    <x v="1"/>
    <s v="Divorced"/>
    <x v="1"/>
    <n v="0"/>
    <x v="2"/>
    <x v="1"/>
    <n v="9"/>
    <n v="5"/>
    <s v="Medical"/>
    <n v="4"/>
    <n v="3"/>
    <x v="473"/>
    <x v="0"/>
    <n v="3"/>
    <n v="3"/>
    <x v="3"/>
    <x v="0"/>
  </r>
  <r>
    <n v="63944695"/>
    <x v="26"/>
    <x v="0"/>
    <s v="Married"/>
    <x v="1"/>
    <n v="0"/>
    <x v="5"/>
    <x v="1"/>
    <n v="1"/>
    <n v="4"/>
    <s v="Life Sciences"/>
    <n v="4"/>
    <n v="1"/>
    <x v="474"/>
    <x v="3"/>
    <n v="7"/>
    <n v="1"/>
    <x v="11"/>
    <x v="2"/>
  </r>
  <r>
    <n v="42084837"/>
    <x v="20"/>
    <x v="0"/>
    <s v="Single"/>
    <x v="1"/>
    <n v="0"/>
    <x v="8"/>
    <x v="2"/>
    <n v="1"/>
    <n v="4"/>
    <s v="Life Sciences"/>
    <n v="1"/>
    <n v="3"/>
    <x v="475"/>
    <x v="0"/>
    <n v="4"/>
    <n v="4"/>
    <x v="4"/>
    <x v="2"/>
  </r>
  <r>
    <n v="19184702"/>
    <x v="13"/>
    <x v="0"/>
    <s v="Divorced"/>
    <x v="1"/>
    <n v="0"/>
    <x v="6"/>
    <x v="0"/>
    <n v="14"/>
    <n v="3"/>
    <s v="Technical Degree"/>
    <n v="3"/>
    <n v="3"/>
    <x v="476"/>
    <x v="1"/>
    <n v="1"/>
    <n v="3"/>
    <x v="3"/>
    <x v="0"/>
  </r>
  <r>
    <n v="17360927"/>
    <x v="4"/>
    <x v="1"/>
    <s v="Divorced"/>
    <x v="0"/>
    <n v="1"/>
    <x v="6"/>
    <x v="0"/>
    <n v="2"/>
    <n v="1"/>
    <s v="Marketing"/>
    <n v="3"/>
    <n v="1"/>
    <x v="477"/>
    <x v="1"/>
    <n v="0"/>
    <n v="3"/>
    <x v="9"/>
    <x v="2"/>
  </r>
  <r>
    <n v="22614507"/>
    <x v="18"/>
    <x v="1"/>
    <s v="Single"/>
    <x v="1"/>
    <n v="0"/>
    <x v="6"/>
    <x v="0"/>
    <n v="22"/>
    <n v="1"/>
    <s v="Technical Degree"/>
    <n v="3"/>
    <n v="3"/>
    <x v="478"/>
    <x v="1"/>
    <n v="1"/>
    <n v="3"/>
    <x v="11"/>
    <x v="2"/>
  </r>
  <r>
    <n v="28436319"/>
    <x v="20"/>
    <x v="1"/>
    <s v="Married"/>
    <x v="1"/>
    <n v="0"/>
    <x v="5"/>
    <x v="1"/>
    <n v="3"/>
    <n v="4"/>
    <s v="Other"/>
    <n v="4"/>
    <n v="4"/>
    <x v="479"/>
    <x v="4"/>
    <n v="4"/>
    <n v="4"/>
    <x v="4"/>
    <x v="2"/>
  </r>
  <r>
    <n v="49471040"/>
    <x v="15"/>
    <x v="1"/>
    <s v="Married"/>
    <x v="1"/>
    <n v="0"/>
    <x v="1"/>
    <x v="1"/>
    <n v="6"/>
    <n v="1"/>
    <s v="Medical"/>
    <n v="1"/>
    <n v="3"/>
    <x v="480"/>
    <x v="1"/>
    <n v="0"/>
    <n v="3"/>
    <x v="4"/>
    <x v="2"/>
  </r>
  <r>
    <n v="24219172"/>
    <x v="3"/>
    <x v="1"/>
    <s v="Divorced"/>
    <x v="1"/>
    <n v="0"/>
    <x v="0"/>
    <x v="0"/>
    <n v="8"/>
    <n v="4"/>
    <s v="Marketing"/>
    <n v="3"/>
    <n v="3"/>
    <x v="481"/>
    <x v="0"/>
    <n v="0"/>
    <n v="3"/>
    <x v="8"/>
    <x v="0"/>
  </r>
  <r>
    <n v="83512638"/>
    <x v="5"/>
    <x v="0"/>
    <s v="Married"/>
    <x v="1"/>
    <n v="0"/>
    <x v="1"/>
    <x v="1"/>
    <n v="9"/>
    <n v="4"/>
    <s v="Life Sciences"/>
    <n v="1"/>
    <n v="4"/>
    <x v="482"/>
    <x v="0"/>
    <n v="1"/>
    <n v="2"/>
    <x v="0"/>
    <x v="0"/>
  </r>
  <r>
    <n v="82625208"/>
    <x v="7"/>
    <x v="0"/>
    <s v="Divorced"/>
    <x v="1"/>
    <n v="0"/>
    <x v="1"/>
    <x v="1"/>
    <n v="3"/>
    <n v="3"/>
    <s v="Medical"/>
    <n v="3"/>
    <n v="3"/>
    <x v="483"/>
    <x v="1"/>
    <n v="1"/>
    <n v="3"/>
    <x v="6"/>
    <x v="2"/>
  </r>
  <r>
    <n v="82369431"/>
    <x v="16"/>
    <x v="0"/>
    <s v="Single"/>
    <x v="1"/>
    <n v="0"/>
    <x v="0"/>
    <x v="0"/>
    <n v="1"/>
    <n v="1"/>
    <s v="Medical"/>
    <n v="4"/>
    <n v="1"/>
    <x v="484"/>
    <x v="0"/>
    <n v="7"/>
    <n v="4"/>
    <x v="13"/>
    <x v="1"/>
  </r>
  <r>
    <n v="63751974"/>
    <x v="13"/>
    <x v="1"/>
    <s v="Married"/>
    <x v="1"/>
    <n v="0"/>
    <x v="1"/>
    <x v="1"/>
    <n v="1"/>
    <n v="5"/>
    <s v="Life Sciences"/>
    <n v="2"/>
    <n v="4"/>
    <x v="485"/>
    <x v="1"/>
    <n v="1"/>
    <n v="2"/>
    <x v="1"/>
    <x v="1"/>
  </r>
  <r>
    <n v="56700864"/>
    <x v="28"/>
    <x v="0"/>
    <s v="Married"/>
    <x v="0"/>
    <n v="1"/>
    <x v="0"/>
    <x v="0"/>
    <n v="26"/>
    <n v="4"/>
    <s v="Life Sciences"/>
    <n v="1"/>
    <n v="1"/>
    <x v="486"/>
    <x v="1"/>
    <n v="2"/>
    <n v="3"/>
    <x v="6"/>
    <x v="2"/>
  </r>
  <r>
    <n v="15322892"/>
    <x v="25"/>
    <x v="0"/>
    <s v="Married"/>
    <x v="1"/>
    <n v="0"/>
    <x v="2"/>
    <x v="1"/>
    <n v="6"/>
    <n v="3"/>
    <s v="Life Sciences"/>
    <n v="3"/>
    <n v="4"/>
    <x v="487"/>
    <x v="1"/>
    <n v="1"/>
    <n v="3"/>
    <x v="11"/>
    <x v="2"/>
  </r>
  <r>
    <n v="71171331"/>
    <x v="2"/>
    <x v="1"/>
    <s v="Married"/>
    <x v="1"/>
    <n v="0"/>
    <x v="3"/>
    <x v="1"/>
    <n v="3"/>
    <n v="3"/>
    <s v="Other"/>
    <n v="3"/>
    <n v="3"/>
    <x v="488"/>
    <x v="2"/>
    <n v="1"/>
    <n v="3"/>
    <x v="1"/>
    <x v="1"/>
  </r>
  <r>
    <n v="36763716"/>
    <x v="11"/>
    <x v="0"/>
    <s v="Married"/>
    <x v="1"/>
    <n v="0"/>
    <x v="0"/>
    <x v="0"/>
    <n v="3"/>
    <n v="2"/>
    <s v="Medical"/>
    <n v="2"/>
    <n v="3"/>
    <x v="489"/>
    <x v="0"/>
    <n v="1"/>
    <n v="2"/>
    <x v="0"/>
    <x v="0"/>
  </r>
  <r>
    <n v="77009306"/>
    <x v="10"/>
    <x v="1"/>
    <s v="Single"/>
    <x v="1"/>
    <n v="0"/>
    <x v="1"/>
    <x v="1"/>
    <n v="6"/>
    <n v="4"/>
    <s v="Life Sciences"/>
    <n v="2"/>
    <n v="4"/>
    <x v="490"/>
    <x v="0"/>
    <n v="1"/>
    <n v="3"/>
    <x v="18"/>
    <x v="5"/>
  </r>
  <r>
    <n v="53161445"/>
    <x v="3"/>
    <x v="1"/>
    <s v="Divorced"/>
    <x v="1"/>
    <n v="0"/>
    <x v="4"/>
    <x v="1"/>
    <n v="6"/>
    <n v="3"/>
    <s v="Life Sciences"/>
    <n v="3"/>
    <n v="4"/>
    <x v="491"/>
    <x v="0"/>
    <n v="3"/>
    <n v="1"/>
    <x v="20"/>
    <x v="1"/>
  </r>
  <r>
    <n v="12911051"/>
    <x v="33"/>
    <x v="1"/>
    <s v="Married"/>
    <x v="1"/>
    <n v="0"/>
    <x v="8"/>
    <x v="2"/>
    <n v="19"/>
    <n v="4"/>
    <s v="Medical"/>
    <n v="3"/>
    <n v="2"/>
    <x v="492"/>
    <x v="2"/>
    <n v="2"/>
    <n v="4"/>
    <x v="7"/>
    <x v="0"/>
  </r>
  <r>
    <n v="35230395"/>
    <x v="9"/>
    <x v="1"/>
    <s v="Divorced"/>
    <x v="1"/>
    <n v="0"/>
    <x v="3"/>
    <x v="1"/>
    <n v="9"/>
    <n v="2"/>
    <s v="Medical"/>
    <n v="2"/>
    <n v="2"/>
    <x v="493"/>
    <x v="0"/>
    <n v="2"/>
    <n v="3"/>
    <x v="11"/>
    <x v="2"/>
  </r>
  <r>
    <n v="61030181"/>
    <x v="4"/>
    <x v="1"/>
    <s v="Single"/>
    <x v="1"/>
    <n v="0"/>
    <x v="1"/>
    <x v="1"/>
    <n v="3"/>
    <n v="4"/>
    <s v="Medical"/>
    <n v="1"/>
    <n v="4"/>
    <x v="494"/>
    <x v="1"/>
    <n v="0"/>
    <n v="3"/>
    <x v="9"/>
    <x v="2"/>
  </r>
  <r>
    <n v="76933938"/>
    <x v="35"/>
    <x v="1"/>
    <s v="Single"/>
    <x v="0"/>
    <n v="1"/>
    <x v="1"/>
    <x v="1"/>
    <n v="10"/>
    <n v="1"/>
    <s v="Medical"/>
    <n v="4"/>
    <n v="3"/>
    <x v="495"/>
    <x v="1"/>
    <n v="1"/>
    <n v="3"/>
    <x v="6"/>
    <x v="2"/>
  </r>
  <r>
    <n v="23967690"/>
    <x v="3"/>
    <x v="1"/>
    <s v="Single"/>
    <x v="0"/>
    <n v="1"/>
    <x v="1"/>
    <x v="1"/>
    <n v="3"/>
    <n v="3"/>
    <s v="Life Sciences"/>
    <n v="1"/>
    <n v="1"/>
    <x v="496"/>
    <x v="1"/>
    <n v="1"/>
    <n v="3"/>
    <x v="1"/>
    <x v="1"/>
  </r>
  <r>
    <n v="14068938"/>
    <x v="10"/>
    <x v="1"/>
    <s v="Married"/>
    <x v="1"/>
    <n v="0"/>
    <x v="2"/>
    <x v="1"/>
    <n v="3"/>
    <n v="3"/>
    <s v="Life Sciences"/>
    <n v="3"/>
    <n v="3"/>
    <x v="497"/>
    <x v="1"/>
    <n v="1"/>
    <n v="3"/>
    <x v="6"/>
    <x v="2"/>
  </r>
  <r>
    <n v="57724914"/>
    <x v="30"/>
    <x v="1"/>
    <s v="Married"/>
    <x v="1"/>
    <n v="0"/>
    <x v="1"/>
    <x v="1"/>
    <n v="4"/>
    <n v="3"/>
    <s v="Medical"/>
    <n v="1"/>
    <n v="1"/>
    <x v="498"/>
    <x v="1"/>
    <n v="2"/>
    <n v="4"/>
    <x v="11"/>
    <x v="2"/>
  </r>
  <r>
    <n v="83101696"/>
    <x v="36"/>
    <x v="1"/>
    <s v="Married"/>
    <x v="1"/>
    <n v="0"/>
    <x v="0"/>
    <x v="0"/>
    <n v="8"/>
    <n v="3"/>
    <s v="Life Sciences"/>
    <n v="4"/>
    <n v="2"/>
    <x v="499"/>
    <x v="1"/>
    <n v="0"/>
    <n v="3"/>
    <x v="11"/>
    <x v="2"/>
  </r>
  <r>
    <n v="21374322"/>
    <x v="8"/>
    <x v="0"/>
    <s v="Single"/>
    <x v="1"/>
    <n v="0"/>
    <x v="0"/>
    <x v="0"/>
    <n v="7"/>
    <n v="4"/>
    <s v="Marketing"/>
    <n v="4"/>
    <n v="4"/>
    <x v="500"/>
    <x v="1"/>
    <n v="0"/>
    <n v="3"/>
    <x v="5"/>
    <x v="0"/>
  </r>
  <r>
    <n v="25992581"/>
    <x v="11"/>
    <x v="1"/>
    <s v="Divorced"/>
    <x v="1"/>
    <n v="0"/>
    <x v="1"/>
    <x v="1"/>
    <n v="1"/>
    <n v="4"/>
    <s v="Life Sciences"/>
    <n v="2"/>
    <n v="4"/>
    <x v="143"/>
    <x v="1"/>
    <n v="1"/>
    <n v="3"/>
    <x v="1"/>
    <x v="1"/>
  </r>
  <r>
    <n v="31222042"/>
    <x v="26"/>
    <x v="1"/>
    <s v="Married"/>
    <x v="1"/>
    <n v="0"/>
    <x v="0"/>
    <x v="0"/>
    <n v="2"/>
    <n v="1"/>
    <s v="Marketing"/>
    <n v="2"/>
    <n v="2"/>
    <x v="501"/>
    <x v="0"/>
    <n v="3"/>
    <n v="3"/>
    <x v="4"/>
    <x v="2"/>
  </r>
  <r>
    <n v="72355243"/>
    <x v="4"/>
    <x v="0"/>
    <s v="Divorced"/>
    <x v="1"/>
    <n v="0"/>
    <x v="0"/>
    <x v="0"/>
    <n v="3"/>
    <n v="1"/>
    <s v="Medical"/>
    <n v="4"/>
    <n v="4"/>
    <x v="502"/>
    <x v="1"/>
    <n v="1"/>
    <n v="3"/>
    <x v="0"/>
    <x v="0"/>
  </r>
  <r>
    <n v="67316667"/>
    <x v="2"/>
    <x v="1"/>
    <s v="Single"/>
    <x v="1"/>
    <n v="0"/>
    <x v="1"/>
    <x v="1"/>
    <n v="10"/>
    <n v="2"/>
    <s v="Life Sciences"/>
    <n v="4"/>
    <n v="4"/>
    <x v="503"/>
    <x v="1"/>
    <n v="3"/>
    <n v="3"/>
    <x v="6"/>
    <x v="2"/>
  </r>
  <r>
    <n v="87780502"/>
    <x v="24"/>
    <x v="1"/>
    <s v="Married"/>
    <x v="1"/>
    <n v="0"/>
    <x v="2"/>
    <x v="1"/>
    <n v="28"/>
    <n v="1"/>
    <s v="Medical"/>
    <n v="4"/>
    <n v="3"/>
    <x v="504"/>
    <x v="1"/>
    <n v="1"/>
    <n v="3"/>
    <x v="23"/>
    <x v="4"/>
  </r>
  <r>
    <n v="22973101"/>
    <x v="13"/>
    <x v="0"/>
    <s v="Single"/>
    <x v="1"/>
    <n v="0"/>
    <x v="4"/>
    <x v="1"/>
    <n v="9"/>
    <n v="3"/>
    <s v="Medical"/>
    <n v="4"/>
    <n v="2"/>
    <x v="505"/>
    <x v="0"/>
    <n v="1"/>
    <n v="4"/>
    <x v="3"/>
    <x v="0"/>
  </r>
  <r>
    <n v="58325866"/>
    <x v="17"/>
    <x v="0"/>
    <s v="Single"/>
    <x v="0"/>
    <n v="1"/>
    <x v="0"/>
    <x v="0"/>
    <n v="3"/>
    <n v="2"/>
    <s v="Life Sciences"/>
    <n v="1"/>
    <n v="3"/>
    <x v="506"/>
    <x v="1"/>
    <n v="9"/>
    <n v="3"/>
    <x v="4"/>
    <x v="2"/>
  </r>
  <r>
    <n v="52266040"/>
    <x v="22"/>
    <x v="0"/>
    <s v="Single"/>
    <x v="1"/>
    <n v="0"/>
    <x v="4"/>
    <x v="1"/>
    <n v="2"/>
    <n v="4"/>
    <s v="Technical Degree"/>
    <n v="4"/>
    <n v="3"/>
    <x v="507"/>
    <x v="1"/>
    <n v="1"/>
    <n v="3"/>
    <x v="23"/>
    <x v="4"/>
  </r>
  <r>
    <n v="56797812"/>
    <x v="5"/>
    <x v="1"/>
    <s v="Single"/>
    <x v="1"/>
    <n v="0"/>
    <x v="0"/>
    <x v="0"/>
    <n v="10"/>
    <n v="3"/>
    <s v="Marketing"/>
    <n v="4"/>
    <n v="4"/>
    <x v="508"/>
    <x v="0"/>
    <n v="1"/>
    <n v="2"/>
    <x v="1"/>
    <x v="1"/>
  </r>
  <r>
    <n v="58732940"/>
    <x v="24"/>
    <x v="1"/>
    <s v="Married"/>
    <x v="0"/>
    <n v="1"/>
    <x v="0"/>
    <x v="0"/>
    <n v="8"/>
    <n v="2"/>
    <s v="Technical Degree"/>
    <n v="2"/>
    <n v="3"/>
    <x v="509"/>
    <x v="0"/>
    <n v="3"/>
    <n v="3"/>
    <x v="9"/>
    <x v="2"/>
  </r>
  <r>
    <n v="77928216"/>
    <x v="8"/>
    <x v="0"/>
    <s v="Single"/>
    <x v="1"/>
    <n v="0"/>
    <x v="4"/>
    <x v="1"/>
    <n v="1"/>
    <n v="4"/>
    <s v="Life Sciences"/>
    <n v="2"/>
    <n v="4"/>
    <x v="510"/>
    <x v="0"/>
    <n v="0"/>
    <n v="2"/>
    <x v="7"/>
    <x v="0"/>
  </r>
  <r>
    <n v="23771302"/>
    <x v="4"/>
    <x v="0"/>
    <s v="Married"/>
    <x v="1"/>
    <n v="0"/>
    <x v="3"/>
    <x v="1"/>
    <n v="1"/>
    <n v="2"/>
    <s v="Life Sciences"/>
    <n v="3"/>
    <n v="1"/>
    <x v="511"/>
    <x v="0"/>
    <n v="1"/>
    <n v="3"/>
    <x v="7"/>
    <x v="0"/>
  </r>
  <r>
    <n v="68175667"/>
    <x v="5"/>
    <x v="0"/>
    <s v="Single"/>
    <x v="1"/>
    <n v="0"/>
    <x v="7"/>
    <x v="1"/>
    <n v="3"/>
    <n v="2"/>
    <s v="Life Sciences"/>
    <n v="3"/>
    <n v="4"/>
    <x v="512"/>
    <x v="2"/>
    <n v="3"/>
    <n v="3"/>
    <x v="5"/>
    <x v="0"/>
  </r>
  <r>
    <n v="63203790"/>
    <x v="40"/>
    <x v="1"/>
    <s v="Single"/>
    <x v="1"/>
    <n v="0"/>
    <x v="0"/>
    <x v="0"/>
    <n v="14"/>
    <n v="4"/>
    <s v="Marketing"/>
    <n v="4"/>
    <n v="1"/>
    <x v="513"/>
    <x v="1"/>
    <n v="2"/>
    <n v="3"/>
    <x v="5"/>
    <x v="0"/>
  </r>
  <r>
    <n v="86741670"/>
    <x v="32"/>
    <x v="1"/>
    <s v="Married"/>
    <x v="1"/>
    <n v="0"/>
    <x v="0"/>
    <x v="0"/>
    <n v="5"/>
    <n v="4"/>
    <s v="Life Sciences"/>
    <n v="4"/>
    <n v="1"/>
    <x v="514"/>
    <x v="2"/>
    <n v="5"/>
    <n v="3"/>
    <x v="29"/>
    <x v="5"/>
  </r>
  <r>
    <n v="25320255"/>
    <x v="16"/>
    <x v="1"/>
    <s v="Married"/>
    <x v="1"/>
    <n v="0"/>
    <x v="7"/>
    <x v="1"/>
    <n v="7"/>
    <n v="3"/>
    <s v="Life Sciences"/>
    <n v="3"/>
    <n v="3"/>
    <x v="515"/>
    <x v="3"/>
    <n v="3"/>
    <n v="3"/>
    <x v="8"/>
    <x v="0"/>
  </r>
  <r>
    <n v="54856703"/>
    <x v="0"/>
    <x v="1"/>
    <s v="Divorced"/>
    <x v="1"/>
    <n v="0"/>
    <x v="5"/>
    <x v="2"/>
    <n v="10"/>
    <n v="4"/>
    <s v="Human Resources"/>
    <n v="2"/>
    <n v="4"/>
    <x v="516"/>
    <x v="4"/>
    <n v="3"/>
    <n v="2"/>
    <x v="17"/>
    <x v="4"/>
  </r>
  <r>
    <n v="19010365"/>
    <x v="42"/>
    <x v="1"/>
    <s v="Single"/>
    <x v="1"/>
    <n v="0"/>
    <x v="0"/>
    <x v="0"/>
    <n v="16"/>
    <n v="4"/>
    <s v="Marketing"/>
    <n v="1"/>
    <n v="1"/>
    <x v="517"/>
    <x v="0"/>
    <n v="8"/>
    <n v="3"/>
    <x v="4"/>
    <x v="2"/>
  </r>
  <r>
    <n v="26193000"/>
    <x v="4"/>
    <x v="1"/>
    <s v="Divorced"/>
    <x v="1"/>
    <n v="0"/>
    <x v="3"/>
    <x v="1"/>
    <n v="10"/>
    <n v="2"/>
    <s v="Life Sciences"/>
    <n v="4"/>
    <n v="1"/>
    <x v="518"/>
    <x v="0"/>
    <n v="1"/>
    <n v="2"/>
    <x v="7"/>
    <x v="0"/>
  </r>
  <r>
    <n v="53541505"/>
    <x v="0"/>
    <x v="1"/>
    <s v="Married"/>
    <x v="1"/>
    <n v="0"/>
    <x v="5"/>
    <x v="2"/>
    <n v="1"/>
    <n v="3"/>
    <s v="Human Resources"/>
    <n v="4"/>
    <n v="3"/>
    <x v="519"/>
    <x v="4"/>
    <n v="1"/>
    <n v="3"/>
    <x v="14"/>
    <x v="4"/>
  </r>
  <r>
    <n v="66120413"/>
    <x v="24"/>
    <x v="1"/>
    <s v="Married"/>
    <x v="1"/>
    <n v="0"/>
    <x v="6"/>
    <x v="0"/>
    <n v="8"/>
    <n v="4"/>
    <s v="Marketing"/>
    <n v="4"/>
    <n v="2"/>
    <x v="520"/>
    <x v="1"/>
    <n v="7"/>
    <n v="3"/>
    <x v="4"/>
    <x v="2"/>
  </r>
  <r>
    <n v="28287579"/>
    <x v="14"/>
    <x v="0"/>
    <s v="Single"/>
    <x v="0"/>
    <n v="1"/>
    <x v="1"/>
    <x v="1"/>
    <n v="1"/>
    <n v="2"/>
    <s v="Life Sciences"/>
    <n v="1"/>
    <n v="2"/>
    <x v="521"/>
    <x v="1"/>
    <n v="7"/>
    <n v="3"/>
    <x v="5"/>
    <x v="0"/>
  </r>
  <r>
    <n v="16015384"/>
    <x v="9"/>
    <x v="0"/>
    <s v="Married"/>
    <x v="1"/>
    <n v="0"/>
    <x v="7"/>
    <x v="1"/>
    <n v="8"/>
    <n v="3"/>
    <s v="Life Sciences"/>
    <n v="1"/>
    <n v="1"/>
    <x v="522"/>
    <x v="2"/>
    <n v="9"/>
    <n v="3"/>
    <x v="3"/>
    <x v="0"/>
  </r>
  <r>
    <n v="47912594"/>
    <x v="8"/>
    <x v="0"/>
    <s v="Single"/>
    <x v="1"/>
    <n v="0"/>
    <x v="3"/>
    <x v="1"/>
    <n v="1"/>
    <n v="3"/>
    <s v="Life Sciences"/>
    <n v="3"/>
    <n v="3"/>
    <x v="523"/>
    <x v="0"/>
    <n v="4"/>
    <n v="4"/>
    <x v="6"/>
    <x v="2"/>
  </r>
  <r>
    <n v="13722133"/>
    <x v="20"/>
    <x v="1"/>
    <s v="Single"/>
    <x v="1"/>
    <n v="0"/>
    <x v="2"/>
    <x v="1"/>
    <n v="24"/>
    <n v="3"/>
    <s v="Medical"/>
    <n v="1"/>
    <n v="3"/>
    <x v="524"/>
    <x v="1"/>
    <n v="2"/>
    <n v="3"/>
    <x v="8"/>
    <x v="0"/>
  </r>
  <r>
    <n v="13076999"/>
    <x v="40"/>
    <x v="0"/>
    <s v="Divorced"/>
    <x v="1"/>
    <n v="0"/>
    <x v="0"/>
    <x v="0"/>
    <n v="3"/>
    <n v="3"/>
    <s v="Medical"/>
    <n v="4"/>
    <n v="3"/>
    <x v="525"/>
    <x v="3"/>
    <n v="9"/>
    <n v="2"/>
    <x v="14"/>
    <x v="4"/>
  </r>
  <r>
    <n v="47382729"/>
    <x v="7"/>
    <x v="1"/>
    <s v="Divorced"/>
    <x v="1"/>
    <n v="0"/>
    <x v="0"/>
    <x v="0"/>
    <n v="27"/>
    <n v="5"/>
    <s v="Marketing"/>
    <n v="3"/>
    <n v="4"/>
    <x v="367"/>
    <x v="0"/>
    <n v="7"/>
    <n v="2"/>
    <x v="3"/>
    <x v="0"/>
  </r>
  <r>
    <n v="80633568"/>
    <x v="11"/>
    <x v="1"/>
    <s v="Single"/>
    <x v="1"/>
    <n v="0"/>
    <x v="6"/>
    <x v="0"/>
    <n v="10"/>
    <n v="3"/>
    <s v="Life Sciences"/>
    <n v="3"/>
    <n v="3"/>
    <x v="526"/>
    <x v="1"/>
    <n v="1"/>
    <n v="3"/>
    <x v="6"/>
    <x v="2"/>
  </r>
  <r>
    <n v="74492535"/>
    <x v="19"/>
    <x v="1"/>
    <s v="Divorced"/>
    <x v="0"/>
    <n v="1"/>
    <x v="1"/>
    <x v="1"/>
    <n v="19"/>
    <n v="3"/>
    <s v="Medical"/>
    <n v="3"/>
    <n v="3"/>
    <x v="527"/>
    <x v="1"/>
    <n v="6"/>
    <n v="3"/>
    <x v="4"/>
    <x v="2"/>
  </r>
  <r>
    <n v="27110536"/>
    <x v="23"/>
    <x v="1"/>
    <s v="Married"/>
    <x v="1"/>
    <n v="0"/>
    <x v="0"/>
    <x v="0"/>
    <n v="15"/>
    <n v="3"/>
    <s v="Life Sciences"/>
    <n v="4"/>
    <n v="4"/>
    <x v="197"/>
    <x v="0"/>
    <n v="3"/>
    <n v="3"/>
    <x v="4"/>
    <x v="2"/>
  </r>
  <r>
    <n v="34199777"/>
    <x v="13"/>
    <x v="0"/>
    <s v="Single"/>
    <x v="1"/>
    <n v="0"/>
    <x v="4"/>
    <x v="1"/>
    <n v="8"/>
    <n v="2"/>
    <s v="Medical"/>
    <n v="2"/>
    <n v="3"/>
    <x v="528"/>
    <x v="0"/>
    <n v="3"/>
    <n v="3"/>
    <x v="8"/>
    <x v="0"/>
  </r>
  <r>
    <n v="72602461"/>
    <x v="30"/>
    <x v="1"/>
    <s v="Married"/>
    <x v="1"/>
    <n v="0"/>
    <x v="2"/>
    <x v="1"/>
    <n v="9"/>
    <n v="1"/>
    <s v="Medical"/>
    <n v="2"/>
    <n v="1"/>
    <x v="172"/>
    <x v="1"/>
    <n v="1"/>
    <n v="4"/>
    <x v="9"/>
    <x v="2"/>
  </r>
  <r>
    <n v="78276738"/>
    <x v="22"/>
    <x v="0"/>
    <s v="Married"/>
    <x v="1"/>
    <n v="0"/>
    <x v="8"/>
    <x v="2"/>
    <n v="3"/>
    <n v="3"/>
    <s v="Human Resources"/>
    <n v="3"/>
    <n v="2"/>
    <x v="529"/>
    <x v="0"/>
    <n v="9"/>
    <n v="1"/>
    <x v="3"/>
    <x v="0"/>
  </r>
  <r>
    <n v="58855000"/>
    <x v="29"/>
    <x v="1"/>
    <s v="Married"/>
    <x v="1"/>
    <n v="0"/>
    <x v="4"/>
    <x v="1"/>
    <n v="9"/>
    <n v="3"/>
    <s v="Medical"/>
    <n v="3"/>
    <n v="4"/>
    <x v="530"/>
    <x v="2"/>
    <n v="7"/>
    <n v="2"/>
    <x v="1"/>
    <x v="1"/>
  </r>
  <r>
    <n v="23990677"/>
    <x v="32"/>
    <x v="0"/>
    <s v="Single"/>
    <x v="1"/>
    <n v="0"/>
    <x v="1"/>
    <x v="1"/>
    <n v="2"/>
    <n v="1"/>
    <s v="Medical"/>
    <n v="4"/>
    <n v="4"/>
    <x v="531"/>
    <x v="1"/>
    <n v="0"/>
    <n v="2"/>
    <x v="9"/>
    <x v="2"/>
  </r>
  <r>
    <n v="35762337"/>
    <x v="4"/>
    <x v="0"/>
    <s v="Single"/>
    <x v="1"/>
    <n v="0"/>
    <x v="4"/>
    <x v="1"/>
    <n v="7"/>
    <n v="3"/>
    <s v="Medical"/>
    <n v="4"/>
    <n v="1"/>
    <x v="445"/>
    <x v="0"/>
    <n v="8"/>
    <n v="1"/>
    <x v="5"/>
    <x v="0"/>
  </r>
  <r>
    <n v="49446896"/>
    <x v="11"/>
    <x v="1"/>
    <s v="Divorced"/>
    <x v="1"/>
    <n v="0"/>
    <x v="6"/>
    <x v="0"/>
    <n v="10"/>
    <n v="3"/>
    <s v="Marketing"/>
    <n v="4"/>
    <n v="2"/>
    <x v="532"/>
    <x v="1"/>
    <n v="1"/>
    <n v="3"/>
    <x v="4"/>
    <x v="2"/>
  </r>
  <r>
    <n v="82019041"/>
    <x v="16"/>
    <x v="1"/>
    <s v="Single"/>
    <x v="1"/>
    <n v="0"/>
    <x v="2"/>
    <x v="1"/>
    <n v="6"/>
    <n v="3"/>
    <s v="Life Sciences"/>
    <n v="4"/>
    <n v="4"/>
    <x v="533"/>
    <x v="1"/>
    <n v="2"/>
    <n v="3"/>
    <x v="4"/>
    <x v="2"/>
  </r>
  <r>
    <n v="55573032"/>
    <x v="10"/>
    <x v="0"/>
    <s v="Divorced"/>
    <x v="1"/>
    <n v="0"/>
    <x v="4"/>
    <x v="1"/>
    <n v="2"/>
    <n v="4"/>
    <s v="Life Sciences"/>
    <n v="4"/>
    <n v="1"/>
    <x v="534"/>
    <x v="0"/>
    <n v="2"/>
    <n v="4"/>
    <x v="6"/>
    <x v="2"/>
  </r>
  <r>
    <n v="57964469"/>
    <x v="5"/>
    <x v="1"/>
    <s v="Married"/>
    <x v="1"/>
    <n v="0"/>
    <x v="2"/>
    <x v="1"/>
    <n v="24"/>
    <n v="4"/>
    <s v="Life Sciences"/>
    <n v="1"/>
    <n v="4"/>
    <x v="535"/>
    <x v="0"/>
    <n v="1"/>
    <n v="3"/>
    <x v="1"/>
    <x v="1"/>
  </r>
  <r>
    <n v="45749396"/>
    <x v="8"/>
    <x v="1"/>
    <s v="Married"/>
    <x v="1"/>
    <n v="0"/>
    <x v="1"/>
    <x v="1"/>
    <n v="2"/>
    <n v="5"/>
    <s v="Medical"/>
    <n v="4"/>
    <n v="3"/>
    <x v="536"/>
    <x v="1"/>
    <n v="6"/>
    <n v="1"/>
    <x v="6"/>
    <x v="2"/>
  </r>
  <r>
    <n v="13013468"/>
    <x v="13"/>
    <x v="0"/>
    <s v="Divorced"/>
    <x v="1"/>
    <n v="0"/>
    <x v="3"/>
    <x v="1"/>
    <n v="8"/>
    <n v="5"/>
    <s v="Life Sciences"/>
    <n v="2"/>
    <n v="1"/>
    <x v="537"/>
    <x v="0"/>
    <n v="3"/>
    <n v="3"/>
    <x v="2"/>
    <x v="2"/>
  </r>
  <r>
    <n v="32557864"/>
    <x v="39"/>
    <x v="1"/>
    <s v="Married"/>
    <x v="1"/>
    <n v="0"/>
    <x v="5"/>
    <x v="0"/>
    <n v="3"/>
    <n v="4"/>
    <s v="Marketing"/>
    <n v="3"/>
    <n v="1"/>
    <x v="538"/>
    <x v="3"/>
    <n v="1"/>
    <n v="4"/>
    <x v="33"/>
    <x v="8"/>
  </r>
  <r>
    <n v="80055759"/>
    <x v="3"/>
    <x v="1"/>
    <s v="Single"/>
    <x v="0"/>
    <n v="1"/>
    <x v="1"/>
    <x v="1"/>
    <n v="1"/>
    <n v="4"/>
    <s v="Other"/>
    <n v="4"/>
    <n v="4"/>
    <x v="539"/>
    <x v="1"/>
    <n v="1"/>
    <n v="2"/>
    <x v="1"/>
    <x v="1"/>
  </r>
  <r>
    <n v="33596479"/>
    <x v="36"/>
    <x v="0"/>
    <s v="Single"/>
    <x v="1"/>
    <n v="0"/>
    <x v="0"/>
    <x v="0"/>
    <n v="26"/>
    <n v="1"/>
    <s v="Medical"/>
    <n v="3"/>
    <n v="4"/>
    <x v="540"/>
    <x v="0"/>
    <n v="1"/>
    <n v="2"/>
    <x v="0"/>
    <x v="0"/>
  </r>
  <r>
    <n v="13032272"/>
    <x v="28"/>
    <x v="1"/>
    <s v="Single"/>
    <x v="1"/>
    <n v="0"/>
    <x v="6"/>
    <x v="0"/>
    <n v="2"/>
    <n v="2"/>
    <s v="Technical Degree"/>
    <n v="2"/>
    <n v="3"/>
    <x v="541"/>
    <x v="0"/>
    <n v="0"/>
    <n v="3"/>
    <x v="3"/>
    <x v="0"/>
  </r>
  <r>
    <n v="67540916"/>
    <x v="30"/>
    <x v="1"/>
    <s v="Single"/>
    <x v="1"/>
    <n v="0"/>
    <x v="1"/>
    <x v="1"/>
    <n v="10"/>
    <n v="1"/>
    <s v="Medical"/>
    <n v="1"/>
    <n v="3"/>
    <x v="542"/>
    <x v="1"/>
    <n v="1"/>
    <n v="3"/>
    <x v="4"/>
    <x v="2"/>
  </r>
  <r>
    <n v="71508586"/>
    <x v="40"/>
    <x v="0"/>
    <s v="Single"/>
    <x v="0"/>
    <n v="1"/>
    <x v="0"/>
    <x v="0"/>
    <n v="27"/>
    <n v="2"/>
    <s v="Life Sciences"/>
    <n v="2"/>
    <n v="3"/>
    <x v="271"/>
    <x v="0"/>
    <n v="4"/>
    <n v="3"/>
    <x v="8"/>
    <x v="0"/>
  </r>
  <r>
    <n v="13008757"/>
    <x v="13"/>
    <x v="1"/>
    <s v="Single"/>
    <x v="1"/>
    <n v="0"/>
    <x v="0"/>
    <x v="0"/>
    <n v="2"/>
    <n v="3"/>
    <s v="Other"/>
    <n v="4"/>
    <n v="4"/>
    <x v="543"/>
    <x v="0"/>
    <n v="1"/>
    <n v="3"/>
    <x v="0"/>
    <x v="0"/>
  </r>
  <r>
    <n v="84126147"/>
    <x v="27"/>
    <x v="1"/>
    <s v="Married"/>
    <x v="0"/>
    <n v="1"/>
    <x v="5"/>
    <x v="1"/>
    <n v="2"/>
    <n v="3"/>
    <s v="Medical"/>
    <n v="4"/>
    <n v="1"/>
    <x v="544"/>
    <x v="4"/>
    <n v="5"/>
    <n v="3"/>
    <x v="8"/>
    <x v="0"/>
  </r>
  <r>
    <n v="72265301"/>
    <x v="9"/>
    <x v="1"/>
    <s v="Single"/>
    <x v="1"/>
    <n v="0"/>
    <x v="0"/>
    <x v="0"/>
    <n v="8"/>
    <n v="4"/>
    <s v="Life Sciences"/>
    <n v="1"/>
    <n v="1"/>
    <x v="545"/>
    <x v="0"/>
    <n v="1"/>
    <n v="3"/>
    <x v="1"/>
    <x v="1"/>
  </r>
  <r>
    <n v="54643558"/>
    <x v="39"/>
    <x v="1"/>
    <s v="Married"/>
    <x v="1"/>
    <n v="0"/>
    <x v="1"/>
    <x v="1"/>
    <n v="19"/>
    <n v="4"/>
    <s v="Medical"/>
    <n v="4"/>
    <n v="4"/>
    <x v="546"/>
    <x v="1"/>
    <n v="0"/>
    <n v="3"/>
    <x v="9"/>
    <x v="2"/>
  </r>
  <r>
    <n v="78014962"/>
    <x v="25"/>
    <x v="0"/>
    <s v="Divorced"/>
    <x v="1"/>
    <n v="0"/>
    <x v="2"/>
    <x v="1"/>
    <n v="1"/>
    <n v="2"/>
    <s v="Life Sciences"/>
    <n v="1"/>
    <n v="4"/>
    <x v="547"/>
    <x v="1"/>
    <n v="3"/>
    <n v="3"/>
    <x v="4"/>
    <x v="2"/>
  </r>
  <r>
    <n v="74198225"/>
    <x v="11"/>
    <x v="0"/>
    <s v="Married"/>
    <x v="1"/>
    <n v="0"/>
    <x v="4"/>
    <x v="1"/>
    <n v="27"/>
    <n v="3"/>
    <s v="Medical"/>
    <n v="2"/>
    <n v="3"/>
    <x v="548"/>
    <x v="1"/>
    <n v="4"/>
    <n v="2"/>
    <x v="3"/>
    <x v="0"/>
  </r>
  <r>
    <n v="12782096"/>
    <x v="25"/>
    <x v="1"/>
    <s v="Single"/>
    <x v="0"/>
    <n v="1"/>
    <x v="0"/>
    <x v="0"/>
    <n v="8"/>
    <n v="3"/>
    <s v="Technical Degree"/>
    <n v="4"/>
    <n v="1"/>
    <x v="549"/>
    <x v="0"/>
    <n v="6"/>
    <n v="2"/>
    <x v="9"/>
    <x v="2"/>
  </r>
  <r>
    <n v="75571029"/>
    <x v="13"/>
    <x v="0"/>
    <s v="Single"/>
    <x v="1"/>
    <n v="0"/>
    <x v="1"/>
    <x v="1"/>
    <n v="1"/>
    <n v="4"/>
    <s v="Life Sciences"/>
    <n v="2"/>
    <n v="4"/>
    <x v="550"/>
    <x v="1"/>
    <n v="2"/>
    <n v="3"/>
    <x v="9"/>
    <x v="2"/>
  </r>
  <r>
    <n v="61850857"/>
    <x v="33"/>
    <x v="0"/>
    <s v="Divorced"/>
    <x v="1"/>
    <n v="0"/>
    <x v="3"/>
    <x v="1"/>
    <n v="19"/>
    <n v="4"/>
    <s v="Medical"/>
    <n v="4"/>
    <n v="1"/>
    <x v="551"/>
    <x v="0"/>
    <n v="9"/>
    <n v="3"/>
    <x v="8"/>
    <x v="0"/>
  </r>
  <r>
    <n v="37520460"/>
    <x v="4"/>
    <x v="1"/>
    <s v="Married"/>
    <x v="1"/>
    <n v="0"/>
    <x v="0"/>
    <x v="0"/>
    <n v="8"/>
    <n v="1"/>
    <s v="Marketing"/>
    <n v="3"/>
    <n v="4"/>
    <x v="552"/>
    <x v="1"/>
    <n v="0"/>
    <n v="3"/>
    <x v="9"/>
    <x v="2"/>
  </r>
  <r>
    <n v="34322464"/>
    <x v="2"/>
    <x v="0"/>
    <s v="Divorced"/>
    <x v="1"/>
    <n v="0"/>
    <x v="1"/>
    <x v="1"/>
    <n v="10"/>
    <n v="1"/>
    <s v="Life Sciences"/>
    <n v="4"/>
    <n v="1"/>
    <x v="553"/>
    <x v="1"/>
    <n v="0"/>
    <n v="2"/>
    <x v="8"/>
    <x v="0"/>
  </r>
  <r>
    <n v="24803214"/>
    <x v="8"/>
    <x v="0"/>
    <s v="Single"/>
    <x v="1"/>
    <n v="0"/>
    <x v="3"/>
    <x v="1"/>
    <n v="2"/>
    <n v="4"/>
    <s v="Life Sciences"/>
    <n v="1"/>
    <n v="1"/>
    <x v="554"/>
    <x v="0"/>
    <n v="6"/>
    <n v="3"/>
    <x v="15"/>
    <x v="5"/>
  </r>
  <r>
    <n v="22602499"/>
    <x v="13"/>
    <x v="0"/>
    <s v="Single"/>
    <x v="1"/>
    <n v="0"/>
    <x v="1"/>
    <x v="1"/>
    <n v="2"/>
    <n v="4"/>
    <s v="Medical"/>
    <n v="3"/>
    <n v="1"/>
    <x v="555"/>
    <x v="1"/>
    <n v="1"/>
    <n v="3"/>
    <x v="0"/>
    <x v="0"/>
  </r>
  <r>
    <n v="79582002"/>
    <x v="10"/>
    <x v="0"/>
    <s v="Married"/>
    <x v="1"/>
    <n v="0"/>
    <x v="6"/>
    <x v="0"/>
    <n v="8"/>
    <n v="4"/>
    <s v="Life Sciences"/>
    <n v="1"/>
    <n v="4"/>
    <x v="556"/>
    <x v="1"/>
    <n v="1"/>
    <n v="2"/>
    <x v="11"/>
    <x v="2"/>
  </r>
  <r>
    <n v="36449669"/>
    <x v="7"/>
    <x v="1"/>
    <s v="Married"/>
    <x v="1"/>
    <n v="0"/>
    <x v="2"/>
    <x v="1"/>
    <n v="1"/>
    <n v="3"/>
    <s v="Life Sciences"/>
    <n v="4"/>
    <n v="3"/>
    <x v="557"/>
    <x v="1"/>
    <n v="3"/>
    <n v="3"/>
    <x v="4"/>
    <x v="2"/>
  </r>
  <r>
    <n v="66499800"/>
    <x v="32"/>
    <x v="0"/>
    <s v="Married"/>
    <x v="1"/>
    <n v="0"/>
    <x v="4"/>
    <x v="1"/>
    <n v="2"/>
    <n v="2"/>
    <s v="Medical"/>
    <n v="3"/>
    <n v="2"/>
    <x v="558"/>
    <x v="1"/>
    <n v="1"/>
    <n v="3"/>
    <x v="3"/>
    <x v="0"/>
  </r>
  <r>
    <n v="11818205"/>
    <x v="13"/>
    <x v="0"/>
    <s v="Married"/>
    <x v="1"/>
    <n v="0"/>
    <x v="0"/>
    <x v="0"/>
    <n v="8"/>
    <n v="2"/>
    <s v="Life Sciences"/>
    <n v="3"/>
    <n v="1"/>
    <x v="559"/>
    <x v="0"/>
    <n v="5"/>
    <n v="3"/>
    <x v="11"/>
    <x v="2"/>
  </r>
  <r>
    <n v="78242372"/>
    <x v="19"/>
    <x v="1"/>
    <s v="Divorced"/>
    <x v="1"/>
    <n v="0"/>
    <x v="5"/>
    <x v="1"/>
    <n v="8"/>
    <n v="3"/>
    <s v="Life Sciences"/>
    <n v="2"/>
    <n v="4"/>
    <x v="560"/>
    <x v="4"/>
    <n v="1"/>
    <n v="2"/>
    <x v="25"/>
    <x v="4"/>
  </r>
  <r>
    <n v="31811080"/>
    <x v="30"/>
    <x v="1"/>
    <s v="Married"/>
    <x v="0"/>
    <n v="1"/>
    <x v="2"/>
    <x v="1"/>
    <n v="6"/>
    <n v="3"/>
    <s v="Life Sciences"/>
    <n v="3"/>
    <n v="1"/>
    <x v="561"/>
    <x v="1"/>
    <n v="1"/>
    <n v="3"/>
    <x v="2"/>
    <x v="2"/>
  </r>
  <r>
    <n v="20959454"/>
    <x v="17"/>
    <x v="1"/>
    <s v="Divorced"/>
    <x v="1"/>
    <n v="0"/>
    <x v="2"/>
    <x v="1"/>
    <n v="9"/>
    <n v="3"/>
    <s v="Life Sciences"/>
    <n v="3"/>
    <n v="2"/>
    <x v="562"/>
    <x v="1"/>
    <n v="1"/>
    <n v="3"/>
    <x v="6"/>
    <x v="2"/>
  </r>
  <r>
    <n v="62097277"/>
    <x v="39"/>
    <x v="0"/>
    <s v="Married"/>
    <x v="1"/>
    <n v="0"/>
    <x v="2"/>
    <x v="1"/>
    <n v="11"/>
    <n v="4"/>
    <s v="Life Sciences"/>
    <n v="4"/>
    <n v="3"/>
    <x v="563"/>
    <x v="1"/>
    <n v="8"/>
    <n v="3"/>
    <x v="8"/>
    <x v="0"/>
  </r>
  <r>
    <n v="84772347"/>
    <x v="24"/>
    <x v="1"/>
    <s v="Married"/>
    <x v="1"/>
    <n v="0"/>
    <x v="7"/>
    <x v="1"/>
    <n v="2"/>
    <n v="3"/>
    <s v="Medical"/>
    <n v="3"/>
    <n v="3"/>
    <x v="564"/>
    <x v="4"/>
    <n v="5"/>
    <n v="3"/>
    <x v="9"/>
    <x v="2"/>
  </r>
  <r>
    <n v="66716653"/>
    <x v="11"/>
    <x v="0"/>
    <s v="Married"/>
    <x v="0"/>
    <n v="1"/>
    <x v="2"/>
    <x v="1"/>
    <n v="1"/>
    <n v="2"/>
    <s v="Life Sciences"/>
    <n v="2"/>
    <n v="1"/>
    <x v="565"/>
    <x v="1"/>
    <n v="1"/>
    <n v="3"/>
    <x v="6"/>
    <x v="2"/>
  </r>
  <r>
    <n v="29467699"/>
    <x v="3"/>
    <x v="1"/>
    <s v="Married"/>
    <x v="1"/>
    <n v="0"/>
    <x v="7"/>
    <x v="1"/>
    <n v="7"/>
    <n v="3"/>
    <s v="Medical"/>
    <n v="3"/>
    <n v="3"/>
    <x v="566"/>
    <x v="2"/>
    <n v="0"/>
    <n v="4"/>
    <x v="20"/>
    <x v="1"/>
  </r>
  <r>
    <n v="32168242"/>
    <x v="3"/>
    <x v="0"/>
    <s v="Single"/>
    <x v="0"/>
    <n v="1"/>
    <x v="0"/>
    <x v="0"/>
    <n v="16"/>
    <n v="3"/>
    <s v="Marketing"/>
    <n v="1"/>
    <n v="1"/>
    <x v="567"/>
    <x v="0"/>
    <n v="5"/>
    <n v="3"/>
    <x v="11"/>
    <x v="2"/>
  </r>
  <r>
    <n v="63944795"/>
    <x v="40"/>
    <x v="0"/>
    <s v="Married"/>
    <x v="1"/>
    <n v="0"/>
    <x v="5"/>
    <x v="1"/>
    <n v="2"/>
    <n v="2"/>
    <s v="Other"/>
    <n v="3"/>
    <n v="4"/>
    <x v="568"/>
    <x v="3"/>
    <n v="1"/>
    <n v="2"/>
    <x v="34"/>
    <x v="3"/>
  </r>
  <r>
    <n v="55530139"/>
    <x v="9"/>
    <x v="0"/>
    <s v="Married"/>
    <x v="1"/>
    <n v="0"/>
    <x v="3"/>
    <x v="1"/>
    <n v="1"/>
    <n v="3"/>
    <s v="Other"/>
    <n v="3"/>
    <n v="2"/>
    <x v="311"/>
    <x v="0"/>
    <n v="0"/>
    <n v="3"/>
    <x v="7"/>
    <x v="0"/>
  </r>
  <r>
    <n v="43777690"/>
    <x v="11"/>
    <x v="1"/>
    <s v="Married"/>
    <x v="1"/>
    <n v="0"/>
    <x v="1"/>
    <x v="1"/>
    <n v="23"/>
    <n v="2"/>
    <s v="Life Sciences"/>
    <n v="3"/>
    <n v="3"/>
    <x v="569"/>
    <x v="1"/>
    <n v="1"/>
    <n v="3"/>
    <x v="1"/>
    <x v="1"/>
  </r>
  <r>
    <n v="53841342"/>
    <x v="34"/>
    <x v="1"/>
    <s v="Single"/>
    <x v="0"/>
    <n v="1"/>
    <x v="7"/>
    <x v="1"/>
    <n v="2"/>
    <n v="4"/>
    <s v="Life Sciences"/>
    <n v="4"/>
    <n v="2"/>
    <x v="570"/>
    <x v="4"/>
    <n v="7"/>
    <n v="3"/>
    <x v="31"/>
    <x v="8"/>
  </r>
  <r>
    <n v="84827111"/>
    <x v="10"/>
    <x v="0"/>
    <s v="Single"/>
    <x v="1"/>
    <n v="0"/>
    <x v="1"/>
    <x v="1"/>
    <n v="1"/>
    <n v="4"/>
    <s v="Life Sciences"/>
    <n v="4"/>
    <n v="3"/>
    <x v="571"/>
    <x v="1"/>
    <n v="3"/>
    <n v="3"/>
    <x v="4"/>
    <x v="2"/>
  </r>
  <r>
    <n v="88114994"/>
    <x v="19"/>
    <x v="0"/>
    <s v="Married"/>
    <x v="1"/>
    <n v="0"/>
    <x v="3"/>
    <x v="1"/>
    <n v="1"/>
    <n v="2"/>
    <s v="Life Sciences"/>
    <n v="4"/>
    <n v="4"/>
    <x v="572"/>
    <x v="0"/>
    <n v="9"/>
    <n v="3"/>
    <x v="9"/>
    <x v="2"/>
  </r>
  <r>
    <n v="40866224"/>
    <x v="14"/>
    <x v="1"/>
    <s v="Single"/>
    <x v="0"/>
    <n v="1"/>
    <x v="1"/>
    <x v="1"/>
    <n v="2"/>
    <n v="4"/>
    <s v="Medical"/>
    <n v="3"/>
    <n v="3"/>
    <x v="573"/>
    <x v="1"/>
    <n v="6"/>
    <n v="2"/>
    <x v="4"/>
    <x v="2"/>
  </r>
  <r>
    <n v="75192737"/>
    <x v="9"/>
    <x v="1"/>
    <s v="Married"/>
    <x v="1"/>
    <n v="0"/>
    <x v="8"/>
    <x v="2"/>
    <n v="13"/>
    <n v="3"/>
    <s v="Human Resources"/>
    <n v="3"/>
    <n v="2"/>
    <x v="574"/>
    <x v="1"/>
    <n v="4"/>
    <n v="3"/>
    <x v="8"/>
    <x v="0"/>
  </r>
  <r>
    <n v="21196203"/>
    <x v="5"/>
    <x v="0"/>
    <s v="Married"/>
    <x v="1"/>
    <n v="0"/>
    <x v="3"/>
    <x v="1"/>
    <n v="4"/>
    <n v="3"/>
    <s v="Life Sciences"/>
    <n v="3"/>
    <n v="3"/>
    <x v="57"/>
    <x v="0"/>
    <n v="1"/>
    <n v="3"/>
    <x v="13"/>
    <x v="1"/>
  </r>
  <r>
    <n v="69929844"/>
    <x v="32"/>
    <x v="1"/>
    <s v="Single"/>
    <x v="1"/>
    <n v="0"/>
    <x v="2"/>
    <x v="1"/>
    <n v="16"/>
    <n v="4"/>
    <s v="Medical"/>
    <n v="1"/>
    <n v="3"/>
    <x v="575"/>
    <x v="0"/>
    <n v="6"/>
    <n v="3"/>
    <x v="6"/>
    <x v="2"/>
  </r>
  <r>
    <n v="46663340"/>
    <x v="7"/>
    <x v="0"/>
    <s v="Single"/>
    <x v="1"/>
    <n v="0"/>
    <x v="3"/>
    <x v="1"/>
    <n v="2"/>
    <n v="3"/>
    <s v="Medical"/>
    <n v="3"/>
    <n v="4"/>
    <x v="576"/>
    <x v="0"/>
    <n v="5"/>
    <n v="2"/>
    <x v="2"/>
    <x v="2"/>
  </r>
  <r>
    <n v="72260531"/>
    <x v="28"/>
    <x v="0"/>
    <s v="Single"/>
    <x v="1"/>
    <n v="0"/>
    <x v="1"/>
    <x v="1"/>
    <n v="2"/>
    <n v="3"/>
    <s v="Life Sciences"/>
    <n v="2"/>
    <n v="3"/>
    <x v="577"/>
    <x v="1"/>
    <n v="1"/>
    <n v="3"/>
    <x v="6"/>
    <x v="2"/>
  </r>
  <r>
    <n v="82991942"/>
    <x v="19"/>
    <x v="1"/>
    <s v="Married"/>
    <x v="1"/>
    <n v="0"/>
    <x v="3"/>
    <x v="1"/>
    <n v="29"/>
    <n v="3"/>
    <s v="Life Sciences"/>
    <n v="2"/>
    <n v="2"/>
    <x v="578"/>
    <x v="1"/>
    <n v="1"/>
    <n v="2"/>
    <x v="7"/>
    <x v="0"/>
  </r>
  <r>
    <n v="42678266"/>
    <x v="8"/>
    <x v="1"/>
    <s v="Divorced"/>
    <x v="1"/>
    <n v="0"/>
    <x v="4"/>
    <x v="1"/>
    <n v="12"/>
    <n v="3"/>
    <s v="Life Sciences"/>
    <n v="1"/>
    <n v="1"/>
    <x v="579"/>
    <x v="0"/>
    <n v="2"/>
    <n v="2"/>
    <x v="9"/>
    <x v="2"/>
  </r>
  <r>
    <n v="38736425"/>
    <x v="13"/>
    <x v="0"/>
    <s v="Single"/>
    <x v="1"/>
    <n v="0"/>
    <x v="1"/>
    <x v="1"/>
    <n v="16"/>
    <n v="4"/>
    <s v="Life Sciences"/>
    <n v="3"/>
    <n v="4"/>
    <x v="580"/>
    <x v="1"/>
    <n v="1"/>
    <n v="3"/>
    <x v="8"/>
    <x v="0"/>
  </r>
  <r>
    <n v="65377404"/>
    <x v="1"/>
    <x v="0"/>
    <s v="Married"/>
    <x v="0"/>
    <n v="1"/>
    <x v="0"/>
    <x v="0"/>
    <n v="11"/>
    <n v="3"/>
    <s v="Marketing"/>
    <n v="3"/>
    <n v="4"/>
    <x v="581"/>
    <x v="0"/>
    <n v="1"/>
    <n v="4"/>
    <x v="7"/>
    <x v="0"/>
  </r>
  <r>
    <n v="71419370"/>
    <x v="27"/>
    <x v="1"/>
    <s v="Single"/>
    <x v="0"/>
    <n v="1"/>
    <x v="0"/>
    <x v="0"/>
    <n v="2"/>
    <n v="1"/>
    <s v="Medical"/>
    <n v="3"/>
    <n v="4"/>
    <x v="582"/>
    <x v="0"/>
    <n v="4"/>
    <n v="2"/>
    <x v="7"/>
    <x v="0"/>
  </r>
  <r>
    <n v="35133564"/>
    <x v="23"/>
    <x v="1"/>
    <s v="Married"/>
    <x v="1"/>
    <n v="0"/>
    <x v="7"/>
    <x v="1"/>
    <n v="14"/>
    <n v="2"/>
    <s v="Life Sciences"/>
    <n v="2"/>
    <n v="1"/>
    <x v="583"/>
    <x v="4"/>
    <n v="6"/>
    <n v="3"/>
    <x v="9"/>
    <x v="2"/>
  </r>
  <r>
    <n v="14737918"/>
    <x v="4"/>
    <x v="1"/>
    <s v="Divorced"/>
    <x v="1"/>
    <n v="0"/>
    <x v="7"/>
    <x v="1"/>
    <n v="5"/>
    <n v="1"/>
    <s v="Technical Degree"/>
    <n v="3"/>
    <n v="4"/>
    <x v="584"/>
    <x v="2"/>
    <n v="1"/>
    <n v="3"/>
    <x v="7"/>
    <x v="0"/>
  </r>
  <r>
    <n v="78590345"/>
    <x v="10"/>
    <x v="1"/>
    <s v="Single"/>
    <x v="1"/>
    <n v="0"/>
    <x v="3"/>
    <x v="1"/>
    <n v="7"/>
    <n v="3"/>
    <s v="Other"/>
    <n v="3"/>
    <n v="3"/>
    <x v="585"/>
    <x v="2"/>
    <n v="3"/>
    <n v="4"/>
    <x v="3"/>
    <x v="0"/>
  </r>
  <r>
    <n v="49631664"/>
    <x v="14"/>
    <x v="0"/>
    <s v="Married"/>
    <x v="1"/>
    <n v="0"/>
    <x v="0"/>
    <x v="0"/>
    <n v="2"/>
    <n v="4"/>
    <s v="Marketing"/>
    <n v="2"/>
    <n v="2"/>
    <x v="586"/>
    <x v="1"/>
    <n v="1"/>
    <n v="3"/>
    <x v="3"/>
    <x v="0"/>
  </r>
  <r>
    <n v="63468402"/>
    <x v="13"/>
    <x v="1"/>
    <s v="Married"/>
    <x v="1"/>
    <n v="0"/>
    <x v="8"/>
    <x v="2"/>
    <n v="3"/>
    <n v="2"/>
    <s v="Human Resources"/>
    <n v="3"/>
    <n v="4"/>
    <x v="587"/>
    <x v="1"/>
    <n v="0"/>
    <n v="1"/>
    <x v="11"/>
    <x v="2"/>
  </r>
  <r>
    <n v="13624627"/>
    <x v="25"/>
    <x v="0"/>
    <s v="Married"/>
    <x v="0"/>
    <n v="1"/>
    <x v="1"/>
    <x v="1"/>
    <n v="5"/>
    <n v="2"/>
    <s v="Medical"/>
    <n v="3"/>
    <n v="3"/>
    <x v="588"/>
    <x v="1"/>
    <n v="1"/>
    <n v="3"/>
    <x v="3"/>
    <x v="0"/>
  </r>
  <r>
    <n v="27400312"/>
    <x v="4"/>
    <x v="1"/>
    <s v="Married"/>
    <x v="1"/>
    <n v="0"/>
    <x v="1"/>
    <x v="1"/>
    <n v="3"/>
    <n v="3"/>
    <s v="Medical"/>
    <n v="4"/>
    <n v="4"/>
    <x v="589"/>
    <x v="1"/>
    <n v="1"/>
    <n v="2"/>
    <x v="2"/>
    <x v="2"/>
  </r>
  <r>
    <n v="68231401"/>
    <x v="31"/>
    <x v="0"/>
    <s v="Married"/>
    <x v="1"/>
    <n v="0"/>
    <x v="5"/>
    <x v="0"/>
    <n v="26"/>
    <n v="4"/>
    <s v="Marketing"/>
    <n v="1"/>
    <n v="3"/>
    <x v="590"/>
    <x v="3"/>
    <n v="2"/>
    <n v="2"/>
    <x v="23"/>
    <x v="4"/>
  </r>
  <r>
    <n v="56135360"/>
    <x v="20"/>
    <x v="1"/>
    <s v="Single"/>
    <x v="1"/>
    <n v="0"/>
    <x v="4"/>
    <x v="1"/>
    <n v="4"/>
    <n v="3"/>
    <s v="Medical"/>
    <n v="4"/>
    <n v="2"/>
    <x v="591"/>
    <x v="0"/>
    <n v="9"/>
    <n v="2"/>
    <x v="8"/>
    <x v="0"/>
  </r>
  <r>
    <n v="89067911"/>
    <x v="36"/>
    <x v="1"/>
    <s v="Single"/>
    <x v="1"/>
    <n v="0"/>
    <x v="1"/>
    <x v="1"/>
    <n v="2"/>
    <n v="1"/>
    <s v="Medical"/>
    <n v="1"/>
    <n v="1"/>
    <x v="592"/>
    <x v="1"/>
    <n v="7"/>
    <n v="2"/>
    <x v="9"/>
    <x v="2"/>
  </r>
  <r>
    <n v="62880492"/>
    <x v="3"/>
    <x v="1"/>
    <s v="Divorced"/>
    <x v="1"/>
    <n v="0"/>
    <x v="0"/>
    <x v="0"/>
    <n v="1"/>
    <n v="3"/>
    <s v="Medical"/>
    <n v="1"/>
    <n v="1"/>
    <x v="593"/>
    <x v="1"/>
    <n v="1"/>
    <n v="3"/>
    <x v="7"/>
    <x v="0"/>
  </r>
  <r>
    <n v="10508190"/>
    <x v="10"/>
    <x v="0"/>
    <s v="Single"/>
    <x v="1"/>
    <n v="0"/>
    <x v="1"/>
    <x v="1"/>
    <n v="27"/>
    <n v="1"/>
    <s v="Medical"/>
    <n v="3"/>
    <n v="1"/>
    <x v="594"/>
    <x v="1"/>
    <n v="1"/>
    <n v="2"/>
    <x v="0"/>
    <x v="0"/>
  </r>
  <r>
    <n v="47376879"/>
    <x v="9"/>
    <x v="1"/>
    <s v="Married"/>
    <x v="1"/>
    <n v="0"/>
    <x v="0"/>
    <x v="0"/>
    <n v="1"/>
    <n v="2"/>
    <s v="Life Sciences"/>
    <n v="2"/>
    <n v="4"/>
    <x v="595"/>
    <x v="0"/>
    <n v="1"/>
    <n v="2"/>
    <x v="29"/>
    <x v="5"/>
  </r>
  <r>
    <n v="79269312"/>
    <x v="5"/>
    <x v="1"/>
    <s v="Divorced"/>
    <x v="1"/>
    <n v="0"/>
    <x v="0"/>
    <x v="0"/>
    <n v="13"/>
    <n v="4"/>
    <s v="Life Sciences"/>
    <n v="2"/>
    <n v="4"/>
    <x v="596"/>
    <x v="1"/>
    <n v="2"/>
    <n v="2"/>
    <x v="8"/>
    <x v="0"/>
  </r>
  <r>
    <n v="69736188"/>
    <x v="7"/>
    <x v="1"/>
    <s v="Divorced"/>
    <x v="1"/>
    <n v="0"/>
    <x v="1"/>
    <x v="1"/>
    <n v="5"/>
    <n v="4"/>
    <s v="Life Sciences"/>
    <n v="2"/>
    <n v="4"/>
    <x v="597"/>
    <x v="1"/>
    <n v="9"/>
    <n v="2"/>
    <x v="8"/>
    <x v="0"/>
  </r>
  <r>
    <n v="75682587"/>
    <x v="16"/>
    <x v="0"/>
    <s v="Married"/>
    <x v="1"/>
    <n v="0"/>
    <x v="0"/>
    <x v="0"/>
    <n v="7"/>
    <n v="2"/>
    <s v="Marketing"/>
    <n v="1"/>
    <n v="4"/>
    <x v="598"/>
    <x v="2"/>
    <n v="7"/>
    <n v="3"/>
    <x v="8"/>
    <x v="0"/>
  </r>
  <r>
    <n v="38910208"/>
    <x v="28"/>
    <x v="1"/>
    <s v="Divorced"/>
    <x v="1"/>
    <n v="0"/>
    <x v="0"/>
    <x v="0"/>
    <n v="9"/>
    <n v="3"/>
    <s v="Marketing"/>
    <n v="4"/>
    <n v="1"/>
    <x v="599"/>
    <x v="2"/>
    <n v="4"/>
    <n v="3"/>
    <x v="8"/>
    <x v="0"/>
  </r>
  <r>
    <n v="88338629"/>
    <x v="5"/>
    <x v="0"/>
    <s v="Married"/>
    <x v="1"/>
    <n v="0"/>
    <x v="1"/>
    <x v="1"/>
    <n v="8"/>
    <n v="2"/>
    <s v="Medical"/>
    <n v="3"/>
    <n v="3"/>
    <x v="600"/>
    <x v="0"/>
    <n v="5"/>
    <n v="2"/>
    <x v="8"/>
    <x v="0"/>
  </r>
  <r>
    <n v="44499902"/>
    <x v="39"/>
    <x v="0"/>
    <s v="Married"/>
    <x v="1"/>
    <n v="0"/>
    <x v="3"/>
    <x v="1"/>
    <n v="25"/>
    <n v="4"/>
    <s v="Medical"/>
    <n v="3"/>
    <n v="4"/>
    <x v="601"/>
    <x v="3"/>
    <n v="3"/>
    <n v="3"/>
    <x v="7"/>
    <x v="0"/>
  </r>
  <r>
    <n v="69937737"/>
    <x v="2"/>
    <x v="1"/>
    <s v="Divorced"/>
    <x v="1"/>
    <n v="0"/>
    <x v="0"/>
    <x v="0"/>
    <n v="16"/>
    <n v="4"/>
    <s v="Marketing"/>
    <n v="4"/>
    <n v="3"/>
    <x v="602"/>
    <x v="0"/>
    <n v="4"/>
    <n v="3"/>
    <x v="6"/>
    <x v="2"/>
  </r>
  <r>
    <n v="35011765"/>
    <x v="14"/>
    <x v="1"/>
    <s v="Divorced"/>
    <x v="1"/>
    <n v="0"/>
    <x v="8"/>
    <x v="2"/>
    <n v="8"/>
    <n v="2"/>
    <s v="Medical"/>
    <n v="2"/>
    <n v="4"/>
    <x v="365"/>
    <x v="1"/>
    <n v="1"/>
    <n v="3"/>
    <x v="8"/>
    <x v="0"/>
  </r>
  <r>
    <n v="34717842"/>
    <x v="15"/>
    <x v="1"/>
    <s v="Married"/>
    <x v="1"/>
    <n v="0"/>
    <x v="3"/>
    <x v="1"/>
    <n v="1"/>
    <n v="2"/>
    <s v="Life Sciences"/>
    <n v="4"/>
    <n v="4"/>
    <x v="603"/>
    <x v="1"/>
    <n v="6"/>
    <n v="1"/>
    <x v="4"/>
    <x v="2"/>
  </r>
  <r>
    <n v="15383278"/>
    <x v="20"/>
    <x v="1"/>
    <s v="Married"/>
    <x v="1"/>
    <n v="0"/>
    <x v="2"/>
    <x v="1"/>
    <n v="8"/>
    <n v="4"/>
    <s v="Life Sciences"/>
    <n v="1"/>
    <n v="4"/>
    <x v="604"/>
    <x v="1"/>
    <n v="2"/>
    <n v="2"/>
    <x v="11"/>
    <x v="2"/>
  </r>
  <r>
    <n v="18240879"/>
    <x v="19"/>
    <x v="1"/>
    <s v="Single"/>
    <x v="1"/>
    <n v="0"/>
    <x v="1"/>
    <x v="1"/>
    <n v="2"/>
    <n v="1"/>
    <s v="Medical"/>
    <n v="2"/>
    <n v="4"/>
    <x v="605"/>
    <x v="1"/>
    <n v="5"/>
    <n v="3"/>
    <x v="4"/>
    <x v="2"/>
  </r>
  <r>
    <n v="12385313"/>
    <x v="9"/>
    <x v="1"/>
    <s v="Married"/>
    <x v="1"/>
    <n v="0"/>
    <x v="8"/>
    <x v="2"/>
    <n v="8"/>
    <n v="3"/>
    <s v="Life Sciences"/>
    <n v="1"/>
    <n v="1"/>
    <x v="531"/>
    <x v="1"/>
    <n v="0"/>
    <n v="3"/>
    <x v="8"/>
    <x v="0"/>
  </r>
  <r>
    <n v="53204466"/>
    <x v="36"/>
    <x v="1"/>
    <s v="Married"/>
    <x v="1"/>
    <n v="0"/>
    <x v="0"/>
    <x v="0"/>
    <n v="3"/>
    <n v="1"/>
    <s v="Other"/>
    <n v="3"/>
    <n v="1"/>
    <x v="606"/>
    <x v="1"/>
    <n v="1"/>
    <n v="3"/>
    <x v="8"/>
    <x v="0"/>
  </r>
  <r>
    <n v="29335107"/>
    <x v="10"/>
    <x v="0"/>
    <s v="Married"/>
    <x v="1"/>
    <n v="0"/>
    <x v="3"/>
    <x v="1"/>
    <n v="9"/>
    <n v="3"/>
    <s v="Life Sciences"/>
    <n v="4"/>
    <n v="3"/>
    <x v="607"/>
    <x v="2"/>
    <n v="1"/>
    <n v="3"/>
    <x v="18"/>
    <x v="5"/>
  </r>
  <r>
    <n v="55543286"/>
    <x v="10"/>
    <x v="0"/>
    <s v="Divorced"/>
    <x v="0"/>
    <n v="1"/>
    <x v="1"/>
    <x v="1"/>
    <n v="25"/>
    <n v="4"/>
    <s v="Life Sciences"/>
    <n v="4"/>
    <n v="2"/>
    <x v="608"/>
    <x v="1"/>
    <n v="1"/>
    <n v="2"/>
    <x v="1"/>
    <x v="1"/>
  </r>
  <r>
    <n v="86850077"/>
    <x v="5"/>
    <x v="1"/>
    <s v="Divorced"/>
    <x v="1"/>
    <n v="0"/>
    <x v="2"/>
    <x v="1"/>
    <n v="1"/>
    <n v="3"/>
    <s v="Life Sciences"/>
    <n v="4"/>
    <n v="4"/>
    <x v="609"/>
    <x v="1"/>
    <n v="0"/>
    <n v="3"/>
    <x v="11"/>
    <x v="2"/>
  </r>
  <r>
    <n v="69490486"/>
    <x v="36"/>
    <x v="1"/>
    <s v="Married"/>
    <x v="1"/>
    <n v="0"/>
    <x v="0"/>
    <x v="0"/>
    <n v="4"/>
    <n v="1"/>
    <s v="Marketing"/>
    <n v="3"/>
    <n v="1"/>
    <x v="610"/>
    <x v="1"/>
    <n v="1"/>
    <n v="4"/>
    <x v="8"/>
    <x v="0"/>
  </r>
  <r>
    <n v="72082090"/>
    <x v="1"/>
    <x v="0"/>
    <s v="Married"/>
    <x v="1"/>
    <n v="0"/>
    <x v="1"/>
    <x v="1"/>
    <n v="1"/>
    <n v="3"/>
    <s v="Technical Degree"/>
    <n v="3"/>
    <n v="1"/>
    <x v="611"/>
    <x v="1"/>
    <n v="2"/>
    <n v="3"/>
    <x v="9"/>
    <x v="2"/>
  </r>
  <r>
    <n v="49378489"/>
    <x v="17"/>
    <x v="1"/>
    <s v="Married"/>
    <x v="1"/>
    <n v="0"/>
    <x v="2"/>
    <x v="1"/>
    <n v="4"/>
    <n v="1"/>
    <s v="Life Sciences"/>
    <n v="1"/>
    <n v="4"/>
    <x v="612"/>
    <x v="1"/>
    <n v="0"/>
    <n v="2"/>
    <x v="8"/>
    <x v="0"/>
  </r>
  <r>
    <n v="19488774"/>
    <x v="5"/>
    <x v="1"/>
    <s v="Married"/>
    <x v="1"/>
    <n v="0"/>
    <x v="0"/>
    <x v="0"/>
    <n v="5"/>
    <n v="2"/>
    <s v="Life Sciences"/>
    <n v="2"/>
    <n v="2"/>
    <x v="613"/>
    <x v="0"/>
    <n v="1"/>
    <n v="3"/>
    <x v="1"/>
    <x v="1"/>
  </r>
  <r>
    <n v="10041801"/>
    <x v="8"/>
    <x v="1"/>
    <s v="Married"/>
    <x v="1"/>
    <n v="0"/>
    <x v="6"/>
    <x v="0"/>
    <n v="9"/>
    <n v="3"/>
    <s v="Marketing"/>
    <n v="2"/>
    <n v="2"/>
    <x v="614"/>
    <x v="1"/>
    <n v="0"/>
    <n v="3"/>
    <x v="4"/>
    <x v="2"/>
  </r>
  <r>
    <n v="76264970"/>
    <x v="19"/>
    <x v="0"/>
    <s v="Married"/>
    <x v="1"/>
    <n v="0"/>
    <x v="2"/>
    <x v="1"/>
    <n v="3"/>
    <n v="3"/>
    <s v="Life Sciences"/>
    <n v="3"/>
    <n v="4"/>
    <x v="615"/>
    <x v="0"/>
    <n v="2"/>
    <n v="2"/>
    <x v="8"/>
    <x v="0"/>
  </r>
  <r>
    <n v="86834270"/>
    <x v="12"/>
    <x v="1"/>
    <s v="Married"/>
    <x v="1"/>
    <n v="0"/>
    <x v="1"/>
    <x v="1"/>
    <n v="11"/>
    <n v="4"/>
    <s v="Life Sciences"/>
    <n v="4"/>
    <n v="4"/>
    <x v="616"/>
    <x v="1"/>
    <n v="3"/>
    <n v="3"/>
    <x v="0"/>
    <x v="0"/>
  </r>
  <r>
    <n v="56036763"/>
    <x v="11"/>
    <x v="0"/>
    <s v="Divorced"/>
    <x v="0"/>
    <n v="1"/>
    <x v="6"/>
    <x v="0"/>
    <n v="1"/>
    <n v="3"/>
    <s v="Medical"/>
    <n v="2"/>
    <n v="3"/>
    <x v="617"/>
    <x v="1"/>
    <n v="6"/>
    <n v="3"/>
    <x v="11"/>
    <x v="2"/>
  </r>
  <r>
    <n v="52987880"/>
    <x v="16"/>
    <x v="1"/>
    <s v="Married"/>
    <x v="1"/>
    <n v="0"/>
    <x v="0"/>
    <x v="0"/>
    <n v="8"/>
    <n v="3"/>
    <s v="Marketing"/>
    <n v="1"/>
    <n v="4"/>
    <x v="618"/>
    <x v="2"/>
    <n v="5"/>
    <n v="3"/>
    <x v="4"/>
    <x v="2"/>
  </r>
  <r>
    <n v="64402530"/>
    <x v="10"/>
    <x v="1"/>
    <s v="Married"/>
    <x v="1"/>
    <n v="0"/>
    <x v="3"/>
    <x v="1"/>
    <n v="25"/>
    <n v="3"/>
    <s v="Technical Degree"/>
    <n v="4"/>
    <n v="2"/>
    <x v="619"/>
    <x v="2"/>
    <n v="3"/>
    <n v="3"/>
    <x v="20"/>
    <x v="1"/>
  </r>
  <r>
    <n v="35296981"/>
    <x v="2"/>
    <x v="0"/>
    <s v="Married"/>
    <x v="1"/>
    <n v="0"/>
    <x v="6"/>
    <x v="0"/>
    <n v="21"/>
    <n v="2"/>
    <s v="Medical"/>
    <n v="3"/>
    <n v="4"/>
    <x v="620"/>
    <x v="1"/>
    <n v="5"/>
    <n v="3"/>
    <x v="8"/>
    <x v="0"/>
  </r>
  <r>
    <n v="39242154"/>
    <x v="16"/>
    <x v="0"/>
    <s v="Single"/>
    <x v="1"/>
    <n v="0"/>
    <x v="7"/>
    <x v="1"/>
    <n v="23"/>
    <n v="4"/>
    <s v="Life Sciences"/>
    <n v="4"/>
    <n v="4"/>
    <x v="621"/>
    <x v="3"/>
    <n v="6"/>
    <n v="3"/>
    <x v="12"/>
    <x v="1"/>
  </r>
  <r>
    <n v="71781401"/>
    <x v="23"/>
    <x v="0"/>
    <s v="Married"/>
    <x v="1"/>
    <n v="0"/>
    <x v="4"/>
    <x v="1"/>
    <n v="1"/>
    <n v="3"/>
    <s v="Life Sciences"/>
    <n v="4"/>
    <n v="4"/>
    <x v="622"/>
    <x v="0"/>
    <n v="4"/>
    <n v="2"/>
    <x v="8"/>
    <x v="0"/>
  </r>
  <r>
    <n v="46933903"/>
    <x v="40"/>
    <x v="0"/>
    <s v="Married"/>
    <x v="1"/>
    <n v="0"/>
    <x v="0"/>
    <x v="0"/>
    <n v="2"/>
    <n v="2"/>
    <s v="Marketing"/>
    <n v="3"/>
    <n v="4"/>
    <x v="623"/>
    <x v="1"/>
    <n v="0"/>
    <n v="3"/>
    <x v="5"/>
    <x v="0"/>
  </r>
  <r>
    <n v="72726767"/>
    <x v="2"/>
    <x v="1"/>
    <s v="Single"/>
    <x v="1"/>
    <n v="0"/>
    <x v="0"/>
    <x v="0"/>
    <n v="19"/>
    <n v="2"/>
    <s v="Medical"/>
    <n v="1"/>
    <n v="2"/>
    <x v="624"/>
    <x v="0"/>
    <n v="1"/>
    <n v="3"/>
    <x v="1"/>
    <x v="1"/>
  </r>
  <r>
    <n v="25605913"/>
    <x v="24"/>
    <x v="1"/>
    <s v="Divorced"/>
    <x v="1"/>
    <n v="0"/>
    <x v="5"/>
    <x v="1"/>
    <n v="2"/>
    <n v="4"/>
    <s v="Life Sciences"/>
    <n v="1"/>
    <n v="1"/>
    <x v="625"/>
    <x v="4"/>
    <n v="1"/>
    <n v="3"/>
    <x v="31"/>
    <x v="8"/>
  </r>
  <r>
    <n v="65216349"/>
    <x v="22"/>
    <x v="0"/>
    <s v="Married"/>
    <x v="1"/>
    <n v="0"/>
    <x v="8"/>
    <x v="2"/>
    <n v="2"/>
    <n v="3"/>
    <s v="Life Sciences"/>
    <n v="4"/>
    <n v="4"/>
    <x v="626"/>
    <x v="0"/>
    <n v="8"/>
    <n v="3"/>
    <x v="8"/>
    <x v="0"/>
  </r>
  <r>
    <n v="56399237"/>
    <x v="3"/>
    <x v="1"/>
    <s v="Divorced"/>
    <x v="1"/>
    <n v="0"/>
    <x v="8"/>
    <x v="2"/>
    <n v="3"/>
    <n v="2"/>
    <s v="Human Resources"/>
    <n v="4"/>
    <n v="2"/>
    <x v="627"/>
    <x v="1"/>
    <n v="3"/>
    <n v="4"/>
    <x v="9"/>
    <x v="2"/>
  </r>
  <r>
    <n v="16728148"/>
    <x v="5"/>
    <x v="1"/>
    <s v="Single"/>
    <x v="0"/>
    <n v="1"/>
    <x v="2"/>
    <x v="1"/>
    <n v="25"/>
    <n v="4"/>
    <s v="Life Sciences"/>
    <n v="1"/>
    <n v="4"/>
    <x v="628"/>
    <x v="1"/>
    <n v="1"/>
    <n v="1"/>
    <x v="6"/>
    <x v="2"/>
  </r>
  <r>
    <n v="30399723"/>
    <x v="11"/>
    <x v="0"/>
    <s v="Divorced"/>
    <x v="1"/>
    <n v="0"/>
    <x v="2"/>
    <x v="1"/>
    <n v="7"/>
    <n v="1"/>
    <s v="Medical"/>
    <n v="1"/>
    <n v="4"/>
    <x v="629"/>
    <x v="1"/>
    <n v="6"/>
    <n v="3"/>
    <x v="9"/>
    <x v="2"/>
  </r>
  <r>
    <n v="33629236"/>
    <x v="20"/>
    <x v="1"/>
    <s v="Married"/>
    <x v="1"/>
    <n v="0"/>
    <x v="1"/>
    <x v="1"/>
    <n v="9"/>
    <n v="2"/>
    <s v="Life Sciences"/>
    <n v="2"/>
    <n v="1"/>
    <x v="594"/>
    <x v="1"/>
    <n v="1"/>
    <n v="3"/>
    <x v="3"/>
    <x v="0"/>
  </r>
  <r>
    <n v="33710906"/>
    <x v="14"/>
    <x v="1"/>
    <s v="Single"/>
    <x v="1"/>
    <n v="0"/>
    <x v="0"/>
    <x v="0"/>
    <n v="5"/>
    <n v="4"/>
    <s v="Medical"/>
    <n v="1"/>
    <n v="4"/>
    <x v="630"/>
    <x v="1"/>
    <n v="1"/>
    <n v="3"/>
    <x v="9"/>
    <x v="2"/>
  </r>
  <r>
    <n v="36781621"/>
    <x v="34"/>
    <x v="1"/>
    <s v="Divorced"/>
    <x v="0"/>
    <n v="1"/>
    <x v="2"/>
    <x v="1"/>
    <n v="2"/>
    <n v="1"/>
    <s v="Life Sciences"/>
    <n v="4"/>
    <n v="4"/>
    <x v="631"/>
    <x v="1"/>
    <n v="9"/>
    <n v="2"/>
    <x v="6"/>
    <x v="2"/>
  </r>
  <r>
    <n v="80820934"/>
    <x v="23"/>
    <x v="0"/>
    <s v="Divorced"/>
    <x v="1"/>
    <n v="0"/>
    <x v="3"/>
    <x v="1"/>
    <n v="8"/>
    <n v="3"/>
    <s v="Life Sciences"/>
    <n v="1"/>
    <n v="2"/>
    <x v="632"/>
    <x v="1"/>
    <n v="4"/>
    <n v="4"/>
    <x v="6"/>
    <x v="2"/>
  </r>
  <r>
    <n v="36075517"/>
    <x v="35"/>
    <x v="0"/>
    <s v="Single"/>
    <x v="0"/>
    <n v="1"/>
    <x v="6"/>
    <x v="0"/>
    <n v="2"/>
    <n v="3"/>
    <s v="Medical"/>
    <n v="3"/>
    <n v="3"/>
    <x v="633"/>
    <x v="1"/>
    <n v="1"/>
    <n v="2"/>
    <x v="4"/>
    <x v="2"/>
  </r>
  <r>
    <n v="83717250"/>
    <x v="18"/>
    <x v="0"/>
    <s v="Single"/>
    <x v="0"/>
    <n v="1"/>
    <x v="1"/>
    <x v="1"/>
    <n v="18"/>
    <n v="1"/>
    <s v="Other"/>
    <n v="4"/>
    <n v="4"/>
    <x v="7"/>
    <x v="1"/>
    <n v="1"/>
    <n v="2"/>
    <x v="6"/>
    <x v="2"/>
  </r>
  <r>
    <n v="61488076"/>
    <x v="9"/>
    <x v="1"/>
    <s v="Married"/>
    <x v="1"/>
    <n v="0"/>
    <x v="4"/>
    <x v="1"/>
    <n v="14"/>
    <n v="1"/>
    <s v="Life Sciences"/>
    <n v="3"/>
    <n v="4"/>
    <x v="634"/>
    <x v="0"/>
    <n v="0"/>
    <n v="2"/>
    <x v="22"/>
    <x v="5"/>
  </r>
  <r>
    <n v="85893703"/>
    <x v="40"/>
    <x v="0"/>
    <s v="Single"/>
    <x v="1"/>
    <n v="0"/>
    <x v="6"/>
    <x v="0"/>
    <n v="2"/>
    <n v="4"/>
    <s v="Life Sciences"/>
    <n v="4"/>
    <n v="4"/>
    <x v="635"/>
    <x v="1"/>
    <n v="1"/>
    <n v="2"/>
    <x v="11"/>
    <x v="2"/>
  </r>
  <r>
    <n v="25007026"/>
    <x v="15"/>
    <x v="0"/>
    <s v="Married"/>
    <x v="0"/>
    <n v="1"/>
    <x v="3"/>
    <x v="1"/>
    <n v="3"/>
    <n v="1"/>
    <s v="Life Sciences"/>
    <n v="2"/>
    <n v="3"/>
    <x v="636"/>
    <x v="1"/>
    <n v="0"/>
    <n v="4"/>
    <x v="11"/>
    <x v="2"/>
  </r>
  <r>
    <n v="71963089"/>
    <x v="0"/>
    <x v="0"/>
    <s v="Divorced"/>
    <x v="0"/>
    <n v="1"/>
    <x v="2"/>
    <x v="1"/>
    <n v="2"/>
    <n v="4"/>
    <s v="Life Sciences"/>
    <n v="2"/>
    <n v="4"/>
    <x v="637"/>
    <x v="1"/>
    <n v="4"/>
    <n v="2"/>
    <x v="5"/>
    <x v="0"/>
  </r>
  <r>
    <n v="71325381"/>
    <x v="14"/>
    <x v="0"/>
    <s v="Divorced"/>
    <x v="1"/>
    <n v="0"/>
    <x v="1"/>
    <x v="1"/>
    <n v="9"/>
    <n v="3"/>
    <s v="Medical"/>
    <n v="3"/>
    <n v="3"/>
    <x v="638"/>
    <x v="1"/>
    <n v="5"/>
    <n v="3"/>
    <x v="4"/>
    <x v="2"/>
  </r>
  <r>
    <n v="39788656"/>
    <x v="22"/>
    <x v="1"/>
    <s v="Married"/>
    <x v="0"/>
    <n v="1"/>
    <x v="2"/>
    <x v="1"/>
    <n v="6"/>
    <n v="3"/>
    <s v="Medical"/>
    <n v="4"/>
    <n v="1"/>
    <x v="639"/>
    <x v="1"/>
    <n v="7"/>
    <n v="1"/>
    <x v="4"/>
    <x v="2"/>
  </r>
  <r>
    <n v="79367004"/>
    <x v="4"/>
    <x v="0"/>
    <s v="Single"/>
    <x v="1"/>
    <n v="0"/>
    <x v="1"/>
    <x v="1"/>
    <n v="4"/>
    <n v="3"/>
    <s v="Life Sciences"/>
    <n v="2"/>
    <n v="3"/>
    <x v="640"/>
    <x v="1"/>
    <n v="1"/>
    <n v="3"/>
    <x v="6"/>
    <x v="2"/>
  </r>
  <r>
    <n v="35090960"/>
    <x v="13"/>
    <x v="1"/>
    <s v="Divorced"/>
    <x v="1"/>
    <n v="0"/>
    <x v="2"/>
    <x v="1"/>
    <n v="10"/>
    <n v="3"/>
    <s v="Life Sciences"/>
    <n v="2"/>
    <n v="2"/>
    <x v="641"/>
    <x v="1"/>
    <n v="1"/>
    <n v="3"/>
    <x v="6"/>
    <x v="2"/>
  </r>
  <r>
    <n v="35393833"/>
    <x v="19"/>
    <x v="0"/>
    <s v="Single"/>
    <x v="1"/>
    <n v="0"/>
    <x v="0"/>
    <x v="0"/>
    <n v="14"/>
    <n v="2"/>
    <s v="Medical"/>
    <n v="3"/>
    <n v="3"/>
    <x v="642"/>
    <x v="0"/>
    <n v="7"/>
    <n v="3"/>
    <x v="8"/>
    <x v="0"/>
  </r>
  <r>
    <n v="45801845"/>
    <x v="3"/>
    <x v="1"/>
    <s v="Single"/>
    <x v="1"/>
    <n v="0"/>
    <x v="1"/>
    <x v="1"/>
    <n v="1"/>
    <n v="4"/>
    <s v="Other"/>
    <n v="3"/>
    <n v="1"/>
    <x v="643"/>
    <x v="1"/>
    <n v="3"/>
    <n v="3"/>
    <x v="11"/>
    <x v="2"/>
  </r>
  <r>
    <n v="36764237"/>
    <x v="34"/>
    <x v="0"/>
    <s v="Divorced"/>
    <x v="1"/>
    <n v="0"/>
    <x v="4"/>
    <x v="1"/>
    <n v="5"/>
    <n v="3"/>
    <s v="Technical Degree"/>
    <n v="3"/>
    <n v="2"/>
    <x v="644"/>
    <x v="2"/>
    <n v="2"/>
    <n v="3"/>
    <x v="0"/>
    <x v="0"/>
  </r>
  <r>
    <n v="12577636"/>
    <x v="12"/>
    <x v="1"/>
    <s v="Married"/>
    <x v="1"/>
    <n v="0"/>
    <x v="6"/>
    <x v="0"/>
    <n v="7"/>
    <n v="4"/>
    <s v="Life Sciences"/>
    <n v="2"/>
    <n v="3"/>
    <x v="645"/>
    <x v="1"/>
    <n v="3"/>
    <n v="4"/>
    <x v="5"/>
    <x v="0"/>
  </r>
  <r>
    <n v="79276517"/>
    <x v="10"/>
    <x v="0"/>
    <s v="Married"/>
    <x v="1"/>
    <n v="0"/>
    <x v="4"/>
    <x v="1"/>
    <n v="21"/>
    <n v="1"/>
    <s v="Life Sciences"/>
    <n v="4"/>
    <n v="4"/>
    <x v="55"/>
    <x v="1"/>
    <n v="1"/>
    <n v="1"/>
    <x v="1"/>
    <x v="1"/>
  </r>
  <r>
    <n v="70880239"/>
    <x v="1"/>
    <x v="0"/>
    <s v="Married"/>
    <x v="1"/>
    <n v="0"/>
    <x v="2"/>
    <x v="1"/>
    <n v="8"/>
    <n v="2"/>
    <s v="Other"/>
    <n v="1"/>
    <n v="2"/>
    <x v="646"/>
    <x v="0"/>
    <n v="4"/>
    <n v="2"/>
    <x v="34"/>
    <x v="3"/>
  </r>
  <r>
    <n v="17264306"/>
    <x v="26"/>
    <x v="1"/>
    <s v="Married"/>
    <x v="1"/>
    <n v="0"/>
    <x v="1"/>
    <x v="1"/>
    <n v="20"/>
    <n v="4"/>
    <s v="Medical"/>
    <n v="4"/>
    <n v="3"/>
    <x v="647"/>
    <x v="1"/>
    <n v="4"/>
    <n v="2"/>
    <x v="2"/>
    <x v="2"/>
  </r>
  <r>
    <n v="79648752"/>
    <x v="12"/>
    <x v="0"/>
    <s v="Married"/>
    <x v="1"/>
    <n v="0"/>
    <x v="0"/>
    <x v="0"/>
    <n v="20"/>
    <n v="2"/>
    <s v="Marketing"/>
    <n v="4"/>
    <n v="3"/>
    <x v="648"/>
    <x v="0"/>
    <n v="1"/>
    <n v="2"/>
    <x v="7"/>
    <x v="0"/>
  </r>
  <r>
    <n v="29103668"/>
    <x v="9"/>
    <x v="1"/>
    <s v="Single"/>
    <x v="1"/>
    <n v="0"/>
    <x v="1"/>
    <x v="1"/>
    <n v="7"/>
    <n v="4"/>
    <s v="Other"/>
    <n v="2"/>
    <n v="4"/>
    <x v="649"/>
    <x v="1"/>
    <n v="2"/>
    <n v="3"/>
    <x v="0"/>
    <x v="0"/>
  </r>
  <r>
    <n v="79988573"/>
    <x v="8"/>
    <x v="0"/>
    <s v="Married"/>
    <x v="1"/>
    <n v="0"/>
    <x v="7"/>
    <x v="1"/>
    <n v="1"/>
    <n v="3"/>
    <s v="Technical Degree"/>
    <n v="4"/>
    <n v="1"/>
    <x v="650"/>
    <x v="3"/>
    <n v="1"/>
    <n v="3"/>
    <x v="15"/>
    <x v="5"/>
  </r>
  <r>
    <n v="70120969"/>
    <x v="5"/>
    <x v="0"/>
    <s v="Married"/>
    <x v="1"/>
    <n v="0"/>
    <x v="2"/>
    <x v="1"/>
    <n v="1"/>
    <n v="3"/>
    <s v="Life Sciences"/>
    <n v="3"/>
    <n v="2"/>
    <x v="651"/>
    <x v="1"/>
    <n v="6"/>
    <n v="3"/>
    <x v="11"/>
    <x v="2"/>
  </r>
  <r>
    <n v="66071119"/>
    <x v="36"/>
    <x v="1"/>
    <s v="Married"/>
    <x v="0"/>
    <n v="1"/>
    <x v="6"/>
    <x v="0"/>
    <n v="19"/>
    <n v="2"/>
    <s v="Marketing"/>
    <n v="3"/>
    <n v="2"/>
    <x v="652"/>
    <x v="1"/>
    <n v="1"/>
    <n v="3"/>
    <x v="6"/>
    <x v="2"/>
  </r>
  <r>
    <n v="39892002"/>
    <x v="32"/>
    <x v="1"/>
    <s v="Divorced"/>
    <x v="1"/>
    <n v="0"/>
    <x v="0"/>
    <x v="0"/>
    <n v="10"/>
    <n v="4"/>
    <s v="Marketing"/>
    <n v="1"/>
    <n v="2"/>
    <x v="653"/>
    <x v="2"/>
    <n v="2"/>
    <n v="2"/>
    <x v="6"/>
    <x v="2"/>
  </r>
  <r>
    <n v="20369108"/>
    <x v="25"/>
    <x v="1"/>
    <s v="Single"/>
    <x v="1"/>
    <n v="0"/>
    <x v="0"/>
    <x v="0"/>
    <n v="1"/>
    <n v="3"/>
    <s v="Medical"/>
    <n v="3"/>
    <n v="1"/>
    <x v="654"/>
    <x v="1"/>
    <n v="1"/>
    <n v="3"/>
    <x v="5"/>
    <x v="0"/>
  </r>
  <r>
    <n v="87546732"/>
    <x v="0"/>
    <x v="1"/>
    <s v="Single"/>
    <x v="1"/>
    <n v="0"/>
    <x v="2"/>
    <x v="1"/>
    <n v="6"/>
    <n v="3"/>
    <s v="Medical"/>
    <n v="4"/>
    <n v="1"/>
    <x v="655"/>
    <x v="1"/>
    <n v="2"/>
    <n v="3"/>
    <x v="29"/>
    <x v="5"/>
  </r>
  <r>
    <n v="49260025"/>
    <x v="9"/>
    <x v="1"/>
    <s v="Single"/>
    <x v="1"/>
    <n v="0"/>
    <x v="2"/>
    <x v="1"/>
    <n v="2"/>
    <n v="4"/>
    <s v="Medical"/>
    <n v="3"/>
    <n v="3"/>
    <x v="656"/>
    <x v="1"/>
    <n v="4"/>
    <n v="3"/>
    <x v="19"/>
    <x v="1"/>
  </r>
  <r>
    <n v="30802656"/>
    <x v="37"/>
    <x v="1"/>
    <s v="Single"/>
    <x v="0"/>
    <n v="1"/>
    <x v="6"/>
    <x v="0"/>
    <n v="21"/>
    <n v="3"/>
    <s v="Other"/>
    <n v="4"/>
    <n v="2"/>
    <x v="657"/>
    <x v="1"/>
    <n v="1"/>
    <n v="4"/>
    <x v="6"/>
    <x v="2"/>
  </r>
  <r>
    <n v="49309394"/>
    <x v="35"/>
    <x v="1"/>
    <s v="Single"/>
    <x v="0"/>
    <n v="1"/>
    <x v="2"/>
    <x v="1"/>
    <n v="4"/>
    <n v="3"/>
    <s v="Technical Degree"/>
    <n v="1"/>
    <n v="1"/>
    <x v="620"/>
    <x v="1"/>
    <n v="1"/>
    <n v="3"/>
    <x v="6"/>
    <x v="2"/>
  </r>
  <r>
    <n v="68615905"/>
    <x v="12"/>
    <x v="0"/>
    <s v="Married"/>
    <x v="1"/>
    <n v="0"/>
    <x v="4"/>
    <x v="1"/>
    <n v="12"/>
    <n v="3"/>
    <s v="Medical"/>
    <n v="4"/>
    <n v="4"/>
    <x v="658"/>
    <x v="0"/>
    <n v="0"/>
    <n v="1"/>
    <x v="7"/>
    <x v="0"/>
  </r>
  <r>
    <n v="20956713"/>
    <x v="32"/>
    <x v="1"/>
    <s v="Divorced"/>
    <x v="1"/>
    <n v="0"/>
    <x v="1"/>
    <x v="1"/>
    <n v="9"/>
    <n v="4"/>
    <s v="Medical"/>
    <n v="4"/>
    <n v="2"/>
    <x v="659"/>
    <x v="1"/>
    <n v="8"/>
    <n v="3"/>
    <x v="6"/>
    <x v="2"/>
  </r>
  <r>
    <n v="30212442"/>
    <x v="5"/>
    <x v="0"/>
    <s v="Married"/>
    <x v="1"/>
    <n v="0"/>
    <x v="3"/>
    <x v="1"/>
    <n v="3"/>
    <n v="4"/>
    <s v="Medical"/>
    <n v="3"/>
    <n v="1"/>
    <x v="660"/>
    <x v="0"/>
    <n v="1"/>
    <n v="4"/>
    <x v="3"/>
    <x v="0"/>
  </r>
  <r>
    <n v="27995213"/>
    <x v="9"/>
    <x v="1"/>
    <s v="Married"/>
    <x v="0"/>
    <n v="1"/>
    <x v="0"/>
    <x v="0"/>
    <n v="3"/>
    <n v="1"/>
    <s v="Life Sciences"/>
    <n v="3"/>
    <n v="4"/>
    <x v="661"/>
    <x v="2"/>
    <n v="1"/>
    <n v="3"/>
    <x v="22"/>
    <x v="5"/>
  </r>
  <r>
    <n v="73127132"/>
    <x v="3"/>
    <x v="0"/>
    <s v="Single"/>
    <x v="1"/>
    <n v="0"/>
    <x v="4"/>
    <x v="1"/>
    <n v="1"/>
    <n v="3"/>
    <s v="Life Sciences"/>
    <n v="2"/>
    <n v="4"/>
    <x v="662"/>
    <x v="0"/>
    <n v="0"/>
    <n v="3"/>
    <x v="8"/>
    <x v="0"/>
  </r>
  <r>
    <n v="76192263"/>
    <x v="2"/>
    <x v="1"/>
    <s v="Married"/>
    <x v="0"/>
    <n v="1"/>
    <x v="0"/>
    <x v="0"/>
    <n v="1"/>
    <n v="4"/>
    <s v="Life Sciences"/>
    <n v="1"/>
    <n v="3"/>
    <x v="219"/>
    <x v="2"/>
    <n v="5"/>
    <n v="1"/>
    <x v="13"/>
    <x v="1"/>
  </r>
  <r>
    <n v="85416703"/>
    <x v="28"/>
    <x v="1"/>
    <s v="Married"/>
    <x v="1"/>
    <n v="0"/>
    <x v="2"/>
    <x v="1"/>
    <n v="4"/>
    <n v="2"/>
    <s v="Life Sciences"/>
    <n v="3"/>
    <n v="2"/>
    <x v="663"/>
    <x v="1"/>
    <n v="1"/>
    <n v="2"/>
    <x v="7"/>
    <x v="0"/>
  </r>
  <r>
    <n v="88613900"/>
    <x v="11"/>
    <x v="0"/>
    <s v="Married"/>
    <x v="1"/>
    <n v="0"/>
    <x v="6"/>
    <x v="0"/>
    <n v="20"/>
    <n v="3"/>
    <s v="Technical Degree"/>
    <n v="3"/>
    <n v="4"/>
    <x v="664"/>
    <x v="1"/>
    <n v="1"/>
    <n v="3"/>
    <x v="11"/>
    <x v="2"/>
  </r>
  <r>
    <n v="59258971"/>
    <x v="10"/>
    <x v="0"/>
    <s v="Married"/>
    <x v="1"/>
    <n v="0"/>
    <x v="0"/>
    <x v="0"/>
    <n v="18"/>
    <n v="3"/>
    <s v="Medical"/>
    <n v="3"/>
    <n v="3"/>
    <x v="665"/>
    <x v="1"/>
    <n v="1"/>
    <n v="3"/>
    <x v="8"/>
    <x v="0"/>
  </r>
  <r>
    <n v="21123590"/>
    <x v="39"/>
    <x v="1"/>
    <s v="Married"/>
    <x v="1"/>
    <n v="0"/>
    <x v="5"/>
    <x v="1"/>
    <n v="1"/>
    <n v="2"/>
    <s v="Life Sciences"/>
    <n v="4"/>
    <n v="4"/>
    <x v="666"/>
    <x v="4"/>
    <n v="2"/>
    <n v="2"/>
    <x v="7"/>
    <x v="0"/>
  </r>
  <r>
    <n v="74415720"/>
    <x v="34"/>
    <x v="1"/>
    <s v="Single"/>
    <x v="0"/>
    <n v="1"/>
    <x v="1"/>
    <x v="1"/>
    <n v="2"/>
    <n v="3"/>
    <s v="Technical Degree"/>
    <n v="4"/>
    <n v="3"/>
    <x v="667"/>
    <x v="1"/>
    <n v="4"/>
    <n v="3"/>
    <x v="6"/>
    <x v="2"/>
  </r>
  <r>
    <n v="20594362"/>
    <x v="16"/>
    <x v="1"/>
    <s v="Divorced"/>
    <x v="1"/>
    <n v="0"/>
    <x v="5"/>
    <x v="0"/>
    <n v="2"/>
    <n v="2"/>
    <s v="Medical"/>
    <n v="3"/>
    <n v="3"/>
    <x v="668"/>
    <x v="3"/>
    <n v="6"/>
    <n v="4"/>
    <x v="18"/>
    <x v="5"/>
  </r>
  <r>
    <n v="70817776"/>
    <x v="7"/>
    <x v="1"/>
    <s v="Divorced"/>
    <x v="1"/>
    <n v="0"/>
    <x v="0"/>
    <x v="0"/>
    <n v="8"/>
    <n v="2"/>
    <s v="Other"/>
    <n v="3"/>
    <n v="3"/>
    <x v="669"/>
    <x v="0"/>
    <n v="5"/>
    <n v="4"/>
    <x v="3"/>
    <x v="0"/>
  </r>
  <r>
    <n v="40859220"/>
    <x v="8"/>
    <x v="0"/>
    <s v="Single"/>
    <x v="1"/>
    <n v="0"/>
    <x v="0"/>
    <x v="0"/>
    <n v="10"/>
    <n v="3"/>
    <s v="Technical Degree"/>
    <n v="3"/>
    <n v="4"/>
    <x v="670"/>
    <x v="0"/>
    <n v="1"/>
    <n v="3"/>
    <x v="8"/>
    <x v="0"/>
  </r>
  <r>
    <n v="47378034"/>
    <x v="10"/>
    <x v="1"/>
    <s v="Divorced"/>
    <x v="1"/>
    <n v="0"/>
    <x v="0"/>
    <x v="0"/>
    <n v="3"/>
    <n v="4"/>
    <s v="Life Sciences"/>
    <n v="4"/>
    <n v="4"/>
    <x v="671"/>
    <x v="0"/>
    <n v="6"/>
    <n v="3"/>
    <x v="1"/>
    <x v="1"/>
  </r>
  <r>
    <n v="69178642"/>
    <x v="22"/>
    <x v="1"/>
    <s v="Single"/>
    <x v="1"/>
    <n v="0"/>
    <x v="0"/>
    <x v="0"/>
    <n v="2"/>
    <n v="5"/>
    <s v="Life Sciences"/>
    <n v="1"/>
    <n v="3"/>
    <x v="672"/>
    <x v="0"/>
    <n v="0"/>
    <n v="3"/>
    <x v="3"/>
    <x v="0"/>
  </r>
  <r>
    <n v="26474741"/>
    <x v="32"/>
    <x v="0"/>
    <s v="Single"/>
    <x v="0"/>
    <n v="1"/>
    <x v="0"/>
    <x v="0"/>
    <n v="24"/>
    <n v="3"/>
    <s v="Life Sciences"/>
    <n v="2"/>
    <n v="2"/>
    <x v="673"/>
    <x v="3"/>
    <n v="4"/>
    <n v="2"/>
    <x v="6"/>
    <x v="2"/>
  </r>
  <r>
    <n v="72765129"/>
    <x v="40"/>
    <x v="1"/>
    <s v="Divorced"/>
    <x v="1"/>
    <n v="0"/>
    <x v="3"/>
    <x v="1"/>
    <n v="16"/>
    <n v="4"/>
    <s v="Medical"/>
    <n v="3"/>
    <n v="3"/>
    <x v="674"/>
    <x v="0"/>
    <n v="1"/>
    <n v="4"/>
    <x v="27"/>
    <x v="5"/>
  </r>
  <r>
    <n v="75713232"/>
    <x v="9"/>
    <x v="1"/>
    <s v="Divorced"/>
    <x v="1"/>
    <n v="0"/>
    <x v="0"/>
    <x v="0"/>
    <n v="8"/>
    <n v="4"/>
    <s v="Technical Degree"/>
    <n v="1"/>
    <n v="4"/>
    <x v="675"/>
    <x v="0"/>
    <n v="4"/>
    <n v="3"/>
    <x v="5"/>
    <x v="0"/>
  </r>
  <r>
    <n v="69052088"/>
    <x v="12"/>
    <x v="1"/>
    <s v="Single"/>
    <x v="0"/>
    <n v="1"/>
    <x v="1"/>
    <x v="1"/>
    <n v="9"/>
    <n v="2"/>
    <s v="Medical"/>
    <n v="3"/>
    <n v="1"/>
    <x v="676"/>
    <x v="1"/>
    <n v="0"/>
    <n v="3"/>
    <x v="11"/>
    <x v="2"/>
  </r>
  <r>
    <n v="46413961"/>
    <x v="3"/>
    <x v="1"/>
    <s v="Single"/>
    <x v="1"/>
    <n v="0"/>
    <x v="5"/>
    <x v="0"/>
    <n v="17"/>
    <n v="3"/>
    <s v="Life Sciences"/>
    <n v="4"/>
    <n v="3"/>
    <x v="677"/>
    <x v="4"/>
    <n v="1"/>
    <n v="3"/>
    <x v="1"/>
    <x v="1"/>
  </r>
  <r>
    <n v="14188372"/>
    <x v="11"/>
    <x v="0"/>
    <s v="Single"/>
    <x v="0"/>
    <n v="1"/>
    <x v="1"/>
    <x v="1"/>
    <n v="10"/>
    <n v="3"/>
    <s v="Life Sciences"/>
    <n v="4"/>
    <n v="1"/>
    <x v="639"/>
    <x v="1"/>
    <n v="6"/>
    <n v="3"/>
    <x v="2"/>
    <x v="2"/>
  </r>
  <r>
    <n v="57792565"/>
    <x v="3"/>
    <x v="0"/>
    <s v="Single"/>
    <x v="1"/>
    <n v="0"/>
    <x v="1"/>
    <x v="1"/>
    <n v="13"/>
    <n v="1"/>
    <s v="Life Sciences"/>
    <n v="2"/>
    <n v="4"/>
    <x v="138"/>
    <x v="1"/>
    <n v="3"/>
    <n v="3"/>
    <x v="11"/>
    <x v="2"/>
  </r>
  <r>
    <n v="41000649"/>
    <x v="28"/>
    <x v="0"/>
    <s v="Divorced"/>
    <x v="1"/>
    <n v="0"/>
    <x v="2"/>
    <x v="1"/>
    <n v="1"/>
    <n v="4"/>
    <s v="Medical"/>
    <n v="4"/>
    <n v="4"/>
    <x v="678"/>
    <x v="1"/>
    <n v="3"/>
    <n v="3"/>
    <x v="8"/>
    <x v="0"/>
  </r>
  <r>
    <n v="54947333"/>
    <x v="24"/>
    <x v="1"/>
    <s v="Divorced"/>
    <x v="1"/>
    <n v="0"/>
    <x v="7"/>
    <x v="1"/>
    <n v="1"/>
    <n v="2"/>
    <s v="Medical"/>
    <n v="4"/>
    <n v="4"/>
    <x v="679"/>
    <x v="4"/>
    <n v="9"/>
    <n v="2"/>
    <x v="8"/>
    <x v="0"/>
  </r>
  <r>
    <n v="10512103"/>
    <x v="3"/>
    <x v="0"/>
    <s v="Married"/>
    <x v="1"/>
    <n v="0"/>
    <x v="4"/>
    <x v="1"/>
    <n v="1"/>
    <n v="4"/>
    <s v="Other"/>
    <n v="3"/>
    <n v="2"/>
    <x v="680"/>
    <x v="0"/>
    <n v="1"/>
    <n v="3"/>
    <x v="0"/>
    <x v="0"/>
  </r>
  <r>
    <n v="67272685"/>
    <x v="0"/>
    <x v="1"/>
    <s v="Divorced"/>
    <x v="1"/>
    <n v="0"/>
    <x v="7"/>
    <x v="1"/>
    <n v="9"/>
    <n v="3"/>
    <s v="Medical"/>
    <n v="1"/>
    <n v="3"/>
    <x v="681"/>
    <x v="4"/>
    <n v="2"/>
    <n v="4"/>
    <x v="29"/>
    <x v="5"/>
  </r>
  <r>
    <n v="62454437"/>
    <x v="4"/>
    <x v="0"/>
    <s v="Married"/>
    <x v="1"/>
    <n v="0"/>
    <x v="2"/>
    <x v="1"/>
    <n v="16"/>
    <n v="4"/>
    <s v="Technical Degree"/>
    <n v="3"/>
    <n v="2"/>
    <x v="682"/>
    <x v="1"/>
    <n v="9"/>
    <n v="3"/>
    <x v="4"/>
    <x v="2"/>
  </r>
  <r>
    <n v="13640307"/>
    <x v="28"/>
    <x v="1"/>
    <s v="Married"/>
    <x v="1"/>
    <n v="0"/>
    <x v="2"/>
    <x v="1"/>
    <n v="23"/>
    <n v="2"/>
    <s v="Life Sciences"/>
    <n v="4"/>
    <n v="1"/>
    <x v="683"/>
    <x v="1"/>
    <n v="1"/>
    <n v="3"/>
    <x v="7"/>
    <x v="0"/>
  </r>
  <r>
    <n v="25167742"/>
    <x v="40"/>
    <x v="0"/>
    <s v="Single"/>
    <x v="1"/>
    <n v="0"/>
    <x v="0"/>
    <x v="0"/>
    <n v="4"/>
    <n v="2"/>
    <s v="Life Sciences"/>
    <n v="4"/>
    <n v="4"/>
    <x v="684"/>
    <x v="1"/>
    <n v="1"/>
    <n v="3"/>
    <x v="7"/>
    <x v="0"/>
  </r>
  <r>
    <n v="89646447"/>
    <x v="7"/>
    <x v="0"/>
    <s v="Married"/>
    <x v="0"/>
    <n v="1"/>
    <x v="1"/>
    <x v="1"/>
    <n v="22"/>
    <n v="3"/>
    <s v="Life Sciences"/>
    <n v="1"/>
    <n v="3"/>
    <x v="685"/>
    <x v="1"/>
    <n v="4"/>
    <n v="3"/>
    <x v="8"/>
    <x v="0"/>
  </r>
  <r>
    <n v="64994621"/>
    <x v="24"/>
    <x v="1"/>
    <s v="Married"/>
    <x v="1"/>
    <n v="0"/>
    <x v="3"/>
    <x v="1"/>
    <n v="24"/>
    <n v="3"/>
    <s v="Life Sciences"/>
    <n v="4"/>
    <n v="3"/>
    <x v="686"/>
    <x v="3"/>
    <n v="3"/>
    <n v="3"/>
    <x v="12"/>
    <x v="1"/>
  </r>
  <r>
    <n v="66286183"/>
    <x v="8"/>
    <x v="1"/>
    <s v="Married"/>
    <x v="1"/>
    <n v="0"/>
    <x v="1"/>
    <x v="1"/>
    <n v="10"/>
    <n v="1"/>
    <s v="Medical"/>
    <n v="3"/>
    <n v="3"/>
    <x v="687"/>
    <x v="1"/>
    <n v="0"/>
    <n v="2"/>
    <x v="4"/>
    <x v="2"/>
  </r>
  <r>
    <n v="24408512"/>
    <x v="21"/>
    <x v="1"/>
    <s v="Divorced"/>
    <x v="1"/>
    <n v="0"/>
    <x v="3"/>
    <x v="1"/>
    <n v="7"/>
    <n v="2"/>
    <s v="Medical"/>
    <n v="4"/>
    <n v="3"/>
    <x v="688"/>
    <x v="2"/>
    <n v="6"/>
    <n v="3"/>
    <x v="3"/>
    <x v="0"/>
  </r>
  <r>
    <n v="88080971"/>
    <x v="17"/>
    <x v="0"/>
    <s v="Divorced"/>
    <x v="1"/>
    <n v="0"/>
    <x v="3"/>
    <x v="1"/>
    <n v="17"/>
    <n v="1"/>
    <s v="Medical"/>
    <n v="4"/>
    <n v="3"/>
    <x v="689"/>
    <x v="1"/>
    <n v="1"/>
    <n v="3"/>
    <x v="9"/>
    <x v="2"/>
  </r>
  <r>
    <n v="34788113"/>
    <x v="10"/>
    <x v="1"/>
    <s v="Divorced"/>
    <x v="0"/>
    <n v="1"/>
    <x v="2"/>
    <x v="1"/>
    <n v="14"/>
    <n v="4"/>
    <s v="Other"/>
    <n v="3"/>
    <n v="2"/>
    <x v="690"/>
    <x v="1"/>
    <n v="1"/>
    <n v="1"/>
    <x v="9"/>
    <x v="2"/>
  </r>
  <r>
    <n v="13079076"/>
    <x v="12"/>
    <x v="0"/>
    <s v="Married"/>
    <x v="1"/>
    <n v="0"/>
    <x v="3"/>
    <x v="1"/>
    <n v="1"/>
    <n v="1"/>
    <s v="Life Sciences"/>
    <n v="3"/>
    <n v="1"/>
    <x v="691"/>
    <x v="1"/>
    <n v="1"/>
    <n v="3"/>
    <x v="9"/>
    <x v="2"/>
  </r>
  <r>
    <n v="11481132"/>
    <x v="41"/>
    <x v="1"/>
    <s v="Single"/>
    <x v="1"/>
    <n v="0"/>
    <x v="1"/>
    <x v="1"/>
    <n v="5"/>
    <n v="2"/>
    <s v="Life Sciences"/>
    <n v="2"/>
    <n v="4"/>
    <x v="692"/>
    <x v="1"/>
    <n v="1"/>
    <n v="3"/>
    <x v="2"/>
    <x v="2"/>
  </r>
  <r>
    <n v="51938988"/>
    <x v="33"/>
    <x v="0"/>
    <s v="Married"/>
    <x v="1"/>
    <n v="0"/>
    <x v="3"/>
    <x v="1"/>
    <n v="17"/>
    <n v="3"/>
    <s v="Technical Degree"/>
    <n v="3"/>
    <n v="3"/>
    <x v="693"/>
    <x v="2"/>
    <n v="8"/>
    <n v="3"/>
    <x v="1"/>
    <x v="1"/>
  </r>
  <r>
    <n v="79711581"/>
    <x v="10"/>
    <x v="0"/>
    <s v="Divorced"/>
    <x v="1"/>
    <n v="0"/>
    <x v="4"/>
    <x v="1"/>
    <n v="25"/>
    <n v="4"/>
    <s v="Medical"/>
    <n v="3"/>
    <n v="3"/>
    <x v="694"/>
    <x v="2"/>
    <n v="1"/>
    <n v="2"/>
    <x v="22"/>
    <x v="5"/>
  </r>
  <r>
    <n v="73854130"/>
    <x v="7"/>
    <x v="0"/>
    <s v="Married"/>
    <x v="1"/>
    <n v="0"/>
    <x v="7"/>
    <x v="1"/>
    <n v="8"/>
    <n v="2"/>
    <s v="Life Sciences"/>
    <n v="2"/>
    <n v="1"/>
    <x v="695"/>
    <x v="2"/>
    <n v="0"/>
    <n v="2"/>
    <x v="3"/>
    <x v="0"/>
  </r>
  <r>
    <n v="65803707"/>
    <x v="35"/>
    <x v="0"/>
    <s v="Single"/>
    <x v="0"/>
    <n v="1"/>
    <x v="1"/>
    <x v="1"/>
    <n v="11"/>
    <n v="3"/>
    <s v="Medical"/>
    <n v="4"/>
    <n v="1"/>
    <x v="696"/>
    <x v="1"/>
    <n v="1"/>
    <n v="3"/>
    <x v="6"/>
    <x v="2"/>
  </r>
  <r>
    <n v="57482801"/>
    <x v="7"/>
    <x v="0"/>
    <s v="Single"/>
    <x v="0"/>
    <n v="1"/>
    <x v="2"/>
    <x v="1"/>
    <n v="5"/>
    <n v="3"/>
    <s v="Medical"/>
    <n v="2"/>
    <n v="2"/>
    <x v="697"/>
    <x v="1"/>
    <n v="0"/>
    <n v="3"/>
    <x v="11"/>
    <x v="2"/>
  </r>
  <r>
    <n v="46892510"/>
    <x v="25"/>
    <x v="1"/>
    <s v="Married"/>
    <x v="1"/>
    <n v="0"/>
    <x v="3"/>
    <x v="1"/>
    <n v="2"/>
    <n v="2"/>
    <s v="Medical"/>
    <n v="4"/>
    <n v="4"/>
    <x v="698"/>
    <x v="0"/>
    <n v="1"/>
    <n v="3"/>
    <x v="3"/>
    <x v="0"/>
  </r>
  <r>
    <n v="56747092"/>
    <x v="15"/>
    <x v="1"/>
    <s v="Married"/>
    <x v="1"/>
    <n v="0"/>
    <x v="2"/>
    <x v="1"/>
    <n v="8"/>
    <n v="1"/>
    <s v="Life Sciences"/>
    <n v="2"/>
    <n v="1"/>
    <x v="163"/>
    <x v="1"/>
    <n v="1"/>
    <n v="2"/>
    <x v="9"/>
    <x v="2"/>
  </r>
  <r>
    <n v="72188700"/>
    <x v="26"/>
    <x v="1"/>
    <s v="Single"/>
    <x v="1"/>
    <n v="0"/>
    <x v="4"/>
    <x v="1"/>
    <n v="6"/>
    <n v="3"/>
    <s v="Life Sciences"/>
    <n v="1"/>
    <n v="3"/>
    <x v="699"/>
    <x v="1"/>
    <n v="2"/>
    <n v="3"/>
    <x v="4"/>
    <x v="2"/>
  </r>
  <r>
    <n v="65324509"/>
    <x v="26"/>
    <x v="1"/>
    <s v="Single"/>
    <x v="1"/>
    <n v="0"/>
    <x v="4"/>
    <x v="1"/>
    <n v="4"/>
    <n v="4"/>
    <s v="Life Sciences"/>
    <n v="3"/>
    <n v="3"/>
    <x v="700"/>
    <x v="2"/>
    <n v="7"/>
    <n v="3"/>
    <x v="15"/>
    <x v="5"/>
  </r>
  <r>
    <n v="66715110"/>
    <x v="0"/>
    <x v="0"/>
    <s v="Single"/>
    <x v="1"/>
    <n v="0"/>
    <x v="3"/>
    <x v="1"/>
    <n v="7"/>
    <n v="2"/>
    <s v="Medical"/>
    <n v="4"/>
    <n v="3"/>
    <x v="701"/>
    <x v="0"/>
    <n v="6"/>
    <n v="3"/>
    <x v="4"/>
    <x v="2"/>
  </r>
  <r>
    <n v="74403840"/>
    <x v="22"/>
    <x v="0"/>
    <s v="Married"/>
    <x v="1"/>
    <n v="0"/>
    <x v="3"/>
    <x v="1"/>
    <n v="1"/>
    <n v="1"/>
    <s v="Life Sciences"/>
    <n v="4"/>
    <n v="4"/>
    <x v="702"/>
    <x v="2"/>
    <n v="1"/>
    <n v="3"/>
    <x v="17"/>
    <x v="4"/>
  </r>
  <r>
    <n v="28438023"/>
    <x v="4"/>
    <x v="0"/>
    <s v="Married"/>
    <x v="1"/>
    <n v="0"/>
    <x v="3"/>
    <x v="1"/>
    <n v="2"/>
    <n v="4"/>
    <s v="Life Sciences"/>
    <n v="1"/>
    <n v="4"/>
    <x v="703"/>
    <x v="1"/>
    <n v="0"/>
    <n v="3"/>
    <x v="11"/>
    <x v="2"/>
  </r>
  <r>
    <n v="12621297"/>
    <x v="10"/>
    <x v="1"/>
    <s v="Divorced"/>
    <x v="1"/>
    <n v="0"/>
    <x v="2"/>
    <x v="1"/>
    <n v="10"/>
    <n v="3"/>
    <s v="Other"/>
    <n v="2"/>
    <n v="4"/>
    <x v="704"/>
    <x v="1"/>
    <n v="1"/>
    <n v="2"/>
    <x v="11"/>
    <x v="2"/>
  </r>
  <r>
    <n v="22718211"/>
    <x v="19"/>
    <x v="1"/>
    <s v="Married"/>
    <x v="1"/>
    <n v="0"/>
    <x v="5"/>
    <x v="0"/>
    <n v="5"/>
    <n v="2"/>
    <s v="Marketing"/>
    <n v="4"/>
    <n v="3"/>
    <x v="705"/>
    <x v="4"/>
    <n v="6"/>
    <n v="4"/>
    <x v="6"/>
    <x v="2"/>
  </r>
  <r>
    <n v="86620660"/>
    <x v="24"/>
    <x v="1"/>
    <s v="Married"/>
    <x v="1"/>
    <n v="0"/>
    <x v="2"/>
    <x v="1"/>
    <n v="9"/>
    <n v="3"/>
    <s v="Life Sciences"/>
    <n v="1"/>
    <n v="4"/>
    <x v="631"/>
    <x v="1"/>
    <n v="4"/>
    <n v="3"/>
    <x v="6"/>
    <x v="2"/>
  </r>
  <r>
    <n v="57258332"/>
    <x v="6"/>
    <x v="0"/>
    <s v="Single"/>
    <x v="1"/>
    <n v="0"/>
    <x v="3"/>
    <x v="1"/>
    <n v="2"/>
    <n v="3"/>
    <s v="Life Sciences"/>
    <n v="3"/>
    <n v="4"/>
    <x v="706"/>
    <x v="3"/>
    <n v="3"/>
    <n v="3"/>
    <x v="8"/>
    <x v="0"/>
  </r>
  <r>
    <n v="58781460"/>
    <x v="2"/>
    <x v="0"/>
    <s v="Married"/>
    <x v="0"/>
    <n v="1"/>
    <x v="4"/>
    <x v="1"/>
    <n v="11"/>
    <n v="2"/>
    <s v="Medical"/>
    <n v="1"/>
    <n v="2"/>
    <x v="707"/>
    <x v="1"/>
    <n v="5"/>
    <n v="1"/>
    <x v="6"/>
    <x v="2"/>
  </r>
  <r>
    <n v="26451878"/>
    <x v="27"/>
    <x v="1"/>
    <s v="Married"/>
    <x v="1"/>
    <n v="0"/>
    <x v="4"/>
    <x v="1"/>
    <n v="18"/>
    <n v="4"/>
    <s v="Medical"/>
    <n v="3"/>
    <n v="2"/>
    <x v="708"/>
    <x v="0"/>
    <n v="3"/>
    <n v="3"/>
    <x v="3"/>
    <x v="0"/>
  </r>
  <r>
    <n v="21508587"/>
    <x v="0"/>
    <x v="0"/>
    <s v="Divorced"/>
    <x v="1"/>
    <n v="0"/>
    <x v="7"/>
    <x v="1"/>
    <n v="7"/>
    <n v="1"/>
    <s v="Life Sciences"/>
    <n v="2"/>
    <n v="3"/>
    <x v="709"/>
    <x v="4"/>
    <n v="1"/>
    <n v="3"/>
    <x v="17"/>
    <x v="4"/>
  </r>
  <r>
    <n v="49225686"/>
    <x v="8"/>
    <x v="1"/>
    <s v="Single"/>
    <x v="1"/>
    <n v="0"/>
    <x v="0"/>
    <x v="0"/>
    <n v="3"/>
    <n v="4"/>
    <s v="Life Sciences"/>
    <n v="2"/>
    <n v="4"/>
    <x v="710"/>
    <x v="0"/>
    <n v="8"/>
    <n v="3"/>
    <x v="6"/>
    <x v="2"/>
  </r>
  <r>
    <n v="88992056"/>
    <x v="25"/>
    <x v="1"/>
    <s v="Single"/>
    <x v="0"/>
    <n v="1"/>
    <x v="0"/>
    <x v="0"/>
    <n v="29"/>
    <n v="2"/>
    <s v="Medical"/>
    <n v="2"/>
    <n v="1"/>
    <x v="711"/>
    <x v="1"/>
    <n v="8"/>
    <n v="3"/>
    <x v="4"/>
    <x v="2"/>
  </r>
  <r>
    <n v="32419826"/>
    <x v="39"/>
    <x v="0"/>
    <s v="Married"/>
    <x v="0"/>
    <n v="1"/>
    <x v="5"/>
    <x v="0"/>
    <n v="2"/>
    <n v="1"/>
    <s v="Marketing"/>
    <n v="1"/>
    <n v="4"/>
    <x v="712"/>
    <x v="4"/>
    <n v="1"/>
    <n v="3"/>
    <x v="32"/>
    <x v="8"/>
  </r>
  <r>
    <n v="15223648"/>
    <x v="20"/>
    <x v="0"/>
    <s v="Married"/>
    <x v="1"/>
    <n v="0"/>
    <x v="0"/>
    <x v="0"/>
    <n v="28"/>
    <n v="3"/>
    <s v="Medical"/>
    <n v="4"/>
    <n v="4"/>
    <x v="713"/>
    <x v="3"/>
    <n v="3"/>
    <n v="3"/>
    <x v="12"/>
    <x v="1"/>
  </r>
  <r>
    <n v="51944180"/>
    <x v="24"/>
    <x v="0"/>
    <s v="Married"/>
    <x v="1"/>
    <n v="0"/>
    <x v="0"/>
    <x v="0"/>
    <n v="1"/>
    <n v="3"/>
    <s v="Life Sciences"/>
    <n v="4"/>
    <n v="3"/>
    <x v="136"/>
    <x v="0"/>
    <n v="0"/>
    <n v="3"/>
    <x v="29"/>
    <x v="5"/>
  </r>
  <r>
    <n v="39871255"/>
    <x v="9"/>
    <x v="0"/>
    <s v="Single"/>
    <x v="0"/>
    <n v="1"/>
    <x v="2"/>
    <x v="1"/>
    <n v="16"/>
    <n v="4"/>
    <s v="Life Sciences"/>
    <n v="3"/>
    <n v="1"/>
    <x v="714"/>
    <x v="1"/>
    <n v="1"/>
    <n v="3"/>
    <x v="18"/>
    <x v="5"/>
  </r>
  <r>
    <n v="32463226"/>
    <x v="22"/>
    <x v="0"/>
    <s v="Single"/>
    <x v="1"/>
    <n v="0"/>
    <x v="3"/>
    <x v="1"/>
    <n v="22"/>
    <n v="3"/>
    <s v="Medical"/>
    <n v="4"/>
    <n v="1"/>
    <x v="715"/>
    <x v="2"/>
    <n v="1"/>
    <n v="3"/>
    <x v="17"/>
    <x v="4"/>
  </r>
  <r>
    <n v="11041294"/>
    <x v="3"/>
    <x v="0"/>
    <s v="Single"/>
    <x v="1"/>
    <n v="0"/>
    <x v="6"/>
    <x v="0"/>
    <n v="8"/>
    <n v="1"/>
    <s v="Life Sciences"/>
    <n v="2"/>
    <n v="4"/>
    <x v="531"/>
    <x v="1"/>
    <n v="0"/>
    <n v="2"/>
    <x v="4"/>
    <x v="2"/>
  </r>
  <r>
    <n v="19754149"/>
    <x v="28"/>
    <x v="0"/>
    <s v="Married"/>
    <x v="1"/>
    <n v="0"/>
    <x v="5"/>
    <x v="0"/>
    <n v="11"/>
    <n v="2"/>
    <s v="Life Sciences"/>
    <n v="4"/>
    <n v="4"/>
    <x v="716"/>
    <x v="4"/>
    <n v="3"/>
    <n v="4"/>
    <x v="7"/>
    <x v="0"/>
  </r>
  <r>
    <n v="83798564"/>
    <x v="5"/>
    <x v="0"/>
    <s v="Single"/>
    <x v="1"/>
    <n v="0"/>
    <x v="2"/>
    <x v="1"/>
    <n v="29"/>
    <n v="4"/>
    <s v="Medical"/>
    <n v="4"/>
    <n v="3"/>
    <x v="717"/>
    <x v="1"/>
    <n v="9"/>
    <n v="3"/>
    <x v="3"/>
    <x v="0"/>
  </r>
  <r>
    <n v="58095069"/>
    <x v="13"/>
    <x v="1"/>
    <s v="Divorced"/>
    <x v="1"/>
    <n v="0"/>
    <x v="0"/>
    <x v="0"/>
    <n v="1"/>
    <n v="4"/>
    <s v="Marketing"/>
    <n v="2"/>
    <n v="4"/>
    <x v="718"/>
    <x v="2"/>
    <n v="0"/>
    <n v="2"/>
    <x v="15"/>
    <x v="5"/>
  </r>
  <r>
    <n v="39110679"/>
    <x v="6"/>
    <x v="1"/>
    <s v="Married"/>
    <x v="1"/>
    <n v="0"/>
    <x v="5"/>
    <x v="0"/>
    <n v="1"/>
    <n v="2"/>
    <s v="Technical Degree"/>
    <n v="2"/>
    <n v="4"/>
    <x v="719"/>
    <x v="2"/>
    <n v="3"/>
    <n v="1"/>
    <x v="0"/>
    <x v="0"/>
  </r>
  <r>
    <n v="58721473"/>
    <x v="28"/>
    <x v="1"/>
    <s v="Single"/>
    <x v="1"/>
    <n v="0"/>
    <x v="8"/>
    <x v="2"/>
    <n v="24"/>
    <n v="4"/>
    <s v="Medical"/>
    <n v="2"/>
    <n v="2"/>
    <x v="221"/>
    <x v="1"/>
    <n v="1"/>
    <n v="3"/>
    <x v="0"/>
    <x v="0"/>
  </r>
  <r>
    <n v="70194406"/>
    <x v="16"/>
    <x v="0"/>
    <s v="Married"/>
    <x v="1"/>
    <n v="0"/>
    <x v="0"/>
    <x v="0"/>
    <n v="2"/>
    <n v="3"/>
    <s v="Marketing"/>
    <n v="3"/>
    <n v="2"/>
    <x v="720"/>
    <x v="0"/>
    <n v="2"/>
    <n v="3"/>
    <x v="15"/>
    <x v="5"/>
  </r>
  <r>
    <n v="81670721"/>
    <x v="9"/>
    <x v="1"/>
    <s v="Divorced"/>
    <x v="0"/>
    <n v="1"/>
    <x v="2"/>
    <x v="1"/>
    <n v="15"/>
    <n v="3"/>
    <s v="Other"/>
    <n v="1"/>
    <n v="3"/>
    <x v="721"/>
    <x v="1"/>
    <n v="7"/>
    <n v="2"/>
    <x v="6"/>
    <x v="2"/>
  </r>
  <r>
    <n v="41583022"/>
    <x v="25"/>
    <x v="1"/>
    <s v="Married"/>
    <x v="0"/>
    <n v="1"/>
    <x v="1"/>
    <x v="1"/>
    <n v="2"/>
    <n v="3"/>
    <s v="Life Sciences"/>
    <n v="1"/>
    <n v="1"/>
    <x v="96"/>
    <x v="1"/>
    <n v="6"/>
    <n v="3"/>
    <x v="11"/>
    <x v="2"/>
  </r>
  <r>
    <n v="24340296"/>
    <x v="13"/>
    <x v="0"/>
    <s v="Married"/>
    <x v="1"/>
    <n v="0"/>
    <x v="6"/>
    <x v="0"/>
    <n v="10"/>
    <n v="4"/>
    <s v="Life Sciences"/>
    <n v="3"/>
    <n v="3"/>
    <x v="722"/>
    <x v="1"/>
    <n v="1"/>
    <n v="3"/>
    <x v="6"/>
    <x v="2"/>
  </r>
  <r>
    <n v="22535909"/>
    <x v="14"/>
    <x v="1"/>
    <s v="Married"/>
    <x v="1"/>
    <n v="0"/>
    <x v="6"/>
    <x v="0"/>
    <n v="10"/>
    <n v="1"/>
    <s v="Medical"/>
    <n v="4"/>
    <n v="2"/>
    <x v="723"/>
    <x v="1"/>
    <n v="1"/>
    <n v="3"/>
    <x v="6"/>
    <x v="2"/>
  </r>
  <r>
    <n v="65821779"/>
    <x v="8"/>
    <x v="1"/>
    <s v="Married"/>
    <x v="1"/>
    <n v="0"/>
    <x v="1"/>
    <x v="1"/>
    <n v="3"/>
    <n v="4"/>
    <s v="Other"/>
    <n v="3"/>
    <n v="3"/>
    <x v="724"/>
    <x v="1"/>
    <n v="3"/>
    <n v="3"/>
    <x v="4"/>
    <x v="2"/>
  </r>
  <r>
    <n v="47108643"/>
    <x v="24"/>
    <x v="1"/>
    <s v="Married"/>
    <x v="1"/>
    <n v="0"/>
    <x v="7"/>
    <x v="1"/>
    <n v="2"/>
    <n v="4"/>
    <s v="Medical"/>
    <n v="2"/>
    <n v="3"/>
    <x v="725"/>
    <x v="4"/>
    <n v="2"/>
    <n v="2"/>
    <x v="3"/>
    <x v="0"/>
  </r>
  <r>
    <n v="21743074"/>
    <x v="2"/>
    <x v="0"/>
    <s v="Single"/>
    <x v="1"/>
    <n v="0"/>
    <x v="4"/>
    <x v="1"/>
    <n v="3"/>
    <n v="3"/>
    <s v="Other"/>
    <n v="4"/>
    <n v="2"/>
    <x v="726"/>
    <x v="1"/>
    <n v="3"/>
    <n v="2"/>
    <x v="9"/>
    <x v="2"/>
  </r>
  <r>
    <n v="53221042"/>
    <x v="32"/>
    <x v="1"/>
    <s v="Married"/>
    <x v="1"/>
    <n v="0"/>
    <x v="0"/>
    <x v="0"/>
    <n v="26"/>
    <n v="3"/>
    <s v="Marketing"/>
    <n v="3"/>
    <n v="1"/>
    <x v="727"/>
    <x v="0"/>
    <n v="1"/>
    <n v="2"/>
    <x v="5"/>
    <x v="0"/>
  </r>
  <r>
    <n v="84647287"/>
    <x v="25"/>
    <x v="0"/>
    <s v="Divorced"/>
    <x v="1"/>
    <n v="0"/>
    <x v="1"/>
    <x v="1"/>
    <n v="1"/>
    <n v="1"/>
    <s v="Medical"/>
    <n v="1"/>
    <n v="3"/>
    <x v="728"/>
    <x v="1"/>
    <n v="1"/>
    <n v="3"/>
    <x v="8"/>
    <x v="0"/>
  </r>
  <r>
    <n v="33609362"/>
    <x v="21"/>
    <x v="1"/>
    <s v="Divorced"/>
    <x v="1"/>
    <n v="0"/>
    <x v="7"/>
    <x v="1"/>
    <n v="1"/>
    <n v="4"/>
    <s v="Medical"/>
    <n v="4"/>
    <n v="4"/>
    <x v="729"/>
    <x v="4"/>
    <n v="9"/>
    <n v="3"/>
    <x v="4"/>
    <x v="2"/>
  </r>
  <r>
    <n v="50763117"/>
    <x v="33"/>
    <x v="0"/>
    <s v="Married"/>
    <x v="1"/>
    <n v="0"/>
    <x v="0"/>
    <x v="0"/>
    <n v="2"/>
    <n v="4"/>
    <s v="Life Sciences"/>
    <n v="3"/>
    <n v="3"/>
    <x v="730"/>
    <x v="2"/>
    <n v="6"/>
    <n v="3"/>
    <x v="7"/>
    <x v="0"/>
  </r>
  <r>
    <n v="53000558"/>
    <x v="29"/>
    <x v="0"/>
    <s v="Married"/>
    <x v="1"/>
    <n v="0"/>
    <x v="1"/>
    <x v="1"/>
    <n v="9"/>
    <n v="3"/>
    <s v="Medical"/>
    <n v="1"/>
    <n v="3"/>
    <x v="131"/>
    <x v="1"/>
    <n v="2"/>
    <n v="3"/>
    <x v="8"/>
    <x v="0"/>
  </r>
  <r>
    <n v="47129640"/>
    <x v="9"/>
    <x v="0"/>
    <s v="Single"/>
    <x v="1"/>
    <n v="0"/>
    <x v="3"/>
    <x v="1"/>
    <n v="12"/>
    <n v="5"/>
    <s v="Medical"/>
    <n v="4"/>
    <n v="4"/>
    <x v="731"/>
    <x v="0"/>
    <n v="0"/>
    <n v="2"/>
    <x v="13"/>
    <x v="1"/>
  </r>
  <r>
    <n v="76313034"/>
    <x v="27"/>
    <x v="1"/>
    <s v="Single"/>
    <x v="1"/>
    <n v="0"/>
    <x v="5"/>
    <x v="1"/>
    <n v="2"/>
    <n v="1"/>
    <s v="Medical"/>
    <n v="3"/>
    <n v="1"/>
    <x v="732"/>
    <x v="3"/>
    <n v="7"/>
    <n v="4"/>
    <x v="7"/>
    <x v="0"/>
  </r>
  <r>
    <n v="13744607"/>
    <x v="23"/>
    <x v="1"/>
    <s v="Divorced"/>
    <x v="1"/>
    <n v="0"/>
    <x v="0"/>
    <x v="0"/>
    <n v="25"/>
    <n v="3"/>
    <s v="Medical"/>
    <n v="3"/>
    <n v="4"/>
    <x v="733"/>
    <x v="2"/>
    <n v="5"/>
    <n v="3"/>
    <x v="6"/>
    <x v="2"/>
  </r>
  <r>
    <n v="52556922"/>
    <x v="35"/>
    <x v="0"/>
    <s v="Single"/>
    <x v="0"/>
    <n v="1"/>
    <x v="6"/>
    <x v="0"/>
    <n v="9"/>
    <n v="3"/>
    <s v="Marketing"/>
    <n v="4"/>
    <n v="4"/>
    <x v="157"/>
    <x v="1"/>
    <n v="1"/>
    <n v="3"/>
    <x v="4"/>
    <x v="2"/>
  </r>
  <r>
    <n v="47416210"/>
    <x v="18"/>
    <x v="0"/>
    <s v="Single"/>
    <x v="0"/>
    <n v="1"/>
    <x v="2"/>
    <x v="1"/>
    <n v="10"/>
    <n v="3"/>
    <s v="Life Sciences"/>
    <n v="3"/>
    <n v="1"/>
    <x v="734"/>
    <x v="1"/>
    <n v="1"/>
    <n v="2"/>
    <x v="6"/>
    <x v="2"/>
  </r>
  <r>
    <n v="42576855"/>
    <x v="21"/>
    <x v="0"/>
    <s v="Divorced"/>
    <x v="1"/>
    <n v="0"/>
    <x v="1"/>
    <x v="1"/>
    <n v="8"/>
    <n v="4"/>
    <s v="Life Sciences"/>
    <n v="4"/>
    <n v="1"/>
    <x v="735"/>
    <x v="1"/>
    <n v="8"/>
    <n v="3"/>
    <x v="22"/>
    <x v="5"/>
  </r>
  <r>
    <n v="88505691"/>
    <x v="31"/>
    <x v="1"/>
    <s v="Married"/>
    <x v="0"/>
    <n v="1"/>
    <x v="1"/>
    <x v="1"/>
    <n v="4"/>
    <n v="4"/>
    <s v="Life Sciences"/>
    <n v="1"/>
    <n v="3"/>
    <x v="736"/>
    <x v="1"/>
    <n v="9"/>
    <n v="4"/>
    <x v="1"/>
    <x v="1"/>
  </r>
  <r>
    <n v="55181939"/>
    <x v="14"/>
    <x v="1"/>
    <s v="Single"/>
    <x v="0"/>
    <n v="1"/>
    <x v="4"/>
    <x v="1"/>
    <n v="24"/>
    <n v="2"/>
    <s v="Technical Degree"/>
    <n v="2"/>
    <n v="1"/>
    <x v="737"/>
    <x v="0"/>
    <n v="1"/>
    <n v="2"/>
    <x v="1"/>
    <x v="1"/>
  </r>
  <r>
    <n v="42276217"/>
    <x v="25"/>
    <x v="1"/>
    <s v="Married"/>
    <x v="1"/>
    <n v="0"/>
    <x v="2"/>
    <x v="1"/>
    <n v="1"/>
    <n v="2"/>
    <s v="Medical"/>
    <n v="1"/>
    <n v="1"/>
    <x v="738"/>
    <x v="1"/>
    <n v="1"/>
    <n v="3"/>
    <x v="8"/>
    <x v="0"/>
  </r>
  <r>
    <n v="66058372"/>
    <x v="7"/>
    <x v="1"/>
    <s v="Married"/>
    <x v="1"/>
    <n v="0"/>
    <x v="3"/>
    <x v="1"/>
    <n v="20"/>
    <n v="3"/>
    <s v="Other"/>
    <n v="3"/>
    <n v="1"/>
    <x v="739"/>
    <x v="2"/>
    <n v="0"/>
    <n v="2"/>
    <x v="0"/>
    <x v="0"/>
  </r>
  <r>
    <n v="82177102"/>
    <x v="0"/>
    <x v="0"/>
    <s v="Married"/>
    <x v="1"/>
    <n v="0"/>
    <x v="1"/>
    <x v="1"/>
    <n v="7"/>
    <n v="2"/>
    <s v="Technical Degree"/>
    <n v="2"/>
    <n v="3"/>
    <x v="740"/>
    <x v="1"/>
    <n v="1"/>
    <n v="3"/>
    <x v="1"/>
    <x v="1"/>
  </r>
  <r>
    <n v="33885669"/>
    <x v="8"/>
    <x v="0"/>
    <s v="Married"/>
    <x v="1"/>
    <n v="0"/>
    <x v="4"/>
    <x v="1"/>
    <n v="17"/>
    <n v="1"/>
    <s v="Life Sciences"/>
    <n v="3"/>
    <n v="3"/>
    <x v="741"/>
    <x v="0"/>
    <n v="0"/>
    <n v="2"/>
    <x v="27"/>
    <x v="5"/>
  </r>
  <r>
    <n v="52017523"/>
    <x v="32"/>
    <x v="1"/>
    <s v="Married"/>
    <x v="1"/>
    <n v="0"/>
    <x v="4"/>
    <x v="1"/>
    <n v="20"/>
    <n v="4"/>
    <s v="Technical Degree"/>
    <n v="1"/>
    <n v="4"/>
    <x v="742"/>
    <x v="2"/>
    <n v="4"/>
    <n v="3"/>
    <x v="19"/>
    <x v="1"/>
  </r>
  <r>
    <n v="53472468"/>
    <x v="4"/>
    <x v="1"/>
    <s v="Married"/>
    <x v="1"/>
    <n v="0"/>
    <x v="2"/>
    <x v="1"/>
    <n v="8"/>
    <n v="5"/>
    <s v="Life Sciences"/>
    <n v="1"/>
    <n v="3"/>
    <x v="743"/>
    <x v="1"/>
    <n v="1"/>
    <n v="3"/>
    <x v="11"/>
    <x v="2"/>
  </r>
  <r>
    <n v="70789306"/>
    <x v="27"/>
    <x v="1"/>
    <s v="Married"/>
    <x v="1"/>
    <n v="0"/>
    <x v="3"/>
    <x v="1"/>
    <n v="2"/>
    <n v="1"/>
    <s v="Life Sciences"/>
    <n v="4"/>
    <n v="2"/>
    <x v="744"/>
    <x v="2"/>
    <n v="3"/>
    <n v="3"/>
    <x v="11"/>
    <x v="2"/>
  </r>
  <r>
    <n v="86025067"/>
    <x v="14"/>
    <x v="0"/>
    <s v="Single"/>
    <x v="1"/>
    <n v="0"/>
    <x v="1"/>
    <x v="1"/>
    <n v="10"/>
    <n v="3"/>
    <s v="Other"/>
    <n v="3"/>
    <n v="3"/>
    <x v="745"/>
    <x v="1"/>
    <n v="3"/>
    <n v="4"/>
    <x v="3"/>
    <x v="0"/>
  </r>
  <r>
    <n v="39037305"/>
    <x v="20"/>
    <x v="1"/>
    <s v="Married"/>
    <x v="0"/>
    <n v="1"/>
    <x v="8"/>
    <x v="2"/>
    <n v="1"/>
    <n v="2"/>
    <s v="Medical"/>
    <n v="2"/>
    <n v="1"/>
    <x v="746"/>
    <x v="2"/>
    <n v="9"/>
    <n v="3"/>
    <x v="23"/>
    <x v="4"/>
  </r>
  <r>
    <n v="81012629"/>
    <x v="3"/>
    <x v="1"/>
    <s v="Divorced"/>
    <x v="1"/>
    <n v="0"/>
    <x v="4"/>
    <x v="1"/>
    <n v="5"/>
    <n v="3"/>
    <s v="Life Sciences"/>
    <n v="4"/>
    <n v="4"/>
    <x v="747"/>
    <x v="0"/>
    <n v="4"/>
    <n v="3"/>
    <x v="11"/>
    <x v="2"/>
  </r>
  <r>
    <n v="24809117"/>
    <x v="10"/>
    <x v="1"/>
    <s v="Single"/>
    <x v="0"/>
    <n v="1"/>
    <x v="0"/>
    <x v="0"/>
    <n v="4"/>
    <n v="3"/>
    <s v="Technical Degree"/>
    <n v="4"/>
    <n v="1"/>
    <x v="748"/>
    <x v="2"/>
    <n v="0"/>
    <n v="3"/>
    <x v="3"/>
    <x v="0"/>
  </r>
  <r>
    <n v="85779213"/>
    <x v="3"/>
    <x v="0"/>
    <s v="Single"/>
    <x v="0"/>
    <n v="1"/>
    <x v="1"/>
    <x v="1"/>
    <n v="29"/>
    <n v="4"/>
    <s v="Medical"/>
    <n v="1"/>
    <n v="3"/>
    <x v="749"/>
    <x v="1"/>
    <n v="1"/>
    <n v="3"/>
    <x v="20"/>
    <x v="1"/>
  </r>
  <r>
    <n v="28906976"/>
    <x v="14"/>
    <x v="1"/>
    <s v="Divorced"/>
    <x v="1"/>
    <n v="0"/>
    <x v="2"/>
    <x v="1"/>
    <n v="15"/>
    <n v="2"/>
    <s v="Life Sciences"/>
    <n v="1"/>
    <n v="3"/>
    <x v="750"/>
    <x v="1"/>
    <n v="1"/>
    <n v="2"/>
    <x v="9"/>
    <x v="2"/>
  </r>
  <r>
    <n v="37613246"/>
    <x v="13"/>
    <x v="1"/>
    <s v="Single"/>
    <x v="1"/>
    <n v="0"/>
    <x v="4"/>
    <x v="1"/>
    <n v="3"/>
    <n v="1"/>
    <s v="Life Sciences"/>
    <n v="1"/>
    <n v="4"/>
    <x v="751"/>
    <x v="0"/>
    <n v="0"/>
    <n v="2"/>
    <x v="0"/>
    <x v="0"/>
  </r>
  <r>
    <n v="38603547"/>
    <x v="2"/>
    <x v="0"/>
    <s v="Divorced"/>
    <x v="1"/>
    <n v="0"/>
    <x v="0"/>
    <x v="0"/>
    <n v="10"/>
    <n v="4"/>
    <s v="Life Sciences"/>
    <n v="4"/>
    <n v="4"/>
    <x v="752"/>
    <x v="0"/>
    <n v="2"/>
    <n v="3"/>
    <x v="6"/>
    <x v="2"/>
  </r>
  <r>
    <n v="58688925"/>
    <x v="36"/>
    <x v="1"/>
    <s v="Married"/>
    <x v="0"/>
    <n v="1"/>
    <x v="2"/>
    <x v="1"/>
    <n v="4"/>
    <n v="1"/>
    <s v="Technical Degree"/>
    <n v="4"/>
    <n v="4"/>
    <x v="753"/>
    <x v="1"/>
    <n v="1"/>
    <n v="4"/>
    <x v="5"/>
    <x v="0"/>
  </r>
  <r>
    <n v="41886821"/>
    <x v="25"/>
    <x v="1"/>
    <s v="Divorced"/>
    <x v="0"/>
    <n v="1"/>
    <x v="2"/>
    <x v="1"/>
    <n v="21"/>
    <n v="3"/>
    <s v="Medical"/>
    <n v="1"/>
    <n v="3"/>
    <x v="638"/>
    <x v="1"/>
    <n v="1"/>
    <n v="2"/>
    <x v="6"/>
    <x v="2"/>
  </r>
  <r>
    <n v="36008161"/>
    <x v="3"/>
    <x v="1"/>
    <s v="Single"/>
    <x v="0"/>
    <n v="1"/>
    <x v="1"/>
    <x v="1"/>
    <n v="25"/>
    <n v="3"/>
    <s v="Medical"/>
    <n v="1"/>
    <n v="2"/>
    <x v="754"/>
    <x v="1"/>
    <n v="4"/>
    <n v="3"/>
    <x v="4"/>
    <x v="2"/>
  </r>
  <r>
    <n v="23387566"/>
    <x v="19"/>
    <x v="1"/>
    <s v="Married"/>
    <x v="1"/>
    <n v="0"/>
    <x v="5"/>
    <x v="1"/>
    <n v="2"/>
    <n v="2"/>
    <s v="Medical"/>
    <n v="4"/>
    <n v="1"/>
    <x v="755"/>
    <x v="4"/>
    <n v="0"/>
    <n v="3"/>
    <x v="14"/>
    <x v="4"/>
  </r>
  <r>
    <n v="43629790"/>
    <x v="14"/>
    <x v="1"/>
    <s v="Divorced"/>
    <x v="0"/>
    <n v="1"/>
    <x v="2"/>
    <x v="1"/>
    <n v="1"/>
    <n v="3"/>
    <s v="Medical"/>
    <n v="1"/>
    <n v="2"/>
    <x v="756"/>
    <x v="1"/>
    <n v="1"/>
    <n v="3"/>
    <x v="6"/>
    <x v="2"/>
  </r>
  <r>
    <n v="31820360"/>
    <x v="24"/>
    <x v="1"/>
    <s v="Single"/>
    <x v="0"/>
    <n v="1"/>
    <x v="0"/>
    <x v="0"/>
    <n v="1"/>
    <n v="4"/>
    <s v="Other"/>
    <n v="4"/>
    <n v="3"/>
    <x v="757"/>
    <x v="1"/>
    <n v="3"/>
    <n v="3"/>
    <x v="2"/>
    <x v="2"/>
  </r>
  <r>
    <n v="27336110"/>
    <x v="3"/>
    <x v="0"/>
    <s v="Married"/>
    <x v="1"/>
    <n v="0"/>
    <x v="0"/>
    <x v="0"/>
    <n v="7"/>
    <n v="3"/>
    <s v="Life Sciences"/>
    <n v="4"/>
    <n v="2"/>
    <x v="758"/>
    <x v="1"/>
    <n v="0"/>
    <n v="3"/>
    <x v="11"/>
    <x v="2"/>
  </r>
  <r>
    <n v="42972825"/>
    <x v="13"/>
    <x v="1"/>
    <s v="Married"/>
    <x v="1"/>
    <n v="0"/>
    <x v="1"/>
    <x v="1"/>
    <n v="3"/>
    <n v="4"/>
    <s v="Life Sciences"/>
    <n v="3"/>
    <n v="4"/>
    <x v="759"/>
    <x v="1"/>
    <n v="3"/>
    <n v="3"/>
    <x v="2"/>
    <x v="2"/>
  </r>
  <r>
    <n v="59521099"/>
    <x v="26"/>
    <x v="1"/>
    <s v="Single"/>
    <x v="1"/>
    <n v="0"/>
    <x v="5"/>
    <x v="1"/>
    <n v="1"/>
    <n v="4"/>
    <s v="Medical"/>
    <n v="1"/>
    <n v="4"/>
    <x v="760"/>
    <x v="3"/>
    <n v="2"/>
    <n v="2"/>
    <x v="8"/>
    <x v="0"/>
  </r>
  <r>
    <n v="84822439"/>
    <x v="28"/>
    <x v="0"/>
    <s v="Married"/>
    <x v="1"/>
    <n v="0"/>
    <x v="0"/>
    <x v="0"/>
    <n v="9"/>
    <n v="4"/>
    <s v="Life Sciences"/>
    <n v="2"/>
    <n v="3"/>
    <x v="761"/>
    <x v="0"/>
    <n v="1"/>
    <n v="3"/>
    <x v="15"/>
    <x v="5"/>
  </r>
  <r>
    <n v="78130150"/>
    <x v="39"/>
    <x v="1"/>
    <s v="Single"/>
    <x v="1"/>
    <n v="0"/>
    <x v="4"/>
    <x v="1"/>
    <n v="7"/>
    <n v="4"/>
    <s v="Life Sciences"/>
    <n v="2"/>
    <n v="2"/>
    <x v="762"/>
    <x v="2"/>
    <n v="7"/>
    <n v="3"/>
    <x v="3"/>
    <x v="0"/>
  </r>
  <r>
    <n v="55921921"/>
    <x v="8"/>
    <x v="1"/>
    <s v="Divorced"/>
    <x v="1"/>
    <n v="0"/>
    <x v="0"/>
    <x v="0"/>
    <n v="10"/>
    <n v="4"/>
    <s v="Marketing"/>
    <n v="3"/>
    <n v="3"/>
    <x v="763"/>
    <x v="0"/>
    <n v="0"/>
    <n v="3"/>
    <x v="3"/>
    <x v="0"/>
  </r>
  <r>
    <n v="83112661"/>
    <x v="11"/>
    <x v="0"/>
    <s v="Divorced"/>
    <x v="1"/>
    <n v="0"/>
    <x v="1"/>
    <x v="1"/>
    <n v="28"/>
    <n v="4"/>
    <s v="Life Sciences"/>
    <n v="3"/>
    <n v="4"/>
    <x v="764"/>
    <x v="1"/>
    <n v="4"/>
    <n v="3"/>
    <x v="5"/>
    <x v="0"/>
  </r>
  <r>
    <n v="36442652"/>
    <x v="14"/>
    <x v="0"/>
    <s v="Divorced"/>
    <x v="1"/>
    <n v="0"/>
    <x v="3"/>
    <x v="1"/>
    <n v="3"/>
    <n v="3"/>
    <s v="Medical"/>
    <n v="4"/>
    <n v="2"/>
    <x v="765"/>
    <x v="0"/>
    <n v="0"/>
    <n v="2"/>
    <x v="7"/>
    <x v="0"/>
  </r>
  <r>
    <n v="62947211"/>
    <x v="21"/>
    <x v="1"/>
    <s v="Married"/>
    <x v="1"/>
    <n v="0"/>
    <x v="5"/>
    <x v="0"/>
    <n v="3"/>
    <n v="1"/>
    <s v="Marketing"/>
    <n v="1"/>
    <n v="3"/>
    <x v="766"/>
    <x v="4"/>
    <n v="3"/>
    <n v="3"/>
    <x v="12"/>
    <x v="1"/>
  </r>
  <r>
    <n v="43723094"/>
    <x v="8"/>
    <x v="1"/>
    <s v="Single"/>
    <x v="1"/>
    <n v="0"/>
    <x v="0"/>
    <x v="0"/>
    <n v="2"/>
    <n v="2"/>
    <s v="Marketing"/>
    <n v="4"/>
    <n v="2"/>
    <x v="767"/>
    <x v="0"/>
    <n v="7"/>
    <n v="3"/>
    <x v="6"/>
    <x v="2"/>
  </r>
  <r>
    <n v="29867509"/>
    <x v="23"/>
    <x v="0"/>
    <s v="Married"/>
    <x v="1"/>
    <n v="0"/>
    <x v="3"/>
    <x v="1"/>
    <n v="27"/>
    <n v="3"/>
    <s v="Life Sciences"/>
    <n v="3"/>
    <n v="1"/>
    <x v="768"/>
    <x v="2"/>
    <n v="8"/>
    <n v="3"/>
    <x v="3"/>
    <x v="0"/>
  </r>
  <r>
    <n v="57325658"/>
    <x v="22"/>
    <x v="1"/>
    <s v="Divorced"/>
    <x v="0"/>
    <n v="1"/>
    <x v="4"/>
    <x v="1"/>
    <n v="2"/>
    <n v="3"/>
    <s v="Life Sciences"/>
    <n v="1"/>
    <n v="4"/>
    <x v="769"/>
    <x v="2"/>
    <n v="7"/>
    <n v="3"/>
    <x v="29"/>
    <x v="5"/>
  </r>
  <r>
    <n v="21460751"/>
    <x v="32"/>
    <x v="1"/>
    <s v="Single"/>
    <x v="1"/>
    <n v="0"/>
    <x v="7"/>
    <x v="1"/>
    <n v="14"/>
    <n v="3"/>
    <s v="Medical"/>
    <n v="3"/>
    <n v="3"/>
    <x v="770"/>
    <x v="4"/>
    <n v="1"/>
    <n v="4"/>
    <x v="23"/>
    <x v="4"/>
  </r>
  <r>
    <n v="52729539"/>
    <x v="18"/>
    <x v="0"/>
    <s v="Single"/>
    <x v="1"/>
    <n v="0"/>
    <x v="1"/>
    <x v="1"/>
    <n v="1"/>
    <n v="1"/>
    <s v="Technical Degree"/>
    <n v="4"/>
    <n v="2"/>
    <x v="266"/>
    <x v="1"/>
    <n v="1"/>
    <n v="4"/>
    <x v="4"/>
    <x v="2"/>
  </r>
  <r>
    <n v="55170594"/>
    <x v="22"/>
    <x v="1"/>
    <s v="Single"/>
    <x v="1"/>
    <n v="0"/>
    <x v="2"/>
    <x v="1"/>
    <n v="9"/>
    <n v="3"/>
    <s v="Life Sciences"/>
    <n v="3"/>
    <n v="2"/>
    <x v="771"/>
    <x v="0"/>
    <n v="9"/>
    <n v="2"/>
    <x v="8"/>
    <x v="0"/>
  </r>
  <r>
    <n v="73968703"/>
    <x v="9"/>
    <x v="1"/>
    <s v="Single"/>
    <x v="1"/>
    <n v="0"/>
    <x v="3"/>
    <x v="1"/>
    <n v="18"/>
    <n v="4"/>
    <s v="Life Sciences"/>
    <n v="1"/>
    <n v="4"/>
    <x v="772"/>
    <x v="0"/>
    <n v="2"/>
    <n v="3"/>
    <x v="19"/>
    <x v="1"/>
  </r>
  <r>
    <n v="36688619"/>
    <x v="12"/>
    <x v="1"/>
    <s v="Married"/>
    <x v="1"/>
    <n v="0"/>
    <x v="6"/>
    <x v="0"/>
    <n v="20"/>
    <n v="3"/>
    <s v="Life Sciences"/>
    <n v="3"/>
    <n v="4"/>
    <x v="773"/>
    <x v="1"/>
    <n v="0"/>
    <n v="3"/>
    <x v="4"/>
    <x v="2"/>
  </r>
  <r>
    <n v="66323379"/>
    <x v="14"/>
    <x v="1"/>
    <s v="Married"/>
    <x v="1"/>
    <n v="0"/>
    <x v="1"/>
    <x v="1"/>
    <n v="2"/>
    <n v="1"/>
    <s v="Life Sciences"/>
    <n v="1"/>
    <n v="2"/>
    <x v="774"/>
    <x v="1"/>
    <n v="0"/>
    <n v="1"/>
    <x v="8"/>
    <x v="0"/>
  </r>
  <r>
    <n v="15101277"/>
    <x v="10"/>
    <x v="1"/>
    <s v="Divorced"/>
    <x v="1"/>
    <n v="0"/>
    <x v="0"/>
    <x v="0"/>
    <n v="11"/>
    <n v="2"/>
    <s v="Marketing"/>
    <n v="4"/>
    <n v="4"/>
    <x v="775"/>
    <x v="1"/>
    <n v="1"/>
    <n v="3"/>
    <x v="8"/>
    <x v="0"/>
  </r>
  <r>
    <n v="20982434"/>
    <x v="1"/>
    <x v="1"/>
    <s v="Married"/>
    <x v="1"/>
    <n v="0"/>
    <x v="0"/>
    <x v="0"/>
    <n v="8"/>
    <n v="4"/>
    <s v="Technical Degree"/>
    <n v="4"/>
    <n v="2"/>
    <x v="776"/>
    <x v="3"/>
    <n v="6"/>
    <n v="3"/>
    <x v="7"/>
    <x v="0"/>
  </r>
  <r>
    <n v="70307518"/>
    <x v="13"/>
    <x v="1"/>
    <s v="Single"/>
    <x v="1"/>
    <n v="0"/>
    <x v="3"/>
    <x v="1"/>
    <n v="2"/>
    <n v="2"/>
    <s v="Life Sciences"/>
    <n v="4"/>
    <n v="3"/>
    <x v="777"/>
    <x v="1"/>
    <n v="2"/>
    <n v="2"/>
    <x v="11"/>
    <x v="2"/>
  </r>
  <r>
    <n v="44256365"/>
    <x v="11"/>
    <x v="0"/>
    <s v="Divorced"/>
    <x v="1"/>
    <n v="0"/>
    <x v="1"/>
    <x v="1"/>
    <n v="10"/>
    <n v="3"/>
    <s v="Life Sciences"/>
    <n v="4"/>
    <n v="2"/>
    <x v="778"/>
    <x v="1"/>
    <n v="0"/>
    <n v="2"/>
    <x v="5"/>
    <x v="0"/>
  </r>
  <r>
    <n v="76851243"/>
    <x v="19"/>
    <x v="1"/>
    <s v="Single"/>
    <x v="1"/>
    <n v="0"/>
    <x v="2"/>
    <x v="1"/>
    <n v="29"/>
    <n v="3"/>
    <s v="Medical"/>
    <n v="2"/>
    <n v="4"/>
    <x v="779"/>
    <x v="1"/>
    <n v="4"/>
    <n v="3"/>
    <x v="6"/>
    <x v="2"/>
  </r>
  <r>
    <n v="73610297"/>
    <x v="11"/>
    <x v="1"/>
    <s v="Married"/>
    <x v="1"/>
    <n v="0"/>
    <x v="3"/>
    <x v="1"/>
    <n v="8"/>
    <n v="1"/>
    <s v="Medical"/>
    <n v="2"/>
    <n v="4"/>
    <x v="780"/>
    <x v="0"/>
    <n v="1"/>
    <n v="2"/>
    <x v="1"/>
    <x v="1"/>
  </r>
  <r>
    <n v="47920351"/>
    <x v="8"/>
    <x v="1"/>
    <s v="Married"/>
    <x v="1"/>
    <n v="0"/>
    <x v="8"/>
    <x v="2"/>
    <n v="1"/>
    <n v="3"/>
    <s v="Human Resources"/>
    <n v="3"/>
    <n v="3"/>
    <x v="781"/>
    <x v="1"/>
    <n v="1"/>
    <n v="4"/>
    <x v="5"/>
    <x v="0"/>
  </r>
  <r>
    <n v="61469637"/>
    <x v="14"/>
    <x v="1"/>
    <s v="Divorced"/>
    <x v="1"/>
    <n v="0"/>
    <x v="1"/>
    <x v="1"/>
    <n v="6"/>
    <n v="3"/>
    <s v="Life Sciences"/>
    <n v="3"/>
    <n v="3"/>
    <x v="68"/>
    <x v="1"/>
    <n v="1"/>
    <n v="3"/>
    <x v="11"/>
    <x v="2"/>
  </r>
  <r>
    <n v="19682505"/>
    <x v="41"/>
    <x v="1"/>
    <s v="Single"/>
    <x v="0"/>
    <n v="1"/>
    <x v="2"/>
    <x v="1"/>
    <n v="8"/>
    <n v="1"/>
    <s v="Medical"/>
    <n v="3"/>
    <n v="3"/>
    <x v="782"/>
    <x v="1"/>
    <n v="1"/>
    <n v="3"/>
    <x v="2"/>
    <x v="2"/>
  </r>
  <r>
    <n v="10932889"/>
    <x v="3"/>
    <x v="0"/>
    <s v="Single"/>
    <x v="0"/>
    <n v="1"/>
    <x v="0"/>
    <x v="0"/>
    <n v="9"/>
    <n v="4"/>
    <s v="Marketing"/>
    <n v="1"/>
    <n v="1"/>
    <x v="783"/>
    <x v="0"/>
    <n v="0"/>
    <n v="3"/>
    <x v="8"/>
    <x v="0"/>
  </r>
  <r>
    <n v="44269318"/>
    <x v="0"/>
    <x v="1"/>
    <s v="Married"/>
    <x v="1"/>
    <n v="0"/>
    <x v="2"/>
    <x v="1"/>
    <n v="12"/>
    <n v="4"/>
    <s v="Life Sciences"/>
    <n v="2"/>
    <n v="4"/>
    <x v="784"/>
    <x v="1"/>
    <n v="3"/>
    <n v="3"/>
    <x v="6"/>
    <x v="2"/>
  </r>
  <r>
    <n v="12021644"/>
    <x v="12"/>
    <x v="1"/>
    <s v="Married"/>
    <x v="0"/>
    <n v="1"/>
    <x v="2"/>
    <x v="1"/>
    <n v="15"/>
    <n v="3"/>
    <s v="Medical"/>
    <n v="3"/>
    <n v="3"/>
    <x v="353"/>
    <x v="1"/>
    <n v="1"/>
    <n v="2"/>
    <x v="4"/>
    <x v="2"/>
  </r>
  <r>
    <n v="16339866"/>
    <x v="2"/>
    <x v="0"/>
    <s v="Divorced"/>
    <x v="1"/>
    <n v="0"/>
    <x v="4"/>
    <x v="1"/>
    <n v="25"/>
    <n v="2"/>
    <s v="Medical"/>
    <n v="3"/>
    <n v="4"/>
    <x v="785"/>
    <x v="0"/>
    <n v="7"/>
    <n v="3"/>
    <x v="0"/>
    <x v="0"/>
  </r>
  <r>
    <n v="33358611"/>
    <x v="4"/>
    <x v="1"/>
    <s v="Married"/>
    <x v="1"/>
    <n v="0"/>
    <x v="1"/>
    <x v="1"/>
    <n v="6"/>
    <n v="3"/>
    <s v="Life Sciences"/>
    <n v="4"/>
    <n v="3"/>
    <x v="786"/>
    <x v="1"/>
    <n v="1"/>
    <n v="3"/>
    <x v="9"/>
    <x v="2"/>
  </r>
  <r>
    <n v="89644298"/>
    <x v="13"/>
    <x v="0"/>
    <s v="Married"/>
    <x v="1"/>
    <n v="0"/>
    <x v="0"/>
    <x v="0"/>
    <n v="9"/>
    <n v="1"/>
    <s v="Life Sciences"/>
    <n v="2"/>
    <n v="3"/>
    <x v="787"/>
    <x v="0"/>
    <n v="1"/>
    <n v="2"/>
    <x v="0"/>
    <x v="0"/>
  </r>
  <r>
    <n v="34499101"/>
    <x v="10"/>
    <x v="1"/>
    <s v="Single"/>
    <x v="1"/>
    <n v="0"/>
    <x v="8"/>
    <x v="2"/>
    <n v="8"/>
    <n v="4"/>
    <s v="Technical Degree"/>
    <n v="3"/>
    <n v="3"/>
    <x v="788"/>
    <x v="1"/>
    <n v="1"/>
    <n v="1"/>
    <x v="8"/>
    <x v="0"/>
  </r>
  <r>
    <n v="27043685"/>
    <x v="11"/>
    <x v="0"/>
    <s v="Married"/>
    <x v="0"/>
    <n v="1"/>
    <x v="0"/>
    <x v="0"/>
    <n v="23"/>
    <n v="1"/>
    <s v="Life Sciences"/>
    <n v="4"/>
    <n v="1"/>
    <x v="789"/>
    <x v="0"/>
    <n v="1"/>
    <n v="1"/>
    <x v="19"/>
    <x v="1"/>
  </r>
  <r>
    <n v="64669920"/>
    <x v="32"/>
    <x v="0"/>
    <s v="Single"/>
    <x v="1"/>
    <n v="0"/>
    <x v="7"/>
    <x v="1"/>
    <n v="9"/>
    <n v="4"/>
    <s v="Medical"/>
    <n v="2"/>
    <n v="3"/>
    <x v="790"/>
    <x v="3"/>
    <n v="9"/>
    <n v="2"/>
    <x v="29"/>
    <x v="5"/>
  </r>
  <r>
    <n v="24116091"/>
    <x v="19"/>
    <x v="1"/>
    <s v="Single"/>
    <x v="0"/>
    <n v="1"/>
    <x v="0"/>
    <x v="0"/>
    <n v="12"/>
    <n v="3"/>
    <s v="Life Sciences"/>
    <n v="3"/>
    <n v="1"/>
    <x v="791"/>
    <x v="3"/>
    <n v="0"/>
    <n v="2"/>
    <x v="17"/>
    <x v="4"/>
  </r>
  <r>
    <n v="35760562"/>
    <x v="19"/>
    <x v="1"/>
    <s v="Single"/>
    <x v="1"/>
    <n v="0"/>
    <x v="0"/>
    <x v="0"/>
    <n v="4"/>
    <n v="4"/>
    <s v="Marketing"/>
    <n v="2"/>
    <n v="1"/>
    <x v="792"/>
    <x v="0"/>
    <n v="7"/>
    <n v="4"/>
    <x v="0"/>
    <x v="0"/>
  </r>
  <r>
    <n v="71016842"/>
    <x v="10"/>
    <x v="1"/>
    <s v="Married"/>
    <x v="1"/>
    <n v="0"/>
    <x v="2"/>
    <x v="1"/>
    <n v="1"/>
    <n v="4"/>
    <s v="Medical"/>
    <n v="4"/>
    <n v="3"/>
    <x v="384"/>
    <x v="1"/>
    <n v="6"/>
    <n v="3"/>
    <x v="3"/>
    <x v="0"/>
  </r>
  <r>
    <n v="36562312"/>
    <x v="17"/>
    <x v="1"/>
    <s v="Single"/>
    <x v="1"/>
    <n v="0"/>
    <x v="2"/>
    <x v="1"/>
    <n v="24"/>
    <n v="3"/>
    <s v="Medical"/>
    <n v="4"/>
    <n v="2"/>
    <x v="793"/>
    <x v="1"/>
    <n v="8"/>
    <n v="3"/>
    <x v="9"/>
    <x v="2"/>
  </r>
  <r>
    <n v="40098576"/>
    <x v="14"/>
    <x v="0"/>
    <s v="Married"/>
    <x v="0"/>
    <n v="1"/>
    <x v="2"/>
    <x v="1"/>
    <n v="12"/>
    <n v="1"/>
    <s v="Life Sciences"/>
    <n v="3"/>
    <n v="4"/>
    <x v="605"/>
    <x v="1"/>
    <n v="1"/>
    <n v="2"/>
    <x v="6"/>
    <x v="2"/>
  </r>
  <r>
    <n v="65512339"/>
    <x v="25"/>
    <x v="1"/>
    <s v="Married"/>
    <x v="1"/>
    <n v="0"/>
    <x v="2"/>
    <x v="1"/>
    <n v="3"/>
    <n v="4"/>
    <s v="Medical"/>
    <n v="1"/>
    <n v="4"/>
    <x v="794"/>
    <x v="1"/>
    <n v="1"/>
    <n v="3"/>
    <x v="3"/>
    <x v="0"/>
  </r>
  <r>
    <n v="84415862"/>
    <x v="7"/>
    <x v="1"/>
    <s v="Married"/>
    <x v="1"/>
    <n v="0"/>
    <x v="0"/>
    <x v="0"/>
    <n v="10"/>
    <n v="3"/>
    <s v="Marketing"/>
    <n v="3"/>
    <n v="3"/>
    <x v="795"/>
    <x v="0"/>
    <n v="1"/>
    <n v="3"/>
    <x v="1"/>
    <x v="1"/>
  </r>
  <r>
    <n v="32066386"/>
    <x v="32"/>
    <x v="0"/>
    <s v="Married"/>
    <x v="1"/>
    <n v="0"/>
    <x v="1"/>
    <x v="1"/>
    <n v="26"/>
    <n v="2"/>
    <s v="Medical"/>
    <n v="3"/>
    <n v="4"/>
    <x v="796"/>
    <x v="1"/>
    <n v="3"/>
    <n v="1"/>
    <x v="6"/>
    <x v="2"/>
  </r>
  <r>
    <n v="45609655"/>
    <x v="10"/>
    <x v="1"/>
    <s v="Divorced"/>
    <x v="1"/>
    <n v="0"/>
    <x v="3"/>
    <x v="1"/>
    <n v="2"/>
    <n v="3"/>
    <s v="Life Sciences"/>
    <n v="3"/>
    <n v="2"/>
    <x v="797"/>
    <x v="2"/>
    <n v="2"/>
    <n v="4"/>
    <x v="5"/>
    <x v="0"/>
  </r>
  <r>
    <n v="12691713"/>
    <x v="13"/>
    <x v="1"/>
    <s v="Single"/>
    <x v="1"/>
    <n v="0"/>
    <x v="4"/>
    <x v="1"/>
    <n v="1"/>
    <n v="3"/>
    <s v="Medical"/>
    <n v="4"/>
    <n v="1"/>
    <x v="798"/>
    <x v="0"/>
    <n v="0"/>
    <n v="3"/>
    <x v="20"/>
    <x v="1"/>
  </r>
  <r>
    <n v="63022837"/>
    <x v="10"/>
    <x v="1"/>
    <s v="Married"/>
    <x v="1"/>
    <n v="0"/>
    <x v="2"/>
    <x v="1"/>
    <n v="4"/>
    <n v="4"/>
    <s v="Other"/>
    <n v="4"/>
    <n v="4"/>
    <x v="799"/>
    <x v="1"/>
    <n v="1"/>
    <n v="4"/>
    <x v="4"/>
    <x v="2"/>
  </r>
  <r>
    <n v="10936676"/>
    <x v="23"/>
    <x v="0"/>
    <s v="Single"/>
    <x v="0"/>
    <n v="1"/>
    <x v="0"/>
    <x v="0"/>
    <n v="9"/>
    <n v="3"/>
    <s v="Marketing"/>
    <n v="1"/>
    <n v="3"/>
    <x v="800"/>
    <x v="0"/>
    <n v="8"/>
    <n v="2"/>
    <x v="9"/>
    <x v="2"/>
  </r>
  <r>
    <n v="85798170"/>
    <x v="5"/>
    <x v="0"/>
    <s v="Divorced"/>
    <x v="1"/>
    <n v="0"/>
    <x v="6"/>
    <x v="0"/>
    <n v="2"/>
    <n v="1"/>
    <s v="Life Sciences"/>
    <n v="3"/>
    <n v="1"/>
    <x v="801"/>
    <x v="1"/>
    <n v="1"/>
    <n v="3"/>
    <x v="6"/>
    <x v="2"/>
  </r>
  <r>
    <n v="62250782"/>
    <x v="29"/>
    <x v="0"/>
    <s v="Divorced"/>
    <x v="1"/>
    <n v="0"/>
    <x v="5"/>
    <x v="1"/>
    <n v="4"/>
    <n v="4"/>
    <s v="Technical Degree"/>
    <n v="4"/>
    <n v="1"/>
    <x v="802"/>
    <x v="4"/>
    <n v="4"/>
    <n v="3"/>
    <x v="8"/>
    <x v="0"/>
  </r>
  <r>
    <n v="27379399"/>
    <x v="11"/>
    <x v="0"/>
    <s v="Married"/>
    <x v="1"/>
    <n v="0"/>
    <x v="2"/>
    <x v="1"/>
    <n v="6"/>
    <n v="1"/>
    <s v="Medical"/>
    <n v="2"/>
    <n v="4"/>
    <x v="803"/>
    <x v="1"/>
    <n v="1"/>
    <n v="3"/>
    <x v="1"/>
    <x v="1"/>
  </r>
  <r>
    <n v="44483626"/>
    <x v="37"/>
    <x v="1"/>
    <s v="Single"/>
    <x v="1"/>
    <n v="0"/>
    <x v="1"/>
    <x v="1"/>
    <n v="9"/>
    <n v="2"/>
    <s v="Life Sciences"/>
    <n v="3"/>
    <n v="1"/>
    <x v="804"/>
    <x v="1"/>
    <n v="1"/>
    <n v="3"/>
    <x v="6"/>
    <x v="2"/>
  </r>
  <r>
    <n v="80635018"/>
    <x v="28"/>
    <x v="0"/>
    <s v="Married"/>
    <x v="1"/>
    <n v="0"/>
    <x v="1"/>
    <x v="1"/>
    <n v="7"/>
    <n v="3"/>
    <s v="Medical"/>
    <n v="1"/>
    <n v="3"/>
    <x v="805"/>
    <x v="1"/>
    <n v="4"/>
    <n v="2"/>
    <x v="11"/>
    <x v="2"/>
  </r>
  <r>
    <n v="60885250"/>
    <x v="2"/>
    <x v="0"/>
    <s v="Married"/>
    <x v="1"/>
    <n v="0"/>
    <x v="3"/>
    <x v="1"/>
    <n v="1"/>
    <n v="3"/>
    <s v="Life Sciences"/>
    <n v="4"/>
    <n v="4"/>
    <x v="806"/>
    <x v="0"/>
    <n v="1"/>
    <n v="2"/>
    <x v="13"/>
    <x v="1"/>
  </r>
  <r>
    <n v="71007137"/>
    <x v="35"/>
    <x v="1"/>
    <s v="Single"/>
    <x v="1"/>
    <n v="0"/>
    <x v="2"/>
    <x v="1"/>
    <n v="3"/>
    <n v="3"/>
    <s v="Life Sciences"/>
    <n v="1"/>
    <n v="3"/>
    <x v="807"/>
    <x v="1"/>
    <n v="1"/>
    <n v="2"/>
    <x v="4"/>
    <x v="2"/>
  </r>
  <r>
    <n v="73843090"/>
    <x v="20"/>
    <x v="1"/>
    <s v="Single"/>
    <x v="0"/>
    <n v="1"/>
    <x v="1"/>
    <x v="1"/>
    <n v="10"/>
    <n v="4"/>
    <s v="Life Sciences"/>
    <n v="3"/>
    <n v="3"/>
    <x v="808"/>
    <x v="1"/>
    <n v="1"/>
    <n v="3"/>
    <x v="0"/>
    <x v="0"/>
  </r>
  <r>
    <n v="45888885"/>
    <x v="16"/>
    <x v="0"/>
    <s v="Divorced"/>
    <x v="1"/>
    <n v="0"/>
    <x v="5"/>
    <x v="1"/>
    <n v="7"/>
    <n v="2"/>
    <s v="Medical"/>
    <n v="4"/>
    <n v="3"/>
    <x v="809"/>
    <x v="4"/>
    <n v="3"/>
    <n v="3"/>
    <x v="5"/>
    <x v="0"/>
  </r>
  <r>
    <n v="54992199"/>
    <x v="11"/>
    <x v="0"/>
    <s v="Married"/>
    <x v="1"/>
    <n v="0"/>
    <x v="1"/>
    <x v="1"/>
    <n v="15"/>
    <n v="1"/>
    <s v="Life Sciences"/>
    <n v="2"/>
    <n v="4"/>
    <x v="810"/>
    <x v="1"/>
    <n v="0"/>
    <n v="2"/>
    <x v="8"/>
    <x v="0"/>
  </r>
  <r>
    <n v="83508474"/>
    <x v="15"/>
    <x v="1"/>
    <s v="Married"/>
    <x v="0"/>
    <n v="1"/>
    <x v="1"/>
    <x v="1"/>
    <n v="3"/>
    <n v="4"/>
    <s v="Life Sciences"/>
    <n v="3"/>
    <n v="4"/>
    <x v="811"/>
    <x v="1"/>
    <n v="0"/>
    <n v="3"/>
    <x v="2"/>
    <x v="2"/>
  </r>
  <r>
    <n v="41421284"/>
    <x v="21"/>
    <x v="0"/>
    <s v="Married"/>
    <x v="1"/>
    <n v="0"/>
    <x v="5"/>
    <x v="0"/>
    <n v="2"/>
    <n v="3"/>
    <s v="Marketing"/>
    <n v="3"/>
    <n v="1"/>
    <x v="812"/>
    <x v="4"/>
    <n v="8"/>
    <n v="3"/>
    <x v="34"/>
    <x v="3"/>
  </r>
  <r>
    <n v="63795599"/>
    <x v="20"/>
    <x v="1"/>
    <s v="Single"/>
    <x v="1"/>
    <n v="0"/>
    <x v="1"/>
    <x v="1"/>
    <n v="17"/>
    <n v="3"/>
    <s v="Life Sciences"/>
    <n v="4"/>
    <n v="3"/>
    <x v="813"/>
    <x v="1"/>
    <n v="2"/>
    <n v="3"/>
    <x v="2"/>
    <x v="2"/>
  </r>
  <r>
    <n v="71284386"/>
    <x v="3"/>
    <x v="1"/>
    <s v="Married"/>
    <x v="1"/>
    <n v="0"/>
    <x v="8"/>
    <x v="2"/>
    <n v="2"/>
    <n v="3"/>
    <s v="Human Resources"/>
    <n v="2"/>
    <n v="3"/>
    <x v="814"/>
    <x v="1"/>
    <n v="1"/>
    <n v="3"/>
    <x v="8"/>
    <x v="0"/>
  </r>
  <r>
    <n v="18975722"/>
    <x v="0"/>
    <x v="1"/>
    <s v="Divorced"/>
    <x v="0"/>
    <n v="1"/>
    <x v="1"/>
    <x v="1"/>
    <n v="5"/>
    <n v="2"/>
    <s v="Life Sciences"/>
    <n v="1"/>
    <n v="1"/>
    <x v="815"/>
    <x v="1"/>
    <n v="6"/>
    <n v="1"/>
    <x v="6"/>
    <x v="2"/>
  </r>
  <r>
    <n v="84502759"/>
    <x v="7"/>
    <x v="1"/>
    <s v="Divorced"/>
    <x v="1"/>
    <n v="0"/>
    <x v="0"/>
    <x v="0"/>
    <n v="29"/>
    <n v="4"/>
    <s v="Life Sciences"/>
    <n v="3"/>
    <n v="1"/>
    <x v="816"/>
    <x v="1"/>
    <n v="8"/>
    <n v="3"/>
    <x v="9"/>
    <x v="2"/>
  </r>
  <r>
    <n v="79918817"/>
    <x v="32"/>
    <x v="1"/>
    <s v="Married"/>
    <x v="1"/>
    <n v="0"/>
    <x v="0"/>
    <x v="0"/>
    <n v="2"/>
    <n v="4"/>
    <s v="Medical"/>
    <n v="2"/>
    <n v="2"/>
    <x v="817"/>
    <x v="1"/>
    <n v="5"/>
    <n v="3"/>
    <x v="2"/>
    <x v="2"/>
  </r>
  <r>
    <n v="86657128"/>
    <x v="24"/>
    <x v="0"/>
    <s v="Married"/>
    <x v="1"/>
    <n v="0"/>
    <x v="5"/>
    <x v="1"/>
    <n v="2"/>
    <n v="3"/>
    <s v="Medical"/>
    <n v="4"/>
    <n v="1"/>
    <x v="818"/>
    <x v="4"/>
    <n v="2"/>
    <n v="3"/>
    <x v="4"/>
    <x v="2"/>
  </r>
  <r>
    <n v="10219099"/>
    <x v="14"/>
    <x v="1"/>
    <s v="Married"/>
    <x v="1"/>
    <n v="0"/>
    <x v="2"/>
    <x v="1"/>
    <n v="19"/>
    <n v="4"/>
    <s v="Medical"/>
    <n v="4"/>
    <n v="1"/>
    <x v="819"/>
    <x v="1"/>
    <n v="1"/>
    <n v="3"/>
    <x v="0"/>
    <x v="0"/>
  </r>
  <r>
    <n v="65945748"/>
    <x v="21"/>
    <x v="1"/>
    <s v="Married"/>
    <x v="1"/>
    <n v="0"/>
    <x v="7"/>
    <x v="1"/>
    <n v="15"/>
    <n v="2"/>
    <s v="Life Sciences"/>
    <n v="4"/>
    <n v="2"/>
    <x v="820"/>
    <x v="4"/>
    <n v="5"/>
    <n v="3"/>
    <x v="9"/>
    <x v="2"/>
  </r>
  <r>
    <n v="56855534"/>
    <x v="10"/>
    <x v="1"/>
    <s v="Married"/>
    <x v="1"/>
    <n v="0"/>
    <x v="0"/>
    <x v="0"/>
    <n v="17"/>
    <n v="4"/>
    <s v="Life Sciences"/>
    <n v="3"/>
    <n v="1"/>
    <x v="821"/>
    <x v="0"/>
    <n v="3"/>
    <n v="3"/>
    <x v="5"/>
    <x v="0"/>
  </r>
  <r>
    <n v="33776459"/>
    <x v="17"/>
    <x v="0"/>
    <s v="Married"/>
    <x v="0"/>
    <n v="1"/>
    <x v="2"/>
    <x v="1"/>
    <n v="17"/>
    <n v="2"/>
    <s v="Life Sciences"/>
    <n v="4"/>
    <n v="2"/>
    <x v="822"/>
    <x v="1"/>
    <n v="1"/>
    <n v="1"/>
    <x v="6"/>
    <x v="2"/>
  </r>
  <r>
    <n v="29507061"/>
    <x v="3"/>
    <x v="0"/>
    <s v="Married"/>
    <x v="1"/>
    <n v="0"/>
    <x v="0"/>
    <x v="0"/>
    <n v="25"/>
    <n v="3"/>
    <s v="Medical"/>
    <n v="2"/>
    <n v="3"/>
    <x v="823"/>
    <x v="1"/>
    <n v="1"/>
    <n v="2"/>
    <x v="1"/>
    <x v="1"/>
  </r>
  <r>
    <n v="63387792"/>
    <x v="9"/>
    <x v="1"/>
    <s v="Divorced"/>
    <x v="1"/>
    <n v="0"/>
    <x v="2"/>
    <x v="1"/>
    <n v="6"/>
    <n v="4"/>
    <s v="Life Sciences"/>
    <n v="3"/>
    <n v="3"/>
    <x v="199"/>
    <x v="1"/>
    <n v="1"/>
    <n v="3"/>
    <x v="5"/>
    <x v="0"/>
  </r>
  <r>
    <n v="89071049"/>
    <x v="7"/>
    <x v="1"/>
    <s v="Divorced"/>
    <x v="1"/>
    <n v="0"/>
    <x v="2"/>
    <x v="1"/>
    <n v="7"/>
    <n v="4"/>
    <s v="Life Sciences"/>
    <n v="3"/>
    <n v="3"/>
    <x v="824"/>
    <x v="1"/>
    <n v="1"/>
    <n v="2"/>
    <x v="1"/>
    <x v="1"/>
  </r>
  <r>
    <n v="85923140"/>
    <x v="20"/>
    <x v="1"/>
    <s v="Single"/>
    <x v="1"/>
    <n v="0"/>
    <x v="1"/>
    <x v="1"/>
    <n v="29"/>
    <n v="4"/>
    <s v="Other"/>
    <n v="4"/>
    <n v="4"/>
    <x v="825"/>
    <x v="1"/>
    <n v="1"/>
    <n v="3"/>
    <x v="23"/>
    <x v="4"/>
  </r>
  <r>
    <n v="46800773"/>
    <x v="35"/>
    <x v="1"/>
    <s v="Single"/>
    <x v="1"/>
    <n v="0"/>
    <x v="6"/>
    <x v="0"/>
    <n v="21"/>
    <n v="3"/>
    <s v="Marketing"/>
    <n v="3"/>
    <n v="4"/>
    <x v="826"/>
    <x v="1"/>
    <n v="1"/>
    <n v="3"/>
    <x v="4"/>
    <x v="2"/>
  </r>
  <r>
    <n v="28941137"/>
    <x v="21"/>
    <x v="1"/>
    <s v="Divorced"/>
    <x v="1"/>
    <n v="0"/>
    <x v="3"/>
    <x v="1"/>
    <n v="2"/>
    <n v="4"/>
    <s v="Technical Degree"/>
    <n v="4"/>
    <n v="4"/>
    <x v="827"/>
    <x v="0"/>
    <n v="2"/>
    <n v="2"/>
    <x v="0"/>
    <x v="0"/>
  </r>
  <r>
    <n v="53896558"/>
    <x v="19"/>
    <x v="1"/>
    <s v="Married"/>
    <x v="1"/>
    <n v="0"/>
    <x v="8"/>
    <x v="2"/>
    <n v="2"/>
    <n v="5"/>
    <s v="Medical"/>
    <n v="4"/>
    <n v="1"/>
    <x v="458"/>
    <x v="0"/>
    <n v="7"/>
    <n v="4"/>
    <x v="9"/>
    <x v="2"/>
  </r>
  <r>
    <n v="24565225"/>
    <x v="42"/>
    <x v="1"/>
    <s v="Divorced"/>
    <x v="1"/>
    <n v="0"/>
    <x v="0"/>
    <x v="0"/>
    <n v="7"/>
    <n v="4"/>
    <s v="Marketing"/>
    <n v="2"/>
    <n v="4"/>
    <x v="828"/>
    <x v="0"/>
    <n v="0"/>
    <n v="3"/>
    <x v="19"/>
    <x v="1"/>
  </r>
  <r>
    <n v="42445269"/>
    <x v="5"/>
    <x v="0"/>
    <s v="Married"/>
    <x v="1"/>
    <n v="0"/>
    <x v="2"/>
    <x v="1"/>
    <n v="13"/>
    <n v="3"/>
    <s v="Other"/>
    <n v="3"/>
    <n v="2"/>
    <x v="714"/>
    <x v="1"/>
    <n v="1"/>
    <n v="3"/>
    <x v="4"/>
    <x v="2"/>
  </r>
  <r>
    <n v="12454138"/>
    <x v="5"/>
    <x v="0"/>
    <s v="Single"/>
    <x v="1"/>
    <n v="0"/>
    <x v="1"/>
    <x v="1"/>
    <n v="2"/>
    <n v="2"/>
    <s v="Life Sciences"/>
    <n v="4"/>
    <n v="3"/>
    <x v="829"/>
    <x v="1"/>
    <n v="4"/>
    <n v="3"/>
    <x v="3"/>
    <x v="0"/>
  </r>
  <r>
    <n v="69943126"/>
    <x v="9"/>
    <x v="0"/>
    <s v="Divorced"/>
    <x v="1"/>
    <n v="0"/>
    <x v="3"/>
    <x v="1"/>
    <n v="1"/>
    <n v="3"/>
    <s v="Technical Degree"/>
    <n v="3"/>
    <n v="1"/>
    <x v="830"/>
    <x v="2"/>
    <n v="2"/>
    <n v="3"/>
    <x v="5"/>
    <x v="0"/>
  </r>
  <r>
    <n v="11473498"/>
    <x v="3"/>
    <x v="1"/>
    <s v="Married"/>
    <x v="1"/>
    <n v="0"/>
    <x v="1"/>
    <x v="1"/>
    <n v="9"/>
    <n v="3"/>
    <s v="Medical"/>
    <n v="1"/>
    <n v="4"/>
    <x v="831"/>
    <x v="1"/>
    <n v="0"/>
    <n v="3"/>
    <x v="13"/>
    <x v="1"/>
  </r>
  <r>
    <n v="27267119"/>
    <x v="32"/>
    <x v="0"/>
    <s v="Divorced"/>
    <x v="1"/>
    <n v="0"/>
    <x v="0"/>
    <x v="0"/>
    <n v="10"/>
    <n v="3"/>
    <s v="Technical Degree"/>
    <n v="2"/>
    <n v="2"/>
    <x v="832"/>
    <x v="0"/>
    <n v="7"/>
    <n v="4"/>
    <x v="8"/>
    <x v="0"/>
  </r>
  <r>
    <n v="19467420"/>
    <x v="36"/>
    <x v="1"/>
    <s v="Single"/>
    <x v="1"/>
    <n v="0"/>
    <x v="0"/>
    <x v="0"/>
    <n v="10"/>
    <n v="4"/>
    <s v="Life Sciences"/>
    <n v="3"/>
    <n v="4"/>
    <x v="833"/>
    <x v="1"/>
    <n v="0"/>
    <n v="3"/>
    <x v="9"/>
    <x v="2"/>
  </r>
  <r>
    <n v="15765907"/>
    <x v="7"/>
    <x v="1"/>
    <s v="Married"/>
    <x v="1"/>
    <n v="0"/>
    <x v="1"/>
    <x v="1"/>
    <n v="1"/>
    <n v="3"/>
    <s v="Medical"/>
    <n v="4"/>
    <n v="2"/>
    <x v="834"/>
    <x v="1"/>
    <n v="0"/>
    <n v="3"/>
    <x v="19"/>
    <x v="1"/>
  </r>
  <r>
    <n v="60287538"/>
    <x v="19"/>
    <x v="0"/>
    <s v="Married"/>
    <x v="1"/>
    <n v="0"/>
    <x v="7"/>
    <x v="1"/>
    <n v="26"/>
    <n v="5"/>
    <s v="Medical"/>
    <n v="1"/>
    <n v="1"/>
    <x v="835"/>
    <x v="3"/>
    <n v="3"/>
    <n v="3"/>
    <x v="6"/>
    <x v="2"/>
  </r>
  <r>
    <n v="29136652"/>
    <x v="10"/>
    <x v="0"/>
    <s v="Married"/>
    <x v="1"/>
    <n v="0"/>
    <x v="0"/>
    <x v="0"/>
    <n v="8"/>
    <n v="2"/>
    <s v="Marketing"/>
    <n v="3"/>
    <n v="4"/>
    <x v="836"/>
    <x v="2"/>
    <n v="4"/>
    <n v="2"/>
    <x v="20"/>
    <x v="1"/>
  </r>
  <r>
    <n v="39603950"/>
    <x v="4"/>
    <x v="1"/>
    <s v="Married"/>
    <x v="1"/>
    <n v="0"/>
    <x v="1"/>
    <x v="1"/>
    <n v="14"/>
    <n v="3"/>
    <s v="Life Sciences"/>
    <n v="1"/>
    <n v="1"/>
    <x v="837"/>
    <x v="1"/>
    <n v="1"/>
    <n v="2"/>
    <x v="7"/>
    <x v="0"/>
  </r>
  <r>
    <n v="17370995"/>
    <x v="33"/>
    <x v="0"/>
    <s v="Divorced"/>
    <x v="1"/>
    <n v="0"/>
    <x v="3"/>
    <x v="1"/>
    <n v="1"/>
    <n v="4"/>
    <s v="Life Sciences"/>
    <n v="4"/>
    <n v="3"/>
    <x v="838"/>
    <x v="2"/>
    <n v="7"/>
    <n v="1"/>
    <x v="8"/>
    <x v="0"/>
  </r>
  <r>
    <n v="59155237"/>
    <x v="20"/>
    <x v="0"/>
    <s v="Married"/>
    <x v="1"/>
    <n v="0"/>
    <x v="1"/>
    <x v="1"/>
    <n v="2"/>
    <n v="1"/>
    <s v="Life Sciences"/>
    <n v="1"/>
    <n v="4"/>
    <x v="839"/>
    <x v="1"/>
    <n v="1"/>
    <n v="3"/>
    <x v="1"/>
    <x v="1"/>
  </r>
  <r>
    <n v="10509378"/>
    <x v="37"/>
    <x v="0"/>
    <s v="Single"/>
    <x v="0"/>
    <n v="1"/>
    <x v="1"/>
    <x v="1"/>
    <n v="10"/>
    <n v="3"/>
    <s v="Medical"/>
    <n v="1"/>
    <n v="2"/>
    <x v="840"/>
    <x v="1"/>
    <n v="1"/>
    <n v="4"/>
    <x v="6"/>
    <x v="2"/>
  </r>
  <r>
    <n v="77256810"/>
    <x v="11"/>
    <x v="0"/>
    <s v="Divorced"/>
    <x v="1"/>
    <n v="0"/>
    <x v="1"/>
    <x v="1"/>
    <n v="1"/>
    <n v="3"/>
    <s v="Life Sciences"/>
    <n v="1"/>
    <n v="4"/>
    <x v="841"/>
    <x v="1"/>
    <n v="1"/>
    <n v="3"/>
    <x v="11"/>
    <x v="2"/>
  </r>
  <r>
    <n v="25345119"/>
    <x v="33"/>
    <x v="1"/>
    <s v="Married"/>
    <x v="1"/>
    <n v="0"/>
    <x v="7"/>
    <x v="1"/>
    <n v="3"/>
    <n v="3"/>
    <s v="Life Sciences"/>
    <n v="4"/>
    <n v="4"/>
    <x v="842"/>
    <x v="4"/>
    <n v="3"/>
    <n v="3"/>
    <x v="1"/>
    <x v="1"/>
  </r>
  <r>
    <n v="85951869"/>
    <x v="12"/>
    <x v="1"/>
    <s v="Married"/>
    <x v="1"/>
    <n v="0"/>
    <x v="4"/>
    <x v="1"/>
    <n v="11"/>
    <n v="2"/>
    <s v="Medical"/>
    <n v="3"/>
    <n v="1"/>
    <x v="843"/>
    <x v="0"/>
    <n v="1"/>
    <n v="2"/>
    <x v="0"/>
    <x v="0"/>
  </r>
  <r>
    <n v="60589104"/>
    <x v="12"/>
    <x v="0"/>
    <s v="Single"/>
    <x v="1"/>
    <n v="0"/>
    <x v="4"/>
    <x v="1"/>
    <n v="24"/>
    <n v="3"/>
    <s v="Medical"/>
    <n v="3"/>
    <n v="1"/>
    <x v="844"/>
    <x v="0"/>
    <n v="1"/>
    <n v="3"/>
    <x v="1"/>
    <x v="1"/>
  </r>
  <r>
    <n v="18841009"/>
    <x v="6"/>
    <x v="0"/>
    <s v="Single"/>
    <x v="1"/>
    <n v="0"/>
    <x v="0"/>
    <x v="0"/>
    <n v="3"/>
    <n v="3"/>
    <s v="Life Sciences"/>
    <n v="3"/>
    <n v="4"/>
    <x v="845"/>
    <x v="0"/>
    <n v="5"/>
    <n v="3"/>
    <x v="0"/>
    <x v="0"/>
  </r>
  <r>
    <n v="28598606"/>
    <x v="23"/>
    <x v="1"/>
    <s v="Married"/>
    <x v="1"/>
    <n v="0"/>
    <x v="7"/>
    <x v="1"/>
    <n v="3"/>
    <n v="3"/>
    <s v="Life Sciences"/>
    <n v="3"/>
    <n v="4"/>
    <x v="846"/>
    <x v="4"/>
    <n v="3"/>
    <n v="3"/>
    <x v="3"/>
    <x v="0"/>
  </r>
  <r>
    <n v="63740309"/>
    <x v="1"/>
    <x v="1"/>
    <s v="Married"/>
    <x v="1"/>
    <n v="0"/>
    <x v="5"/>
    <x v="1"/>
    <n v="4"/>
    <n v="2"/>
    <s v="Medical"/>
    <n v="1"/>
    <n v="3"/>
    <x v="847"/>
    <x v="4"/>
    <n v="2"/>
    <n v="4"/>
    <x v="6"/>
    <x v="2"/>
  </r>
  <r>
    <n v="48361244"/>
    <x v="9"/>
    <x v="1"/>
    <s v="Married"/>
    <x v="1"/>
    <n v="0"/>
    <x v="1"/>
    <x v="1"/>
    <n v="3"/>
    <n v="3"/>
    <s v="Technical Degree"/>
    <n v="3"/>
    <n v="2"/>
    <x v="848"/>
    <x v="1"/>
    <n v="1"/>
    <n v="2"/>
    <x v="19"/>
    <x v="1"/>
  </r>
  <r>
    <n v="23363442"/>
    <x v="26"/>
    <x v="1"/>
    <s v="Single"/>
    <x v="1"/>
    <n v="0"/>
    <x v="2"/>
    <x v="1"/>
    <n v="2"/>
    <n v="2"/>
    <s v="Technical Degree"/>
    <n v="4"/>
    <n v="2"/>
    <x v="594"/>
    <x v="1"/>
    <n v="5"/>
    <n v="2"/>
    <x v="6"/>
    <x v="2"/>
  </r>
  <r>
    <n v="66242134"/>
    <x v="4"/>
    <x v="1"/>
    <s v="Divorced"/>
    <x v="1"/>
    <n v="0"/>
    <x v="1"/>
    <x v="1"/>
    <n v="4"/>
    <n v="2"/>
    <s v="Life Sciences"/>
    <n v="1"/>
    <n v="3"/>
    <x v="849"/>
    <x v="1"/>
    <n v="1"/>
    <n v="3"/>
    <x v="8"/>
    <x v="0"/>
  </r>
  <r>
    <n v="59065050"/>
    <x v="11"/>
    <x v="1"/>
    <s v="Divorced"/>
    <x v="1"/>
    <n v="0"/>
    <x v="4"/>
    <x v="1"/>
    <n v="7"/>
    <n v="3"/>
    <s v="Life Sciences"/>
    <n v="3"/>
    <n v="4"/>
    <x v="850"/>
    <x v="0"/>
    <n v="1"/>
    <n v="3"/>
    <x v="0"/>
    <x v="0"/>
  </r>
  <r>
    <n v="44458576"/>
    <x v="26"/>
    <x v="1"/>
    <s v="Single"/>
    <x v="1"/>
    <n v="0"/>
    <x v="7"/>
    <x v="1"/>
    <n v="1"/>
    <n v="3"/>
    <s v="Life Sciences"/>
    <n v="4"/>
    <n v="4"/>
    <x v="851"/>
    <x v="4"/>
    <n v="6"/>
    <n v="4"/>
    <x v="6"/>
    <x v="2"/>
  </r>
  <r>
    <n v="10244557"/>
    <x v="11"/>
    <x v="0"/>
    <s v="Divorced"/>
    <x v="1"/>
    <n v="0"/>
    <x v="7"/>
    <x v="1"/>
    <n v="1"/>
    <n v="3"/>
    <s v="Life Sciences"/>
    <n v="4"/>
    <n v="4"/>
    <x v="852"/>
    <x v="3"/>
    <n v="3"/>
    <n v="2"/>
    <x v="5"/>
    <x v="0"/>
  </r>
  <r>
    <n v="11835211"/>
    <x v="13"/>
    <x v="0"/>
    <s v="Married"/>
    <x v="1"/>
    <n v="0"/>
    <x v="1"/>
    <x v="1"/>
    <n v="20"/>
    <n v="3"/>
    <s v="Technical Degree"/>
    <n v="3"/>
    <n v="3"/>
    <x v="853"/>
    <x v="1"/>
    <n v="0"/>
    <n v="2"/>
    <x v="6"/>
    <x v="2"/>
  </r>
  <r>
    <n v="84068400"/>
    <x v="20"/>
    <x v="1"/>
    <s v="Married"/>
    <x v="1"/>
    <n v="0"/>
    <x v="5"/>
    <x v="0"/>
    <n v="5"/>
    <n v="3"/>
    <s v="Marketing"/>
    <n v="2"/>
    <n v="2"/>
    <x v="854"/>
    <x v="4"/>
    <n v="7"/>
    <n v="3"/>
    <x v="14"/>
    <x v="4"/>
  </r>
  <r>
    <n v="32228839"/>
    <x v="3"/>
    <x v="1"/>
    <s v="Divorced"/>
    <x v="1"/>
    <n v="0"/>
    <x v="0"/>
    <x v="0"/>
    <n v="10"/>
    <n v="5"/>
    <s v="Marketing"/>
    <n v="4"/>
    <n v="3"/>
    <x v="855"/>
    <x v="0"/>
    <n v="0"/>
    <n v="3"/>
    <x v="7"/>
    <x v="0"/>
  </r>
  <r>
    <n v="24641560"/>
    <x v="37"/>
    <x v="0"/>
    <s v="Single"/>
    <x v="1"/>
    <n v="0"/>
    <x v="1"/>
    <x v="1"/>
    <n v="25"/>
    <n v="3"/>
    <s v="Life Sciences"/>
    <n v="2"/>
    <n v="4"/>
    <x v="856"/>
    <x v="1"/>
    <n v="1"/>
    <n v="3"/>
    <x v="6"/>
    <x v="2"/>
  </r>
  <r>
    <n v="59856893"/>
    <x v="30"/>
    <x v="1"/>
    <s v="Married"/>
    <x v="1"/>
    <n v="0"/>
    <x v="1"/>
    <x v="1"/>
    <n v="1"/>
    <n v="2"/>
    <s v="Life Sciences"/>
    <n v="4"/>
    <n v="3"/>
    <x v="857"/>
    <x v="1"/>
    <n v="1"/>
    <n v="3"/>
    <x v="6"/>
    <x v="2"/>
  </r>
  <r>
    <n v="66349467"/>
    <x v="36"/>
    <x v="1"/>
    <s v="Single"/>
    <x v="0"/>
    <n v="1"/>
    <x v="6"/>
    <x v="0"/>
    <n v="24"/>
    <n v="1"/>
    <s v="Life Sciences"/>
    <n v="3"/>
    <n v="4"/>
    <x v="858"/>
    <x v="1"/>
    <n v="1"/>
    <n v="3"/>
    <x v="6"/>
    <x v="2"/>
  </r>
  <r>
    <n v="68375992"/>
    <x v="25"/>
    <x v="1"/>
    <s v="Single"/>
    <x v="1"/>
    <n v="0"/>
    <x v="1"/>
    <x v="1"/>
    <n v="4"/>
    <n v="2"/>
    <s v="Life Sciences"/>
    <n v="3"/>
    <n v="4"/>
    <x v="859"/>
    <x v="1"/>
    <n v="1"/>
    <n v="2"/>
    <x v="3"/>
    <x v="0"/>
  </r>
  <r>
    <n v="72232441"/>
    <x v="28"/>
    <x v="0"/>
    <s v="Single"/>
    <x v="0"/>
    <n v="1"/>
    <x v="5"/>
    <x v="0"/>
    <n v="2"/>
    <n v="3"/>
    <s v="Marketing"/>
    <n v="1"/>
    <n v="2"/>
    <x v="860"/>
    <x v="4"/>
    <n v="2"/>
    <n v="3"/>
    <x v="25"/>
    <x v="4"/>
  </r>
  <r>
    <n v="12783265"/>
    <x v="27"/>
    <x v="1"/>
    <s v="Divorced"/>
    <x v="1"/>
    <n v="0"/>
    <x v="4"/>
    <x v="1"/>
    <n v="8"/>
    <n v="1"/>
    <s v="Medical"/>
    <n v="4"/>
    <n v="2"/>
    <x v="861"/>
    <x v="3"/>
    <n v="1"/>
    <n v="3"/>
    <x v="26"/>
    <x v="8"/>
  </r>
  <r>
    <n v="43154234"/>
    <x v="18"/>
    <x v="0"/>
    <s v="Single"/>
    <x v="0"/>
    <n v="1"/>
    <x v="2"/>
    <x v="1"/>
    <n v="10"/>
    <n v="2"/>
    <s v="Life Sciences"/>
    <n v="1"/>
    <n v="3"/>
    <x v="862"/>
    <x v="1"/>
    <n v="1"/>
    <n v="1"/>
    <x v="4"/>
    <x v="2"/>
  </r>
  <r>
    <n v="73057193"/>
    <x v="21"/>
    <x v="0"/>
    <s v="Married"/>
    <x v="1"/>
    <n v="0"/>
    <x v="5"/>
    <x v="0"/>
    <n v="4"/>
    <n v="2"/>
    <s v="Marketing"/>
    <n v="4"/>
    <n v="2"/>
    <x v="863"/>
    <x v="4"/>
    <n v="2"/>
    <n v="3"/>
    <x v="19"/>
    <x v="1"/>
  </r>
  <r>
    <n v="75294468"/>
    <x v="13"/>
    <x v="0"/>
    <s v="Single"/>
    <x v="1"/>
    <n v="0"/>
    <x v="0"/>
    <x v="0"/>
    <n v="2"/>
    <n v="3"/>
    <s v="Marketing"/>
    <n v="3"/>
    <n v="1"/>
    <x v="864"/>
    <x v="1"/>
    <n v="0"/>
    <n v="3"/>
    <x v="11"/>
    <x v="2"/>
  </r>
  <r>
    <n v="17565770"/>
    <x v="31"/>
    <x v="1"/>
    <s v="Divorced"/>
    <x v="1"/>
    <n v="0"/>
    <x v="5"/>
    <x v="0"/>
    <n v="9"/>
    <n v="3"/>
    <s v="Life Sciences"/>
    <n v="4"/>
    <n v="2"/>
    <x v="865"/>
    <x v="4"/>
    <n v="4"/>
    <n v="2"/>
    <x v="30"/>
    <x v="3"/>
  </r>
  <r>
    <n v="23094784"/>
    <x v="6"/>
    <x v="1"/>
    <s v="Single"/>
    <x v="1"/>
    <n v="0"/>
    <x v="3"/>
    <x v="1"/>
    <n v="18"/>
    <n v="4"/>
    <s v="Medical"/>
    <n v="4"/>
    <n v="4"/>
    <x v="866"/>
    <x v="2"/>
    <n v="6"/>
    <n v="2"/>
    <x v="7"/>
    <x v="0"/>
  </r>
  <r>
    <n v="39489843"/>
    <x v="13"/>
    <x v="0"/>
    <s v="Divorced"/>
    <x v="1"/>
    <n v="0"/>
    <x v="2"/>
    <x v="1"/>
    <n v="19"/>
    <n v="3"/>
    <s v="Medical"/>
    <n v="3"/>
    <n v="2"/>
    <x v="867"/>
    <x v="1"/>
    <n v="4"/>
    <n v="4"/>
    <x v="19"/>
    <x v="1"/>
  </r>
  <r>
    <n v="82380382"/>
    <x v="14"/>
    <x v="1"/>
    <s v="Single"/>
    <x v="1"/>
    <n v="0"/>
    <x v="2"/>
    <x v="1"/>
    <n v="1"/>
    <n v="4"/>
    <s v="Medical"/>
    <n v="4"/>
    <n v="3"/>
    <x v="868"/>
    <x v="1"/>
    <n v="0"/>
    <n v="2"/>
    <x v="9"/>
    <x v="2"/>
  </r>
  <r>
    <n v="82262683"/>
    <x v="20"/>
    <x v="1"/>
    <s v="Divorced"/>
    <x v="1"/>
    <n v="0"/>
    <x v="5"/>
    <x v="1"/>
    <n v="4"/>
    <n v="2"/>
    <s v="Life Sciences"/>
    <n v="3"/>
    <n v="1"/>
    <x v="869"/>
    <x v="4"/>
    <n v="1"/>
    <n v="2"/>
    <x v="10"/>
    <x v="3"/>
  </r>
  <r>
    <n v="81712084"/>
    <x v="13"/>
    <x v="1"/>
    <s v="Married"/>
    <x v="1"/>
    <n v="0"/>
    <x v="8"/>
    <x v="2"/>
    <n v="11"/>
    <n v="3"/>
    <s v="Life Sciences"/>
    <n v="3"/>
    <n v="2"/>
    <x v="870"/>
    <x v="1"/>
    <n v="4"/>
    <n v="4"/>
    <x v="1"/>
    <x v="1"/>
  </r>
  <r>
    <n v="82982256"/>
    <x v="10"/>
    <x v="1"/>
    <s v="Married"/>
    <x v="1"/>
    <n v="0"/>
    <x v="1"/>
    <x v="1"/>
    <n v="6"/>
    <n v="1"/>
    <s v="Life Sciences"/>
    <n v="3"/>
    <n v="3"/>
    <x v="871"/>
    <x v="1"/>
    <n v="0"/>
    <n v="3"/>
    <x v="11"/>
    <x v="2"/>
  </r>
  <r>
    <n v="40529503"/>
    <x v="19"/>
    <x v="0"/>
    <s v="Married"/>
    <x v="1"/>
    <n v="0"/>
    <x v="1"/>
    <x v="1"/>
    <n v="7"/>
    <n v="4"/>
    <s v="Medical"/>
    <n v="2"/>
    <n v="2"/>
    <x v="872"/>
    <x v="1"/>
    <n v="6"/>
    <n v="3"/>
    <x v="6"/>
    <x v="2"/>
  </r>
  <r>
    <n v="64567197"/>
    <x v="23"/>
    <x v="0"/>
    <s v="Single"/>
    <x v="1"/>
    <n v="0"/>
    <x v="0"/>
    <x v="0"/>
    <n v="4"/>
    <n v="4"/>
    <s v="Marketing"/>
    <n v="4"/>
    <n v="4"/>
    <x v="873"/>
    <x v="2"/>
    <n v="3"/>
    <n v="4"/>
    <x v="17"/>
    <x v="4"/>
  </r>
  <r>
    <n v="81774904"/>
    <x v="9"/>
    <x v="0"/>
    <s v="Single"/>
    <x v="1"/>
    <n v="0"/>
    <x v="3"/>
    <x v="1"/>
    <n v="2"/>
    <n v="4"/>
    <s v="Life Sciences"/>
    <n v="3"/>
    <n v="2"/>
    <x v="874"/>
    <x v="0"/>
    <n v="9"/>
    <n v="3"/>
    <x v="22"/>
    <x v="5"/>
  </r>
  <r>
    <n v="15379490"/>
    <x v="20"/>
    <x v="0"/>
    <s v="Married"/>
    <x v="0"/>
    <n v="1"/>
    <x v="4"/>
    <x v="1"/>
    <n v="15"/>
    <n v="3"/>
    <s v="Medical"/>
    <n v="1"/>
    <n v="4"/>
    <x v="875"/>
    <x v="0"/>
    <n v="1"/>
    <n v="3"/>
    <x v="1"/>
    <x v="1"/>
  </r>
  <r>
    <n v="89044990"/>
    <x v="14"/>
    <x v="1"/>
    <s v="Married"/>
    <x v="1"/>
    <n v="0"/>
    <x v="2"/>
    <x v="1"/>
    <n v="2"/>
    <n v="3"/>
    <s v="Life Sciences"/>
    <n v="4"/>
    <n v="4"/>
    <x v="876"/>
    <x v="1"/>
    <n v="1"/>
    <n v="3"/>
    <x v="4"/>
    <x v="2"/>
  </r>
  <r>
    <n v="83665315"/>
    <x v="31"/>
    <x v="0"/>
    <s v="Single"/>
    <x v="1"/>
    <n v="0"/>
    <x v="2"/>
    <x v="1"/>
    <n v="6"/>
    <n v="2"/>
    <s v="Medical"/>
    <n v="2"/>
    <n v="3"/>
    <x v="877"/>
    <x v="1"/>
    <n v="0"/>
    <n v="2"/>
    <x v="5"/>
    <x v="0"/>
  </r>
  <r>
    <n v="35945873"/>
    <x v="7"/>
    <x v="0"/>
    <s v="Single"/>
    <x v="1"/>
    <n v="0"/>
    <x v="3"/>
    <x v="1"/>
    <n v="9"/>
    <n v="2"/>
    <s v="Medical"/>
    <n v="3"/>
    <n v="3"/>
    <x v="878"/>
    <x v="1"/>
    <n v="7"/>
    <n v="3"/>
    <x v="3"/>
    <x v="0"/>
  </r>
  <r>
    <n v="76626992"/>
    <x v="11"/>
    <x v="0"/>
    <s v="Divorced"/>
    <x v="0"/>
    <n v="1"/>
    <x v="2"/>
    <x v="1"/>
    <n v="7"/>
    <n v="3"/>
    <s v="Technical Degree"/>
    <n v="2"/>
    <n v="3"/>
    <x v="879"/>
    <x v="1"/>
    <n v="3"/>
    <n v="3"/>
    <x v="5"/>
    <x v="0"/>
  </r>
  <r>
    <n v="69205355"/>
    <x v="14"/>
    <x v="1"/>
    <s v="Single"/>
    <x v="1"/>
    <n v="0"/>
    <x v="1"/>
    <x v="1"/>
    <n v="1"/>
    <n v="3"/>
    <s v="Technical Degree"/>
    <n v="4"/>
    <n v="1"/>
    <x v="880"/>
    <x v="1"/>
    <n v="2"/>
    <n v="2"/>
    <x v="11"/>
    <x v="2"/>
  </r>
  <r>
    <n v="63494020"/>
    <x v="36"/>
    <x v="0"/>
    <s v="Single"/>
    <x v="1"/>
    <n v="0"/>
    <x v="1"/>
    <x v="1"/>
    <n v="1"/>
    <n v="3"/>
    <s v="Medical"/>
    <n v="4"/>
    <n v="2"/>
    <x v="461"/>
    <x v="1"/>
    <n v="1"/>
    <n v="2"/>
    <x v="4"/>
    <x v="2"/>
  </r>
  <r>
    <n v="45966166"/>
    <x v="5"/>
    <x v="1"/>
    <s v="Married"/>
    <x v="1"/>
    <n v="0"/>
    <x v="0"/>
    <x v="0"/>
    <n v="8"/>
    <n v="3"/>
    <s v="Medical"/>
    <n v="3"/>
    <n v="4"/>
    <x v="881"/>
    <x v="0"/>
    <n v="1"/>
    <n v="4"/>
    <x v="1"/>
    <x v="1"/>
  </r>
  <r>
    <n v="55125648"/>
    <x v="28"/>
    <x v="0"/>
    <s v="Single"/>
    <x v="1"/>
    <n v="0"/>
    <x v="5"/>
    <x v="1"/>
    <n v="25"/>
    <n v="3"/>
    <s v="Medical"/>
    <n v="2"/>
    <n v="2"/>
    <x v="882"/>
    <x v="4"/>
    <n v="3"/>
    <n v="3"/>
    <x v="2"/>
    <x v="2"/>
  </r>
  <r>
    <n v="26202226"/>
    <x v="22"/>
    <x v="0"/>
    <s v="Divorced"/>
    <x v="1"/>
    <n v="0"/>
    <x v="5"/>
    <x v="1"/>
    <n v="13"/>
    <n v="4"/>
    <s v="Medical"/>
    <n v="3"/>
    <n v="2"/>
    <x v="883"/>
    <x v="4"/>
    <n v="6"/>
    <n v="3"/>
    <x v="27"/>
    <x v="5"/>
  </r>
  <r>
    <n v="74576945"/>
    <x v="34"/>
    <x v="1"/>
    <s v="Divorced"/>
    <x v="1"/>
    <n v="0"/>
    <x v="1"/>
    <x v="1"/>
    <n v="23"/>
    <n v="4"/>
    <s v="Life Sciences"/>
    <n v="1"/>
    <n v="3"/>
    <x v="872"/>
    <x v="1"/>
    <n v="1"/>
    <n v="3"/>
    <x v="4"/>
    <x v="2"/>
  </r>
  <r>
    <n v="52209860"/>
    <x v="5"/>
    <x v="1"/>
    <s v="Married"/>
    <x v="0"/>
    <n v="1"/>
    <x v="2"/>
    <x v="1"/>
    <n v="7"/>
    <n v="2"/>
    <s v="Life Sciences"/>
    <n v="4"/>
    <n v="3"/>
    <x v="884"/>
    <x v="1"/>
    <n v="1"/>
    <n v="3"/>
    <x v="1"/>
    <x v="1"/>
  </r>
  <r>
    <n v="58447905"/>
    <x v="22"/>
    <x v="1"/>
    <s v="Single"/>
    <x v="0"/>
    <n v="1"/>
    <x v="1"/>
    <x v="1"/>
    <n v="23"/>
    <n v="3"/>
    <s v="Medical"/>
    <n v="3"/>
    <n v="1"/>
    <x v="885"/>
    <x v="1"/>
    <n v="0"/>
    <n v="3"/>
    <x v="8"/>
    <x v="0"/>
  </r>
  <r>
    <n v="32390012"/>
    <x v="7"/>
    <x v="0"/>
    <s v="Married"/>
    <x v="1"/>
    <n v="0"/>
    <x v="2"/>
    <x v="1"/>
    <n v="6"/>
    <n v="3"/>
    <s v="Technical Degree"/>
    <n v="1"/>
    <n v="4"/>
    <x v="886"/>
    <x v="1"/>
    <n v="0"/>
    <n v="3"/>
    <x v="7"/>
    <x v="0"/>
  </r>
  <r>
    <n v="41940119"/>
    <x v="9"/>
    <x v="0"/>
    <s v="Married"/>
    <x v="1"/>
    <n v="0"/>
    <x v="4"/>
    <x v="1"/>
    <n v="10"/>
    <n v="4"/>
    <s v="Technical Degree"/>
    <n v="4"/>
    <n v="3"/>
    <x v="887"/>
    <x v="0"/>
    <n v="3"/>
    <n v="3"/>
    <x v="5"/>
    <x v="0"/>
  </r>
  <r>
    <n v="11522354"/>
    <x v="21"/>
    <x v="0"/>
    <s v="Single"/>
    <x v="1"/>
    <n v="0"/>
    <x v="8"/>
    <x v="2"/>
    <n v="1"/>
    <n v="2"/>
    <s v="Life Sciences"/>
    <n v="4"/>
    <n v="1"/>
    <x v="888"/>
    <x v="1"/>
    <n v="6"/>
    <n v="4"/>
    <x v="5"/>
    <x v="0"/>
  </r>
  <r>
    <n v="44336696"/>
    <x v="14"/>
    <x v="0"/>
    <s v="Married"/>
    <x v="1"/>
    <n v="0"/>
    <x v="2"/>
    <x v="1"/>
    <n v="1"/>
    <n v="3"/>
    <s v="Life Sciences"/>
    <n v="3"/>
    <n v="4"/>
    <x v="889"/>
    <x v="0"/>
    <n v="0"/>
    <n v="3"/>
    <x v="7"/>
    <x v="0"/>
  </r>
  <r>
    <n v="54013303"/>
    <x v="24"/>
    <x v="0"/>
    <s v="Married"/>
    <x v="1"/>
    <n v="0"/>
    <x v="7"/>
    <x v="1"/>
    <n v="28"/>
    <n v="3"/>
    <s v="Life Sciences"/>
    <n v="4"/>
    <n v="1"/>
    <x v="890"/>
    <x v="3"/>
    <n v="4"/>
    <n v="3"/>
    <x v="11"/>
    <x v="2"/>
  </r>
  <r>
    <n v="74959426"/>
    <x v="32"/>
    <x v="1"/>
    <s v="Single"/>
    <x v="0"/>
    <n v="1"/>
    <x v="0"/>
    <x v="0"/>
    <n v="25"/>
    <n v="4"/>
    <s v="Marketing"/>
    <n v="4"/>
    <n v="2"/>
    <x v="891"/>
    <x v="2"/>
    <n v="2"/>
    <n v="3"/>
    <x v="8"/>
    <x v="0"/>
  </r>
  <r>
    <n v="58201029"/>
    <x v="39"/>
    <x v="1"/>
    <s v="Single"/>
    <x v="0"/>
    <n v="1"/>
    <x v="0"/>
    <x v="0"/>
    <n v="5"/>
    <n v="3"/>
    <s v="Life Sciences"/>
    <n v="2"/>
    <n v="2"/>
    <x v="892"/>
    <x v="0"/>
    <n v="9"/>
    <n v="2"/>
    <x v="3"/>
    <x v="0"/>
  </r>
  <r>
    <n v="39834674"/>
    <x v="7"/>
    <x v="0"/>
    <s v="Married"/>
    <x v="1"/>
    <n v="0"/>
    <x v="5"/>
    <x v="1"/>
    <n v="17"/>
    <n v="4"/>
    <s v="Medical"/>
    <n v="2"/>
    <n v="1"/>
    <x v="893"/>
    <x v="2"/>
    <n v="1"/>
    <n v="3"/>
    <x v="7"/>
    <x v="0"/>
  </r>
  <r>
    <n v="88718763"/>
    <x v="22"/>
    <x v="1"/>
    <s v="Single"/>
    <x v="1"/>
    <n v="0"/>
    <x v="3"/>
    <x v="1"/>
    <n v="18"/>
    <n v="2"/>
    <s v="Life Sciences"/>
    <n v="1"/>
    <n v="3"/>
    <x v="894"/>
    <x v="1"/>
    <n v="0"/>
    <n v="3"/>
    <x v="3"/>
    <x v="0"/>
  </r>
  <r>
    <n v="72374002"/>
    <x v="12"/>
    <x v="0"/>
    <s v="Divorced"/>
    <x v="1"/>
    <n v="0"/>
    <x v="0"/>
    <x v="0"/>
    <n v="2"/>
    <n v="4"/>
    <s v="Life Sciences"/>
    <n v="4"/>
    <n v="3"/>
    <x v="895"/>
    <x v="2"/>
    <n v="1"/>
    <n v="2"/>
    <x v="1"/>
    <x v="1"/>
  </r>
  <r>
    <n v="58489242"/>
    <x v="0"/>
    <x v="1"/>
    <s v="Single"/>
    <x v="1"/>
    <n v="0"/>
    <x v="0"/>
    <x v="0"/>
    <n v="10"/>
    <n v="2"/>
    <s v="Medical"/>
    <n v="3"/>
    <n v="2"/>
    <x v="896"/>
    <x v="0"/>
    <n v="1"/>
    <n v="3"/>
    <x v="27"/>
    <x v="5"/>
  </r>
  <r>
    <n v="58869425"/>
    <x v="12"/>
    <x v="0"/>
    <s v="Single"/>
    <x v="0"/>
    <n v="1"/>
    <x v="6"/>
    <x v="0"/>
    <n v="1"/>
    <n v="3"/>
    <s v="Life Sciences"/>
    <n v="4"/>
    <n v="2"/>
    <x v="897"/>
    <x v="1"/>
    <n v="1"/>
    <n v="4"/>
    <x v="11"/>
    <x v="2"/>
  </r>
  <r>
    <n v="71113048"/>
    <x v="20"/>
    <x v="1"/>
    <s v="Married"/>
    <x v="0"/>
    <n v="1"/>
    <x v="2"/>
    <x v="1"/>
    <n v="3"/>
    <n v="3"/>
    <s v="Life Sciences"/>
    <n v="1"/>
    <n v="1"/>
    <x v="898"/>
    <x v="1"/>
    <n v="4"/>
    <n v="4"/>
    <x v="11"/>
    <x v="2"/>
  </r>
  <r>
    <n v="11460268"/>
    <x v="19"/>
    <x v="1"/>
    <s v="Married"/>
    <x v="1"/>
    <n v="0"/>
    <x v="5"/>
    <x v="1"/>
    <n v="2"/>
    <n v="1"/>
    <s v="Life Sciences"/>
    <n v="3"/>
    <n v="3"/>
    <x v="417"/>
    <x v="4"/>
    <n v="0"/>
    <n v="2"/>
    <x v="23"/>
    <x v="4"/>
  </r>
  <r>
    <n v="76129428"/>
    <x v="27"/>
    <x v="0"/>
    <s v="Married"/>
    <x v="1"/>
    <n v="0"/>
    <x v="5"/>
    <x v="1"/>
    <n v="2"/>
    <n v="2"/>
    <s v="Medical"/>
    <n v="4"/>
    <n v="3"/>
    <x v="899"/>
    <x v="4"/>
    <n v="4"/>
    <n v="3"/>
    <x v="27"/>
    <x v="5"/>
  </r>
  <r>
    <n v="29223738"/>
    <x v="29"/>
    <x v="1"/>
    <s v="Single"/>
    <x v="1"/>
    <n v="0"/>
    <x v="5"/>
    <x v="2"/>
    <n v="8"/>
    <n v="4"/>
    <s v="Life Sciences"/>
    <n v="4"/>
    <n v="2"/>
    <x v="900"/>
    <x v="4"/>
    <n v="6"/>
    <n v="3"/>
    <x v="5"/>
    <x v="0"/>
  </r>
  <r>
    <n v="62724149"/>
    <x v="32"/>
    <x v="1"/>
    <s v="Divorced"/>
    <x v="1"/>
    <n v="0"/>
    <x v="1"/>
    <x v="1"/>
    <n v="16"/>
    <n v="2"/>
    <s v="Life Sciences"/>
    <n v="3"/>
    <n v="3"/>
    <x v="901"/>
    <x v="1"/>
    <n v="9"/>
    <n v="3"/>
    <x v="9"/>
    <x v="2"/>
  </r>
  <r>
    <n v="75083068"/>
    <x v="13"/>
    <x v="1"/>
    <s v="Divorced"/>
    <x v="1"/>
    <n v="0"/>
    <x v="4"/>
    <x v="1"/>
    <n v="9"/>
    <n v="3"/>
    <s v="Life Sciences"/>
    <n v="4"/>
    <n v="4"/>
    <x v="902"/>
    <x v="0"/>
    <n v="0"/>
    <n v="2"/>
    <x v="7"/>
    <x v="0"/>
  </r>
  <r>
    <n v="83746599"/>
    <x v="32"/>
    <x v="1"/>
    <s v="Single"/>
    <x v="1"/>
    <n v="0"/>
    <x v="1"/>
    <x v="1"/>
    <n v="2"/>
    <n v="3"/>
    <s v="Life Sciences"/>
    <n v="3"/>
    <n v="4"/>
    <x v="903"/>
    <x v="1"/>
    <n v="1"/>
    <n v="3"/>
    <x v="7"/>
    <x v="0"/>
  </r>
  <r>
    <n v="62146584"/>
    <x v="0"/>
    <x v="0"/>
    <s v="Divorced"/>
    <x v="1"/>
    <n v="0"/>
    <x v="0"/>
    <x v="0"/>
    <n v="1"/>
    <n v="3"/>
    <s v="Marketing"/>
    <n v="3"/>
    <n v="1"/>
    <x v="904"/>
    <x v="1"/>
    <n v="0"/>
    <n v="3"/>
    <x v="7"/>
    <x v="0"/>
  </r>
  <r>
    <n v="78417883"/>
    <x v="10"/>
    <x v="1"/>
    <s v="Single"/>
    <x v="1"/>
    <n v="0"/>
    <x v="1"/>
    <x v="1"/>
    <n v="4"/>
    <n v="4"/>
    <s v="Life Sciences"/>
    <n v="3"/>
    <n v="3"/>
    <x v="905"/>
    <x v="1"/>
    <n v="1"/>
    <n v="3"/>
    <x v="7"/>
    <x v="0"/>
  </r>
  <r>
    <n v="75357136"/>
    <x v="31"/>
    <x v="1"/>
    <s v="Divorced"/>
    <x v="1"/>
    <n v="0"/>
    <x v="5"/>
    <x v="2"/>
    <n v="5"/>
    <n v="3"/>
    <s v="Life Sciences"/>
    <n v="3"/>
    <n v="2"/>
    <x v="906"/>
    <x v="3"/>
    <n v="1"/>
    <n v="3"/>
    <x v="26"/>
    <x v="8"/>
  </r>
  <r>
    <n v="89511738"/>
    <x v="8"/>
    <x v="0"/>
    <s v="Divorced"/>
    <x v="1"/>
    <n v="0"/>
    <x v="0"/>
    <x v="0"/>
    <n v="2"/>
    <n v="2"/>
    <s v="Life Sciences"/>
    <n v="2"/>
    <n v="1"/>
    <x v="907"/>
    <x v="0"/>
    <n v="3"/>
    <n v="3"/>
    <x v="5"/>
    <x v="0"/>
  </r>
  <r>
    <n v="38647523"/>
    <x v="13"/>
    <x v="0"/>
    <s v="Single"/>
    <x v="1"/>
    <n v="0"/>
    <x v="0"/>
    <x v="0"/>
    <n v="15"/>
    <n v="2"/>
    <s v="Medical"/>
    <n v="3"/>
    <n v="1"/>
    <x v="908"/>
    <x v="0"/>
    <n v="1"/>
    <n v="4"/>
    <x v="1"/>
    <x v="1"/>
  </r>
  <r>
    <n v="22834369"/>
    <x v="36"/>
    <x v="1"/>
    <s v="Married"/>
    <x v="1"/>
    <n v="0"/>
    <x v="2"/>
    <x v="1"/>
    <n v="19"/>
    <n v="1"/>
    <s v="Medical"/>
    <n v="4"/>
    <n v="4"/>
    <x v="909"/>
    <x v="1"/>
    <n v="3"/>
    <n v="2"/>
    <x v="11"/>
    <x v="2"/>
  </r>
  <r>
    <n v="11128584"/>
    <x v="34"/>
    <x v="0"/>
    <s v="Married"/>
    <x v="0"/>
    <n v="1"/>
    <x v="3"/>
    <x v="1"/>
    <n v="7"/>
    <n v="4"/>
    <s v="Medical"/>
    <n v="3"/>
    <n v="1"/>
    <x v="910"/>
    <x v="2"/>
    <n v="7"/>
    <n v="2"/>
    <x v="1"/>
    <x v="1"/>
  </r>
  <r>
    <n v="17794187"/>
    <x v="32"/>
    <x v="1"/>
    <s v="Married"/>
    <x v="1"/>
    <n v="0"/>
    <x v="2"/>
    <x v="1"/>
    <n v="1"/>
    <n v="4"/>
    <s v="Life Sciences"/>
    <n v="2"/>
    <n v="2"/>
    <x v="911"/>
    <x v="1"/>
    <n v="3"/>
    <n v="3"/>
    <x v="9"/>
    <x v="2"/>
  </r>
  <r>
    <n v="20882577"/>
    <x v="9"/>
    <x v="0"/>
    <s v="Married"/>
    <x v="1"/>
    <n v="0"/>
    <x v="0"/>
    <x v="0"/>
    <n v="7"/>
    <n v="3"/>
    <s v="Marketing"/>
    <n v="1"/>
    <n v="1"/>
    <x v="912"/>
    <x v="1"/>
    <n v="2"/>
    <n v="2"/>
    <x v="15"/>
    <x v="5"/>
  </r>
  <r>
    <n v="57354405"/>
    <x v="26"/>
    <x v="1"/>
    <s v="Single"/>
    <x v="1"/>
    <n v="0"/>
    <x v="3"/>
    <x v="1"/>
    <n v="4"/>
    <n v="3"/>
    <s v="Life Sciences"/>
    <n v="4"/>
    <n v="4"/>
    <x v="913"/>
    <x v="0"/>
    <n v="1"/>
    <n v="3"/>
    <x v="1"/>
    <x v="1"/>
  </r>
  <r>
    <n v="29429115"/>
    <x v="4"/>
    <x v="0"/>
    <s v="Married"/>
    <x v="1"/>
    <n v="0"/>
    <x v="6"/>
    <x v="0"/>
    <n v="11"/>
    <n v="3"/>
    <s v="Medical"/>
    <n v="3"/>
    <n v="4"/>
    <x v="914"/>
    <x v="1"/>
    <n v="8"/>
    <n v="3"/>
    <x v="6"/>
    <x v="2"/>
  </r>
  <r>
    <n v="83294722"/>
    <x v="31"/>
    <x v="0"/>
    <s v="Single"/>
    <x v="1"/>
    <n v="0"/>
    <x v="3"/>
    <x v="1"/>
    <n v="11"/>
    <n v="2"/>
    <s v="Technical Degree"/>
    <n v="4"/>
    <n v="2"/>
    <x v="915"/>
    <x v="3"/>
    <n v="3"/>
    <n v="2"/>
    <x v="8"/>
    <x v="0"/>
  </r>
  <r>
    <n v="83775827"/>
    <x v="41"/>
    <x v="0"/>
    <s v="Single"/>
    <x v="1"/>
    <n v="0"/>
    <x v="2"/>
    <x v="1"/>
    <n v="1"/>
    <n v="3"/>
    <s v="Life Sciences"/>
    <n v="4"/>
    <n v="4"/>
    <x v="916"/>
    <x v="1"/>
    <n v="1"/>
    <n v="4"/>
    <x v="2"/>
    <x v="2"/>
  </r>
  <r>
    <n v="64402638"/>
    <x v="10"/>
    <x v="0"/>
    <s v="Married"/>
    <x v="1"/>
    <n v="0"/>
    <x v="2"/>
    <x v="1"/>
    <n v="1"/>
    <n v="3"/>
    <s v="Medical"/>
    <n v="4"/>
    <n v="4"/>
    <x v="917"/>
    <x v="0"/>
    <n v="0"/>
    <n v="3"/>
    <x v="7"/>
    <x v="0"/>
  </r>
  <r>
    <n v="44224344"/>
    <x v="4"/>
    <x v="1"/>
    <s v="Single"/>
    <x v="1"/>
    <n v="0"/>
    <x v="0"/>
    <x v="0"/>
    <n v="2"/>
    <n v="1"/>
    <s v="Life Sciences"/>
    <n v="4"/>
    <n v="4"/>
    <x v="918"/>
    <x v="0"/>
    <n v="3"/>
    <n v="3"/>
    <x v="0"/>
    <x v="0"/>
  </r>
  <r>
    <n v="40015312"/>
    <x v="27"/>
    <x v="1"/>
    <s v="Single"/>
    <x v="0"/>
    <n v="1"/>
    <x v="0"/>
    <x v="0"/>
    <n v="13"/>
    <n v="4"/>
    <s v="Marketing"/>
    <n v="1"/>
    <n v="3"/>
    <x v="919"/>
    <x v="3"/>
    <n v="6"/>
    <n v="2"/>
    <x v="27"/>
    <x v="5"/>
  </r>
  <r>
    <n v="50292973"/>
    <x v="29"/>
    <x v="1"/>
    <s v="Married"/>
    <x v="1"/>
    <n v="0"/>
    <x v="3"/>
    <x v="1"/>
    <n v="23"/>
    <n v="3"/>
    <s v="Life Sciences"/>
    <n v="4"/>
    <n v="2"/>
    <x v="920"/>
    <x v="3"/>
    <n v="4"/>
    <n v="3"/>
    <x v="27"/>
    <x v="5"/>
  </r>
  <r>
    <n v="44457622"/>
    <x v="13"/>
    <x v="0"/>
    <s v="Divorced"/>
    <x v="1"/>
    <n v="0"/>
    <x v="1"/>
    <x v="1"/>
    <n v="26"/>
    <n v="1"/>
    <s v="Technical Degree"/>
    <n v="1"/>
    <n v="3"/>
    <x v="921"/>
    <x v="1"/>
    <n v="1"/>
    <n v="3"/>
    <x v="8"/>
    <x v="0"/>
  </r>
  <r>
    <n v="28699345"/>
    <x v="32"/>
    <x v="0"/>
    <s v="Divorced"/>
    <x v="1"/>
    <n v="0"/>
    <x v="4"/>
    <x v="1"/>
    <n v="2"/>
    <n v="1"/>
    <s v="Medical"/>
    <n v="2"/>
    <n v="3"/>
    <x v="922"/>
    <x v="0"/>
    <n v="5"/>
    <n v="3"/>
    <x v="12"/>
    <x v="1"/>
  </r>
  <r>
    <n v="73665211"/>
    <x v="13"/>
    <x v="1"/>
    <s v="Married"/>
    <x v="1"/>
    <n v="0"/>
    <x v="2"/>
    <x v="1"/>
    <n v="29"/>
    <n v="3"/>
    <s v="Medical"/>
    <n v="2"/>
    <n v="3"/>
    <x v="923"/>
    <x v="0"/>
    <n v="4"/>
    <n v="3"/>
    <x v="3"/>
    <x v="0"/>
  </r>
  <r>
    <n v="56298498"/>
    <x v="12"/>
    <x v="0"/>
    <s v="Single"/>
    <x v="0"/>
    <n v="1"/>
    <x v="6"/>
    <x v="0"/>
    <n v="2"/>
    <n v="3"/>
    <s v="Life Sciences"/>
    <n v="3"/>
    <n v="4"/>
    <x v="924"/>
    <x v="1"/>
    <n v="7"/>
    <n v="4"/>
    <x v="6"/>
    <x v="2"/>
  </r>
  <r>
    <n v="62238827"/>
    <x v="10"/>
    <x v="0"/>
    <s v="Married"/>
    <x v="0"/>
    <n v="1"/>
    <x v="0"/>
    <x v="0"/>
    <n v="18"/>
    <n v="4"/>
    <s v="Marketing"/>
    <n v="4"/>
    <n v="3"/>
    <x v="925"/>
    <x v="1"/>
    <n v="0"/>
    <n v="2"/>
    <x v="9"/>
    <x v="2"/>
  </r>
  <r>
    <n v="39505618"/>
    <x v="8"/>
    <x v="1"/>
    <s v="Divorced"/>
    <x v="1"/>
    <n v="0"/>
    <x v="1"/>
    <x v="1"/>
    <n v="7"/>
    <n v="3"/>
    <s v="Life Sciences"/>
    <n v="4"/>
    <n v="3"/>
    <x v="353"/>
    <x v="1"/>
    <n v="1"/>
    <n v="3"/>
    <x v="9"/>
    <x v="2"/>
  </r>
  <r>
    <n v="59529587"/>
    <x v="13"/>
    <x v="0"/>
    <s v="Single"/>
    <x v="1"/>
    <n v="0"/>
    <x v="4"/>
    <x v="1"/>
    <n v="2"/>
    <n v="4"/>
    <s v="Technical Degree"/>
    <n v="3"/>
    <n v="4"/>
    <x v="926"/>
    <x v="0"/>
    <n v="1"/>
    <n v="4"/>
    <x v="13"/>
    <x v="1"/>
  </r>
  <r>
    <n v="33778188"/>
    <x v="14"/>
    <x v="1"/>
    <s v="Married"/>
    <x v="1"/>
    <n v="0"/>
    <x v="0"/>
    <x v="0"/>
    <n v="26"/>
    <n v="3"/>
    <s v="Life Sciences"/>
    <n v="3"/>
    <n v="1"/>
    <x v="927"/>
    <x v="1"/>
    <n v="1"/>
    <n v="3"/>
    <x v="8"/>
    <x v="0"/>
  </r>
  <r>
    <n v="64733363"/>
    <x v="12"/>
    <x v="1"/>
    <s v="Married"/>
    <x v="0"/>
    <n v="1"/>
    <x v="3"/>
    <x v="1"/>
    <n v="22"/>
    <n v="4"/>
    <s v="Medical"/>
    <n v="4"/>
    <n v="3"/>
    <x v="928"/>
    <x v="0"/>
    <n v="1"/>
    <n v="2"/>
    <x v="1"/>
    <x v="1"/>
  </r>
  <r>
    <n v="80881861"/>
    <x v="22"/>
    <x v="1"/>
    <s v="Married"/>
    <x v="1"/>
    <n v="0"/>
    <x v="0"/>
    <x v="0"/>
    <n v="21"/>
    <n v="4"/>
    <s v="Life Sciences"/>
    <n v="1"/>
    <n v="4"/>
    <x v="929"/>
    <x v="0"/>
    <n v="3"/>
    <n v="4"/>
    <x v="8"/>
    <x v="0"/>
  </r>
  <r>
    <n v="67773068"/>
    <x v="31"/>
    <x v="1"/>
    <s v="Married"/>
    <x v="1"/>
    <n v="0"/>
    <x v="0"/>
    <x v="0"/>
    <n v="2"/>
    <n v="3"/>
    <s v="Marketing"/>
    <n v="2"/>
    <n v="2"/>
    <x v="930"/>
    <x v="2"/>
    <n v="2"/>
    <n v="3"/>
    <x v="9"/>
    <x v="2"/>
  </r>
  <r>
    <n v="11264601"/>
    <x v="0"/>
    <x v="0"/>
    <s v="Divorced"/>
    <x v="1"/>
    <n v="0"/>
    <x v="1"/>
    <x v="1"/>
    <n v="22"/>
    <n v="3"/>
    <s v="Life Sciences"/>
    <n v="4"/>
    <n v="4"/>
    <x v="931"/>
    <x v="0"/>
    <n v="3"/>
    <n v="2"/>
    <x v="0"/>
    <x v="0"/>
  </r>
  <r>
    <n v="63141399"/>
    <x v="2"/>
    <x v="1"/>
    <s v="Married"/>
    <x v="1"/>
    <n v="0"/>
    <x v="1"/>
    <x v="1"/>
    <n v="4"/>
    <n v="1"/>
    <s v="Life Sciences"/>
    <n v="3"/>
    <n v="3"/>
    <x v="932"/>
    <x v="1"/>
    <n v="7"/>
    <n v="3"/>
    <x v="0"/>
    <x v="0"/>
  </r>
  <r>
    <n v="18007102"/>
    <x v="3"/>
    <x v="1"/>
    <s v="Married"/>
    <x v="1"/>
    <n v="0"/>
    <x v="0"/>
    <x v="0"/>
    <n v="5"/>
    <n v="1"/>
    <s v="Life Sciences"/>
    <n v="2"/>
    <n v="4"/>
    <x v="933"/>
    <x v="2"/>
    <n v="6"/>
    <n v="4"/>
    <x v="8"/>
    <x v="0"/>
  </r>
  <r>
    <n v="82939190"/>
    <x v="5"/>
    <x v="1"/>
    <s v="Married"/>
    <x v="1"/>
    <n v="0"/>
    <x v="0"/>
    <x v="0"/>
    <n v="2"/>
    <n v="1"/>
    <s v="Marketing"/>
    <n v="3"/>
    <n v="2"/>
    <x v="934"/>
    <x v="1"/>
    <n v="0"/>
    <n v="2"/>
    <x v="11"/>
    <x v="2"/>
  </r>
  <r>
    <n v="72118805"/>
    <x v="22"/>
    <x v="1"/>
    <s v="Married"/>
    <x v="1"/>
    <n v="0"/>
    <x v="4"/>
    <x v="1"/>
    <n v="25"/>
    <n v="2"/>
    <s v="Life Sciences"/>
    <n v="3"/>
    <n v="3"/>
    <x v="935"/>
    <x v="2"/>
    <n v="3"/>
    <n v="3"/>
    <x v="0"/>
    <x v="0"/>
  </r>
  <r>
    <n v="35713507"/>
    <x v="36"/>
    <x v="1"/>
    <s v="Married"/>
    <x v="1"/>
    <n v="0"/>
    <x v="0"/>
    <x v="0"/>
    <n v="18"/>
    <n v="1"/>
    <s v="Life Sciences"/>
    <n v="1"/>
    <n v="3"/>
    <x v="936"/>
    <x v="0"/>
    <n v="2"/>
    <n v="2"/>
    <x v="11"/>
    <x v="2"/>
  </r>
  <r>
    <n v="34022312"/>
    <x v="39"/>
    <x v="0"/>
    <s v="Married"/>
    <x v="1"/>
    <n v="0"/>
    <x v="3"/>
    <x v="1"/>
    <n v="28"/>
    <n v="2"/>
    <s v="Medical"/>
    <n v="4"/>
    <n v="3"/>
    <x v="937"/>
    <x v="3"/>
    <n v="2"/>
    <n v="2"/>
    <x v="8"/>
    <x v="0"/>
  </r>
  <r>
    <n v="13918289"/>
    <x v="23"/>
    <x v="0"/>
    <s v="Single"/>
    <x v="1"/>
    <n v="0"/>
    <x v="1"/>
    <x v="1"/>
    <n v="6"/>
    <n v="3"/>
    <s v="Medical"/>
    <n v="1"/>
    <n v="3"/>
    <x v="938"/>
    <x v="1"/>
    <n v="1"/>
    <n v="1"/>
    <x v="23"/>
    <x v="4"/>
  </r>
  <r>
    <n v="58328855"/>
    <x v="4"/>
    <x v="0"/>
    <s v="Married"/>
    <x v="1"/>
    <n v="0"/>
    <x v="0"/>
    <x v="0"/>
    <n v="10"/>
    <n v="3"/>
    <s v="Marketing"/>
    <n v="4"/>
    <n v="4"/>
    <x v="939"/>
    <x v="0"/>
    <n v="1"/>
    <n v="3"/>
    <x v="0"/>
    <x v="0"/>
  </r>
  <r>
    <n v="70823455"/>
    <x v="4"/>
    <x v="0"/>
    <s v="Single"/>
    <x v="0"/>
    <n v="1"/>
    <x v="1"/>
    <x v="1"/>
    <n v="17"/>
    <n v="4"/>
    <s v="Life Sciences"/>
    <n v="4"/>
    <n v="3"/>
    <x v="940"/>
    <x v="1"/>
    <n v="1"/>
    <n v="3"/>
    <x v="3"/>
    <x v="0"/>
  </r>
  <r>
    <n v="15211137"/>
    <x v="25"/>
    <x v="1"/>
    <s v="Single"/>
    <x v="1"/>
    <n v="0"/>
    <x v="1"/>
    <x v="1"/>
    <n v="2"/>
    <n v="1"/>
    <s v="Medical"/>
    <n v="1"/>
    <n v="4"/>
    <x v="885"/>
    <x v="1"/>
    <n v="0"/>
    <n v="3"/>
    <x v="9"/>
    <x v="2"/>
  </r>
  <r>
    <n v="33871590"/>
    <x v="19"/>
    <x v="0"/>
    <s v="Married"/>
    <x v="1"/>
    <n v="0"/>
    <x v="5"/>
    <x v="2"/>
    <n v="10"/>
    <n v="3"/>
    <s v="Human Resources"/>
    <n v="3"/>
    <n v="1"/>
    <x v="941"/>
    <x v="3"/>
    <n v="0"/>
    <n v="3"/>
    <x v="23"/>
    <x v="4"/>
  </r>
  <r>
    <n v="50982244"/>
    <x v="39"/>
    <x v="0"/>
    <s v="Married"/>
    <x v="1"/>
    <n v="0"/>
    <x v="2"/>
    <x v="1"/>
    <n v="8"/>
    <n v="4"/>
    <s v="Other"/>
    <n v="3"/>
    <n v="1"/>
    <x v="942"/>
    <x v="1"/>
    <n v="9"/>
    <n v="1"/>
    <x v="8"/>
    <x v="0"/>
  </r>
  <r>
    <n v="85260102"/>
    <x v="2"/>
    <x v="0"/>
    <s v="Single"/>
    <x v="1"/>
    <n v="0"/>
    <x v="2"/>
    <x v="1"/>
    <n v="11"/>
    <n v="3"/>
    <s v="Medical"/>
    <n v="1"/>
    <n v="3"/>
    <x v="943"/>
    <x v="1"/>
    <n v="4"/>
    <n v="3"/>
    <x v="11"/>
    <x v="2"/>
  </r>
  <r>
    <n v="57821024"/>
    <x v="10"/>
    <x v="1"/>
    <s v="Single"/>
    <x v="1"/>
    <n v="0"/>
    <x v="3"/>
    <x v="1"/>
    <n v="18"/>
    <n v="2"/>
    <s v="Life Sciences"/>
    <n v="3"/>
    <n v="4"/>
    <x v="944"/>
    <x v="2"/>
    <n v="2"/>
    <n v="3"/>
    <x v="4"/>
    <x v="2"/>
  </r>
  <r>
    <n v="41744636"/>
    <x v="36"/>
    <x v="1"/>
    <s v="Married"/>
    <x v="1"/>
    <n v="0"/>
    <x v="2"/>
    <x v="1"/>
    <n v="1"/>
    <n v="3"/>
    <s v="Technical Degree"/>
    <n v="1"/>
    <n v="4"/>
    <x v="945"/>
    <x v="1"/>
    <n v="4"/>
    <n v="2"/>
    <x v="11"/>
    <x v="2"/>
  </r>
  <r>
    <n v="86845558"/>
    <x v="25"/>
    <x v="1"/>
    <s v="Single"/>
    <x v="1"/>
    <n v="0"/>
    <x v="2"/>
    <x v="1"/>
    <n v="7"/>
    <n v="3"/>
    <s v="Other"/>
    <n v="3"/>
    <n v="1"/>
    <x v="946"/>
    <x v="1"/>
    <n v="0"/>
    <n v="3"/>
    <x v="5"/>
    <x v="0"/>
  </r>
  <r>
    <n v="81314211"/>
    <x v="11"/>
    <x v="1"/>
    <s v="Single"/>
    <x v="1"/>
    <n v="0"/>
    <x v="8"/>
    <x v="2"/>
    <n v="17"/>
    <n v="3"/>
    <s v="Other"/>
    <n v="2"/>
    <n v="1"/>
    <x v="947"/>
    <x v="0"/>
    <n v="1"/>
    <n v="2"/>
    <x v="1"/>
    <x v="1"/>
  </r>
  <r>
    <n v="36149534"/>
    <x v="1"/>
    <x v="1"/>
    <s v="Single"/>
    <x v="0"/>
    <n v="1"/>
    <x v="2"/>
    <x v="1"/>
    <n v="28"/>
    <n v="2"/>
    <s v="Life Sciences"/>
    <n v="1"/>
    <n v="1"/>
    <x v="948"/>
    <x v="1"/>
    <n v="3"/>
    <n v="3"/>
    <x v="9"/>
    <x v="2"/>
  </r>
  <r>
    <n v="32801256"/>
    <x v="11"/>
    <x v="0"/>
    <s v="Single"/>
    <x v="0"/>
    <n v="1"/>
    <x v="4"/>
    <x v="1"/>
    <n v="14"/>
    <n v="1"/>
    <s v="Other"/>
    <n v="3"/>
    <n v="4"/>
    <x v="949"/>
    <x v="0"/>
    <n v="0"/>
    <n v="3"/>
    <x v="3"/>
    <x v="0"/>
  </r>
  <r>
    <n v="53999023"/>
    <x v="33"/>
    <x v="0"/>
    <s v="Single"/>
    <x v="1"/>
    <n v="0"/>
    <x v="7"/>
    <x v="1"/>
    <n v="1"/>
    <n v="3"/>
    <s v="Medical"/>
    <n v="4"/>
    <n v="4"/>
    <x v="109"/>
    <x v="4"/>
    <n v="6"/>
    <n v="2"/>
    <x v="23"/>
    <x v="4"/>
  </r>
  <r>
    <n v="79582046"/>
    <x v="34"/>
    <x v="0"/>
    <s v="Married"/>
    <x v="1"/>
    <n v="0"/>
    <x v="7"/>
    <x v="1"/>
    <n v="1"/>
    <n v="3"/>
    <s v="Medical"/>
    <n v="4"/>
    <n v="1"/>
    <x v="950"/>
    <x v="4"/>
    <n v="3"/>
    <n v="3"/>
    <x v="7"/>
    <x v="0"/>
  </r>
  <r>
    <n v="26104340"/>
    <x v="27"/>
    <x v="1"/>
    <s v="Divorced"/>
    <x v="1"/>
    <n v="0"/>
    <x v="7"/>
    <x v="1"/>
    <n v="1"/>
    <n v="4"/>
    <s v="Medical"/>
    <n v="2"/>
    <n v="4"/>
    <x v="951"/>
    <x v="3"/>
    <n v="2"/>
    <n v="4"/>
    <x v="5"/>
    <x v="0"/>
  </r>
  <r>
    <n v="79812422"/>
    <x v="9"/>
    <x v="0"/>
    <s v="Single"/>
    <x v="1"/>
    <n v="0"/>
    <x v="0"/>
    <x v="0"/>
    <n v="3"/>
    <n v="4"/>
    <s v="Marketing"/>
    <n v="1"/>
    <n v="2"/>
    <x v="952"/>
    <x v="2"/>
    <n v="3"/>
    <n v="3"/>
    <x v="8"/>
    <x v="0"/>
  </r>
  <r>
    <n v="65091586"/>
    <x v="12"/>
    <x v="0"/>
    <s v="Single"/>
    <x v="0"/>
    <n v="1"/>
    <x v="6"/>
    <x v="0"/>
    <n v="1"/>
    <n v="4"/>
    <s v="Life Sciences"/>
    <n v="2"/>
    <n v="3"/>
    <x v="953"/>
    <x v="1"/>
    <n v="1"/>
    <n v="3"/>
    <x v="6"/>
    <x v="2"/>
  </r>
  <r>
    <n v="42008627"/>
    <x v="7"/>
    <x v="0"/>
    <s v="Divorced"/>
    <x v="1"/>
    <n v="0"/>
    <x v="0"/>
    <x v="0"/>
    <n v="7"/>
    <n v="4"/>
    <s v="Marketing"/>
    <n v="4"/>
    <n v="1"/>
    <x v="586"/>
    <x v="1"/>
    <n v="7"/>
    <n v="3"/>
    <x v="11"/>
    <x v="2"/>
  </r>
  <r>
    <n v="60814943"/>
    <x v="12"/>
    <x v="0"/>
    <s v="Single"/>
    <x v="1"/>
    <n v="0"/>
    <x v="7"/>
    <x v="1"/>
    <n v="8"/>
    <n v="5"/>
    <s v="Life Sciences"/>
    <n v="1"/>
    <n v="2"/>
    <x v="954"/>
    <x v="3"/>
    <n v="3"/>
    <n v="4"/>
    <x v="11"/>
    <x v="2"/>
  </r>
  <r>
    <n v="58905659"/>
    <x v="13"/>
    <x v="1"/>
    <s v="Divorced"/>
    <x v="1"/>
    <n v="0"/>
    <x v="1"/>
    <x v="1"/>
    <n v="1"/>
    <n v="4"/>
    <s v="Other"/>
    <n v="4"/>
    <n v="1"/>
    <x v="932"/>
    <x v="1"/>
    <n v="5"/>
    <n v="3"/>
    <x v="9"/>
    <x v="2"/>
  </r>
  <r>
    <n v="75617102"/>
    <x v="12"/>
    <x v="0"/>
    <s v="Single"/>
    <x v="0"/>
    <n v="1"/>
    <x v="1"/>
    <x v="1"/>
    <n v="8"/>
    <n v="3"/>
    <s v="Life Sciences"/>
    <n v="1"/>
    <n v="2"/>
    <x v="955"/>
    <x v="1"/>
    <n v="1"/>
    <n v="4"/>
    <x v="6"/>
    <x v="2"/>
  </r>
  <r>
    <n v="63859381"/>
    <x v="4"/>
    <x v="1"/>
    <s v="Married"/>
    <x v="1"/>
    <n v="0"/>
    <x v="2"/>
    <x v="1"/>
    <n v="11"/>
    <n v="1"/>
    <s v="Life Sciences"/>
    <n v="2"/>
    <n v="1"/>
    <x v="956"/>
    <x v="1"/>
    <n v="0"/>
    <n v="4"/>
    <x v="8"/>
    <x v="0"/>
  </r>
  <r>
    <n v="87955687"/>
    <x v="9"/>
    <x v="1"/>
    <s v="Single"/>
    <x v="1"/>
    <n v="0"/>
    <x v="2"/>
    <x v="1"/>
    <n v="4"/>
    <n v="4"/>
    <s v="Life Sciences"/>
    <n v="1"/>
    <n v="4"/>
    <x v="957"/>
    <x v="0"/>
    <n v="1"/>
    <n v="2"/>
    <x v="1"/>
    <x v="1"/>
  </r>
  <r>
    <n v="50528148"/>
    <x v="9"/>
    <x v="0"/>
    <s v="Married"/>
    <x v="1"/>
    <n v="0"/>
    <x v="0"/>
    <x v="0"/>
    <n v="16"/>
    <n v="4"/>
    <s v="Marketing"/>
    <n v="3"/>
    <n v="1"/>
    <x v="958"/>
    <x v="0"/>
    <n v="4"/>
    <n v="2"/>
    <x v="11"/>
    <x v="2"/>
  </r>
  <r>
    <n v="45401323"/>
    <x v="40"/>
    <x v="1"/>
    <s v="Married"/>
    <x v="1"/>
    <n v="0"/>
    <x v="1"/>
    <x v="1"/>
    <n v="1"/>
    <n v="3"/>
    <s v="Technical Degree"/>
    <n v="1"/>
    <n v="4"/>
    <x v="959"/>
    <x v="1"/>
    <n v="7"/>
    <n v="2"/>
    <x v="0"/>
    <x v="0"/>
  </r>
  <r>
    <n v="57466576"/>
    <x v="36"/>
    <x v="1"/>
    <s v="Married"/>
    <x v="0"/>
    <n v="1"/>
    <x v="6"/>
    <x v="0"/>
    <n v="9"/>
    <n v="2"/>
    <s v="Life Sciences"/>
    <n v="1"/>
    <n v="1"/>
    <x v="960"/>
    <x v="1"/>
    <n v="3"/>
    <n v="3"/>
    <x v="11"/>
    <x v="2"/>
  </r>
  <r>
    <n v="30507815"/>
    <x v="2"/>
    <x v="1"/>
    <s v="Single"/>
    <x v="1"/>
    <n v="0"/>
    <x v="2"/>
    <x v="1"/>
    <n v="5"/>
    <n v="2"/>
    <s v="Technical Degree"/>
    <n v="3"/>
    <n v="3"/>
    <x v="961"/>
    <x v="1"/>
    <n v="0"/>
    <n v="1"/>
    <x v="0"/>
    <x v="0"/>
  </r>
  <r>
    <n v="80715264"/>
    <x v="29"/>
    <x v="0"/>
    <s v="Married"/>
    <x v="1"/>
    <n v="0"/>
    <x v="1"/>
    <x v="1"/>
    <n v="1"/>
    <n v="2"/>
    <s v="Life Sciences"/>
    <n v="1"/>
    <n v="1"/>
    <x v="962"/>
    <x v="1"/>
    <n v="2"/>
    <n v="4"/>
    <x v="11"/>
    <x v="2"/>
  </r>
  <r>
    <n v="39910831"/>
    <x v="40"/>
    <x v="0"/>
    <s v="Married"/>
    <x v="1"/>
    <n v="0"/>
    <x v="7"/>
    <x v="1"/>
    <n v="2"/>
    <n v="4"/>
    <s v="Medical"/>
    <n v="1"/>
    <n v="3"/>
    <x v="963"/>
    <x v="4"/>
    <n v="3"/>
    <n v="4"/>
    <x v="23"/>
    <x v="4"/>
  </r>
  <r>
    <n v="49805977"/>
    <x v="17"/>
    <x v="0"/>
    <s v="Married"/>
    <x v="1"/>
    <n v="0"/>
    <x v="0"/>
    <x v="0"/>
    <n v="4"/>
    <n v="1"/>
    <s v="Medical"/>
    <n v="4"/>
    <n v="3"/>
    <x v="964"/>
    <x v="1"/>
    <n v="1"/>
    <n v="3"/>
    <x v="8"/>
    <x v="0"/>
  </r>
  <r>
    <n v="25563708"/>
    <x v="5"/>
    <x v="1"/>
    <s v="Married"/>
    <x v="1"/>
    <n v="0"/>
    <x v="0"/>
    <x v="0"/>
    <n v="7"/>
    <n v="5"/>
    <s v="Marketing"/>
    <n v="4"/>
    <n v="4"/>
    <x v="965"/>
    <x v="2"/>
    <n v="4"/>
    <n v="2"/>
    <x v="9"/>
    <x v="2"/>
  </r>
  <r>
    <n v="85573950"/>
    <x v="13"/>
    <x v="0"/>
    <s v="Married"/>
    <x v="1"/>
    <n v="0"/>
    <x v="2"/>
    <x v="1"/>
    <n v="1"/>
    <n v="3"/>
    <s v="Life Sciences"/>
    <n v="4"/>
    <n v="2"/>
    <x v="635"/>
    <x v="1"/>
    <n v="5"/>
    <n v="2"/>
    <x v="8"/>
    <x v="0"/>
  </r>
  <r>
    <n v="55401968"/>
    <x v="0"/>
    <x v="1"/>
    <s v="Married"/>
    <x v="1"/>
    <n v="0"/>
    <x v="1"/>
    <x v="1"/>
    <n v="5"/>
    <n v="5"/>
    <s v="Medical"/>
    <n v="2"/>
    <n v="3"/>
    <x v="459"/>
    <x v="1"/>
    <n v="2"/>
    <n v="2"/>
    <x v="9"/>
    <x v="2"/>
  </r>
  <r>
    <n v="80793122"/>
    <x v="32"/>
    <x v="1"/>
    <s v="Divorced"/>
    <x v="1"/>
    <n v="0"/>
    <x v="2"/>
    <x v="1"/>
    <n v="9"/>
    <n v="4"/>
    <s v="Other"/>
    <n v="3"/>
    <n v="3"/>
    <x v="966"/>
    <x v="1"/>
    <n v="3"/>
    <n v="4"/>
    <x v="3"/>
    <x v="0"/>
  </r>
  <r>
    <n v="50917065"/>
    <x v="12"/>
    <x v="1"/>
    <s v="Divorced"/>
    <x v="1"/>
    <n v="0"/>
    <x v="0"/>
    <x v="0"/>
    <n v="8"/>
    <n v="2"/>
    <s v="Life Sciences"/>
    <n v="1"/>
    <n v="4"/>
    <x v="967"/>
    <x v="2"/>
    <n v="1"/>
    <n v="3"/>
    <x v="20"/>
    <x v="1"/>
  </r>
  <r>
    <n v="36506988"/>
    <x v="21"/>
    <x v="1"/>
    <s v="Divorced"/>
    <x v="0"/>
    <n v="1"/>
    <x v="0"/>
    <x v="0"/>
    <n v="9"/>
    <n v="3"/>
    <s v="Marketing"/>
    <n v="1"/>
    <n v="4"/>
    <x v="61"/>
    <x v="2"/>
    <n v="4"/>
    <n v="4"/>
    <x v="5"/>
    <x v="0"/>
  </r>
  <r>
    <n v="15165061"/>
    <x v="22"/>
    <x v="0"/>
    <s v="Single"/>
    <x v="0"/>
    <n v="1"/>
    <x v="2"/>
    <x v="1"/>
    <n v="2"/>
    <n v="3"/>
    <s v="Life Sciences"/>
    <n v="1"/>
    <n v="1"/>
    <x v="968"/>
    <x v="1"/>
    <n v="2"/>
    <n v="4"/>
    <x v="6"/>
    <x v="2"/>
  </r>
  <r>
    <n v="70002709"/>
    <x v="12"/>
    <x v="0"/>
    <s v="Single"/>
    <x v="0"/>
    <n v="1"/>
    <x v="3"/>
    <x v="1"/>
    <n v="1"/>
    <n v="5"/>
    <s v="Life Sciences"/>
    <n v="3"/>
    <n v="2"/>
    <x v="969"/>
    <x v="0"/>
    <n v="1"/>
    <n v="3"/>
    <x v="1"/>
    <x v="1"/>
  </r>
  <r>
    <n v="84707186"/>
    <x v="28"/>
    <x v="1"/>
    <s v="Divorced"/>
    <x v="1"/>
    <n v="0"/>
    <x v="4"/>
    <x v="1"/>
    <n v="20"/>
    <n v="3"/>
    <s v="Medical"/>
    <n v="2"/>
    <n v="1"/>
    <x v="970"/>
    <x v="2"/>
    <n v="2"/>
    <n v="3"/>
    <x v="5"/>
    <x v="0"/>
  </r>
  <r>
    <n v="29913706"/>
    <x v="12"/>
    <x v="0"/>
    <s v="Single"/>
    <x v="1"/>
    <n v="0"/>
    <x v="8"/>
    <x v="2"/>
    <n v="8"/>
    <n v="2"/>
    <s v="Medical"/>
    <n v="4"/>
    <n v="2"/>
    <x v="971"/>
    <x v="1"/>
    <n v="9"/>
    <n v="3"/>
    <x v="11"/>
    <x v="2"/>
  </r>
  <r>
    <n v="45129504"/>
    <x v="12"/>
    <x v="1"/>
    <s v="Married"/>
    <x v="0"/>
    <n v="1"/>
    <x v="2"/>
    <x v="1"/>
    <n v="2"/>
    <n v="3"/>
    <s v="Life Sciences"/>
    <n v="2"/>
    <n v="4"/>
    <x v="972"/>
    <x v="1"/>
    <n v="6"/>
    <n v="1"/>
    <x v="4"/>
    <x v="2"/>
  </r>
  <r>
    <n v="74868300"/>
    <x v="28"/>
    <x v="1"/>
    <s v="Married"/>
    <x v="1"/>
    <n v="0"/>
    <x v="3"/>
    <x v="1"/>
    <n v="29"/>
    <n v="3"/>
    <s v="Technical Degree"/>
    <n v="2"/>
    <n v="4"/>
    <x v="973"/>
    <x v="2"/>
    <n v="4"/>
    <n v="4"/>
    <x v="11"/>
    <x v="2"/>
  </r>
  <r>
    <n v="58272662"/>
    <x v="26"/>
    <x v="1"/>
    <s v="Divorced"/>
    <x v="1"/>
    <n v="0"/>
    <x v="0"/>
    <x v="0"/>
    <n v="7"/>
    <n v="3"/>
    <s v="Marketing"/>
    <n v="3"/>
    <n v="1"/>
    <x v="974"/>
    <x v="0"/>
    <n v="4"/>
    <n v="3"/>
    <x v="4"/>
    <x v="2"/>
  </r>
  <r>
    <n v="87416536"/>
    <x v="13"/>
    <x v="0"/>
    <s v="Married"/>
    <x v="0"/>
    <n v="1"/>
    <x v="8"/>
    <x v="2"/>
    <n v="9"/>
    <n v="4"/>
    <s v="Technical Degree"/>
    <n v="1"/>
    <n v="3"/>
    <x v="975"/>
    <x v="1"/>
    <n v="1"/>
    <n v="3"/>
    <x v="4"/>
    <x v="2"/>
  </r>
  <r>
    <n v="53484219"/>
    <x v="32"/>
    <x v="1"/>
    <s v="Divorced"/>
    <x v="1"/>
    <n v="0"/>
    <x v="7"/>
    <x v="1"/>
    <n v="8"/>
    <n v="1"/>
    <s v="Medical"/>
    <n v="4"/>
    <n v="2"/>
    <x v="976"/>
    <x v="3"/>
    <n v="2"/>
    <n v="3"/>
    <x v="7"/>
    <x v="0"/>
  </r>
  <r>
    <n v="66731420"/>
    <x v="14"/>
    <x v="1"/>
    <s v="Single"/>
    <x v="1"/>
    <n v="0"/>
    <x v="0"/>
    <x v="0"/>
    <n v="5"/>
    <n v="3"/>
    <s v="Medical"/>
    <n v="4"/>
    <n v="1"/>
    <x v="977"/>
    <x v="0"/>
    <n v="0"/>
    <n v="3"/>
    <x v="8"/>
    <x v="0"/>
  </r>
  <r>
    <n v="45714828"/>
    <x v="20"/>
    <x v="1"/>
    <s v="Single"/>
    <x v="1"/>
    <n v="0"/>
    <x v="2"/>
    <x v="1"/>
    <n v="5"/>
    <n v="3"/>
    <s v="Life Sciences"/>
    <n v="3"/>
    <n v="3"/>
    <x v="612"/>
    <x v="1"/>
    <n v="3"/>
    <n v="3"/>
    <x v="8"/>
    <x v="0"/>
  </r>
  <r>
    <n v="31316152"/>
    <x v="16"/>
    <x v="1"/>
    <s v="Single"/>
    <x v="1"/>
    <n v="0"/>
    <x v="7"/>
    <x v="1"/>
    <n v="2"/>
    <n v="3"/>
    <s v="Medical"/>
    <n v="4"/>
    <n v="2"/>
    <x v="978"/>
    <x v="3"/>
    <n v="4"/>
    <n v="2"/>
    <x v="7"/>
    <x v="0"/>
  </r>
  <r>
    <n v="86971918"/>
    <x v="1"/>
    <x v="1"/>
    <s v="Married"/>
    <x v="1"/>
    <n v="0"/>
    <x v="4"/>
    <x v="1"/>
    <n v="5"/>
    <n v="4"/>
    <s v="Technical Degree"/>
    <n v="1"/>
    <n v="3"/>
    <x v="979"/>
    <x v="0"/>
    <n v="2"/>
    <n v="2"/>
    <x v="11"/>
    <x v="2"/>
  </r>
  <r>
    <n v="19934768"/>
    <x v="32"/>
    <x v="1"/>
    <s v="Divorced"/>
    <x v="1"/>
    <n v="0"/>
    <x v="1"/>
    <x v="1"/>
    <n v="2"/>
    <n v="3"/>
    <s v="Medical"/>
    <n v="3"/>
    <n v="3"/>
    <x v="980"/>
    <x v="1"/>
    <n v="2"/>
    <n v="4"/>
    <x v="11"/>
    <x v="2"/>
  </r>
  <r>
    <n v="34714944"/>
    <x v="20"/>
    <x v="1"/>
    <s v="Single"/>
    <x v="1"/>
    <n v="0"/>
    <x v="1"/>
    <x v="1"/>
    <n v="20"/>
    <n v="3"/>
    <s v="Life Sciences"/>
    <n v="4"/>
    <n v="2"/>
    <x v="959"/>
    <x v="1"/>
    <n v="1"/>
    <n v="2"/>
    <x v="8"/>
    <x v="0"/>
  </r>
  <r>
    <n v="51449380"/>
    <x v="3"/>
    <x v="1"/>
    <s v="Married"/>
    <x v="1"/>
    <n v="0"/>
    <x v="0"/>
    <x v="0"/>
    <n v="7"/>
    <n v="3"/>
    <s v="Medical"/>
    <n v="4"/>
    <n v="1"/>
    <x v="981"/>
    <x v="1"/>
    <n v="0"/>
    <n v="3"/>
    <x v="9"/>
    <x v="2"/>
  </r>
  <r>
    <n v="70329590"/>
    <x v="13"/>
    <x v="1"/>
    <s v="Single"/>
    <x v="1"/>
    <n v="0"/>
    <x v="0"/>
    <x v="0"/>
    <n v="3"/>
    <n v="3"/>
    <s v="Other"/>
    <n v="4"/>
    <n v="1"/>
    <x v="982"/>
    <x v="1"/>
    <n v="3"/>
    <n v="3"/>
    <x v="20"/>
    <x v="1"/>
  </r>
  <r>
    <n v="87788806"/>
    <x v="7"/>
    <x v="1"/>
    <s v="Married"/>
    <x v="1"/>
    <n v="0"/>
    <x v="0"/>
    <x v="0"/>
    <n v="16"/>
    <n v="1"/>
    <s v="Life Sciences"/>
    <n v="4"/>
    <n v="3"/>
    <x v="983"/>
    <x v="0"/>
    <n v="8"/>
    <n v="2"/>
    <x v="4"/>
    <x v="2"/>
  </r>
  <r>
    <n v="69191324"/>
    <x v="19"/>
    <x v="0"/>
    <s v="Single"/>
    <x v="1"/>
    <n v="0"/>
    <x v="2"/>
    <x v="1"/>
    <n v="9"/>
    <n v="2"/>
    <s v="Medical"/>
    <n v="1"/>
    <n v="4"/>
    <x v="984"/>
    <x v="1"/>
    <n v="1"/>
    <n v="3"/>
    <x v="12"/>
    <x v="1"/>
  </r>
  <r>
    <n v="33570801"/>
    <x v="20"/>
    <x v="0"/>
    <s v="Married"/>
    <x v="1"/>
    <n v="0"/>
    <x v="0"/>
    <x v="0"/>
    <n v="1"/>
    <n v="5"/>
    <s v="Marketing"/>
    <n v="1"/>
    <n v="3"/>
    <x v="985"/>
    <x v="1"/>
    <n v="7"/>
    <n v="2"/>
    <x v="6"/>
    <x v="2"/>
  </r>
  <r>
    <n v="65934364"/>
    <x v="7"/>
    <x v="1"/>
    <s v="Divorced"/>
    <x v="1"/>
    <n v="0"/>
    <x v="1"/>
    <x v="1"/>
    <n v="7"/>
    <n v="3"/>
    <s v="Technical Degree"/>
    <n v="3"/>
    <n v="3"/>
    <x v="986"/>
    <x v="1"/>
    <n v="1"/>
    <n v="2"/>
    <x v="6"/>
    <x v="2"/>
  </r>
  <r>
    <n v="62991579"/>
    <x v="38"/>
    <x v="1"/>
    <s v="Married"/>
    <x v="1"/>
    <n v="0"/>
    <x v="1"/>
    <x v="1"/>
    <n v="1"/>
    <n v="2"/>
    <s v="Life Sciences"/>
    <n v="2"/>
    <n v="3"/>
    <x v="987"/>
    <x v="1"/>
    <n v="0"/>
    <n v="2"/>
    <x v="12"/>
    <x v="1"/>
  </r>
  <r>
    <n v="59026845"/>
    <x v="1"/>
    <x v="1"/>
    <s v="Divorced"/>
    <x v="1"/>
    <n v="0"/>
    <x v="4"/>
    <x v="1"/>
    <n v="7"/>
    <n v="4"/>
    <s v="Life Sciences"/>
    <n v="3"/>
    <n v="2"/>
    <x v="988"/>
    <x v="2"/>
    <n v="3"/>
    <n v="3"/>
    <x v="3"/>
    <x v="0"/>
  </r>
  <r>
    <n v="17980361"/>
    <x v="13"/>
    <x v="1"/>
    <s v="Divorced"/>
    <x v="1"/>
    <n v="0"/>
    <x v="7"/>
    <x v="1"/>
    <n v="15"/>
    <n v="3"/>
    <s v="Medical"/>
    <n v="2"/>
    <n v="1"/>
    <x v="989"/>
    <x v="4"/>
    <n v="7"/>
    <n v="2"/>
    <x v="13"/>
    <x v="1"/>
  </r>
  <r>
    <n v="36714227"/>
    <x v="14"/>
    <x v="1"/>
    <s v="Married"/>
    <x v="0"/>
    <n v="1"/>
    <x v="6"/>
    <x v="0"/>
    <n v="1"/>
    <n v="3"/>
    <s v="Technical Degree"/>
    <n v="1"/>
    <n v="3"/>
    <x v="3"/>
    <x v="1"/>
    <n v="3"/>
    <n v="4"/>
    <x v="11"/>
    <x v="2"/>
  </r>
  <r>
    <n v="20841530"/>
    <x v="11"/>
    <x v="0"/>
    <s v="Single"/>
    <x v="0"/>
    <n v="1"/>
    <x v="0"/>
    <x v="0"/>
    <n v="13"/>
    <n v="3"/>
    <s v="Technical Degree"/>
    <n v="1"/>
    <n v="2"/>
    <x v="990"/>
    <x v="0"/>
    <n v="5"/>
    <n v="1"/>
    <x v="8"/>
    <x v="0"/>
  </r>
  <r>
    <n v="11727877"/>
    <x v="13"/>
    <x v="0"/>
    <s v="Single"/>
    <x v="0"/>
    <n v="1"/>
    <x v="0"/>
    <x v="0"/>
    <n v="24"/>
    <n v="4"/>
    <s v="Medical"/>
    <n v="1"/>
    <n v="2"/>
    <x v="991"/>
    <x v="1"/>
    <n v="0"/>
    <n v="4"/>
    <x v="15"/>
    <x v="5"/>
  </r>
  <r>
    <n v="17552000"/>
    <x v="10"/>
    <x v="1"/>
    <s v="Married"/>
    <x v="1"/>
    <n v="0"/>
    <x v="6"/>
    <x v="0"/>
    <n v="7"/>
    <n v="1"/>
    <s v="Life Sciences"/>
    <n v="4"/>
    <n v="3"/>
    <x v="639"/>
    <x v="1"/>
    <n v="1"/>
    <n v="3"/>
    <x v="6"/>
    <x v="2"/>
  </r>
  <r>
    <n v="31855884"/>
    <x v="17"/>
    <x v="1"/>
    <s v="Single"/>
    <x v="0"/>
    <n v="1"/>
    <x v="2"/>
    <x v="1"/>
    <n v="9"/>
    <n v="3"/>
    <s v="Medical"/>
    <n v="2"/>
    <n v="1"/>
    <x v="992"/>
    <x v="1"/>
    <n v="2"/>
    <n v="2"/>
    <x v="2"/>
    <x v="2"/>
  </r>
  <r>
    <n v="47145552"/>
    <x v="17"/>
    <x v="0"/>
    <s v="Married"/>
    <x v="1"/>
    <n v="0"/>
    <x v="6"/>
    <x v="0"/>
    <n v="13"/>
    <n v="2"/>
    <s v="Life Sciences"/>
    <n v="4"/>
    <n v="2"/>
    <x v="462"/>
    <x v="1"/>
    <n v="1"/>
    <n v="3"/>
    <x v="6"/>
    <x v="2"/>
  </r>
  <r>
    <n v="34529888"/>
    <x v="20"/>
    <x v="1"/>
    <s v="Single"/>
    <x v="1"/>
    <n v="0"/>
    <x v="3"/>
    <x v="1"/>
    <n v="2"/>
    <n v="1"/>
    <s v="Medical"/>
    <n v="2"/>
    <n v="3"/>
    <x v="993"/>
    <x v="2"/>
    <n v="5"/>
    <n v="2"/>
    <x v="4"/>
    <x v="2"/>
  </r>
  <r>
    <n v="60043064"/>
    <x v="11"/>
    <x v="1"/>
    <s v="Divorced"/>
    <x v="1"/>
    <n v="0"/>
    <x v="0"/>
    <x v="0"/>
    <n v="19"/>
    <n v="3"/>
    <s v="Life Sciences"/>
    <n v="3"/>
    <n v="3"/>
    <x v="994"/>
    <x v="0"/>
    <n v="1"/>
    <n v="3"/>
    <x v="1"/>
    <x v="1"/>
  </r>
  <r>
    <n v="38725838"/>
    <x v="7"/>
    <x v="1"/>
    <s v="Divorced"/>
    <x v="1"/>
    <n v="0"/>
    <x v="8"/>
    <x v="2"/>
    <n v="1"/>
    <n v="3"/>
    <s v="Life Sciences"/>
    <n v="3"/>
    <n v="3"/>
    <x v="995"/>
    <x v="1"/>
    <n v="0"/>
    <n v="4"/>
    <x v="8"/>
    <x v="0"/>
  </r>
  <r>
    <n v="10676001"/>
    <x v="27"/>
    <x v="1"/>
    <s v="Married"/>
    <x v="1"/>
    <n v="0"/>
    <x v="4"/>
    <x v="1"/>
    <n v="4"/>
    <n v="4"/>
    <s v="Life Sciences"/>
    <n v="4"/>
    <n v="3"/>
    <x v="996"/>
    <x v="1"/>
    <n v="0"/>
    <n v="3"/>
    <x v="11"/>
    <x v="2"/>
  </r>
  <r>
    <n v="81616232"/>
    <x v="3"/>
    <x v="0"/>
    <s v="Married"/>
    <x v="1"/>
    <n v="0"/>
    <x v="2"/>
    <x v="1"/>
    <n v="4"/>
    <n v="4"/>
    <s v="Medical"/>
    <n v="1"/>
    <n v="2"/>
    <x v="997"/>
    <x v="1"/>
    <n v="8"/>
    <n v="3"/>
    <x v="8"/>
    <x v="0"/>
  </r>
  <r>
    <n v="71198637"/>
    <x v="40"/>
    <x v="0"/>
    <s v="Married"/>
    <x v="1"/>
    <n v="0"/>
    <x v="0"/>
    <x v="0"/>
    <n v="14"/>
    <n v="3"/>
    <s v="Medical"/>
    <n v="3"/>
    <n v="3"/>
    <x v="998"/>
    <x v="1"/>
    <n v="3"/>
    <n v="2"/>
    <x v="8"/>
    <x v="0"/>
  </r>
  <r>
    <n v="84612606"/>
    <x v="14"/>
    <x v="1"/>
    <s v="Single"/>
    <x v="0"/>
    <n v="1"/>
    <x v="2"/>
    <x v="1"/>
    <n v="2"/>
    <n v="2"/>
    <s v="Medical"/>
    <n v="3"/>
    <n v="1"/>
    <x v="999"/>
    <x v="1"/>
    <n v="7"/>
    <n v="2"/>
    <x v="2"/>
    <x v="2"/>
  </r>
  <r>
    <n v="12866120"/>
    <x v="14"/>
    <x v="1"/>
    <s v="Divorced"/>
    <x v="1"/>
    <n v="0"/>
    <x v="1"/>
    <x v="1"/>
    <n v="1"/>
    <n v="3"/>
    <s v="Life Sciences"/>
    <n v="1"/>
    <n v="3"/>
    <x v="1000"/>
    <x v="1"/>
    <n v="1"/>
    <n v="1"/>
    <x v="6"/>
    <x v="2"/>
  </r>
  <r>
    <n v="85936877"/>
    <x v="14"/>
    <x v="1"/>
    <s v="Single"/>
    <x v="1"/>
    <n v="0"/>
    <x v="0"/>
    <x v="0"/>
    <n v="7"/>
    <n v="3"/>
    <s v="Life Sciences"/>
    <n v="3"/>
    <n v="1"/>
    <x v="249"/>
    <x v="1"/>
    <n v="0"/>
    <n v="3"/>
    <x v="9"/>
    <x v="2"/>
  </r>
  <r>
    <n v="57449438"/>
    <x v="1"/>
    <x v="0"/>
    <s v="Married"/>
    <x v="1"/>
    <n v="0"/>
    <x v="2"/>
    <x v="1"/>
    <n v="3"/>
    <n v="2"/>
    <s v="Medical"/>
    <n v="3"/>
    <n v="1"/>
    <x v="1001"/>
    <x v="1"/>
    <n v="4"/>
    <n v="3"/>
    <x v="11"/>
    <x v="2"/>
  </r>
  <r>
    <n v="71520571"/>
    <x v="11"/>
    <x v="0"/>
    <s v="Married"/>
    <x v="1"/>
    <n v="0"/>
    <x v="2"/>
    <x v="1"/>
    <n v="2"/>
    <n v="1"/>
    <s v="Life Sciences"/>
    <n v="4"/>
    <n v="2"/>
    <x v="1002"/>
    <x v="1"/>
    <n v="0"/>
    <n v="3"/>
    <x v="11"/>
    <x v="2"/>
  </r>
  <r>
    <n v="56335207"/>
    <x v="14"/>
    <x v="1"/>
    <s v="Married"/>
    <x v="1"/>
    <n v="0"/>
    <x v="3"/>
    <x v="1"/>
    <n v="29"/>
    <n v="1"/>
    <s v="Life Sciences"/>
    <n v="3"/>
    <n v="2"/>
    <x v="1003"/>
    <x v="0"/>
    <n v="1"/>
    <n v="2"/>
    <x v="3"/>
    <x v="0"/>
  </r>
  <r>
    <n v="31576398"/>
    <x v="3"/>
    <x v="1"/>
    <s v="Single"/>
    <x v="1"/>
    <n v="0"/>
    <x v="4"/>
    <x v="1"/>
    <n v="8"/>
    <n v="5"/>
    <s v="Life Sciences"/>
    <n v="4"/>
    <n v="3"/>
    <x v="1004"/>
    <x v="0"/>
    <n v="2"/>
    <n v="3"/>
    <x v="2"/>
    <x v="2"/>
  </r>
  <r>
    <n v="21578483"/>
    <x v="5"/>
    <x v="1"/>
    <s v="Single"/>
    <x v="1"/>
    <n v="0"/>
    <x v="5"/>
    <x v="1"/>
    <n v="10"/>
    <n v="3"/>
    <s v="Medical"/>
    <n v="3"/>
    <n v="4"/>
    <x v="1005"/>
    <x v="2"/>
    <n v="2"/>
    <n v="4"/>
    <x v="8"/>
    <x v="0"/>
  </r>
  <r>
    <n v="64531795"/>
    <x v="33"/>
    <x v="0"/>
    <s v="Divorced"/>
    <x v="1"/>
    <n v="0"/>
    <x v="5"/>
    <x v="1"/>
    <n v="11"/>
    <n v="4"/>
    <s v="Medical"/>
    <n v="2"/>
    <n v="4"/>
    <x v="1006"/>
    <x v="3"/>
    <n v="3"/>
    <n v="3"/>
    <x v="13"/>
    <x v="1"/>
  </r>
  <r>
    <n v="12447416"/>
    <x v="11"/>
    <x v="1"/>
    <s v="Single"/>
    <x v="0"/>
    <n v="1"/>
    <x v="1"/>
    <x v="1"/>
    <n v="1"/>
    <n v="4"/>
    <s v="Technical Degree"/>
    <n v="1"/>
    <n v="1"/>
    <x v="898"/>
    <x v="1"/>
    <n v="6"/>
    <n v="1"/>
    <x v="7"/>
    <x v="0"/>
  </r>
  <r>
    <n v="65516694"/>
    <x v="20"/>
    <x v="1"/>
    <s v="Married"/>
    <x v="1"/>
    <n v="0"/>
    <x v="7"/>
    <x v="1"/>
    <n v="28"/>
    <n v="3"/>
    <s v="Life Sciences"/>
    <n v="4"/>
    <n v="1"/>
    <x v="1007"/>
    <x v="3"/>
    <n v="3"/>
    <n v="4"/>
    <x v="23"/>
    <x v="4"/>
  </r>
  <r>
    <n v="66235200"/>
    <x v="22"/>
    <x v="0"/>
    <s v="Single"/>
    <x v="1"/>
    <n v="0"/>
    <x v="3"/>
    <x v="1"/>
    <n v="6"/>
    <n v="3"/>
    <s v="Life Sciences"/>
    <n v="2"/>
    <n v="2"/>
    <x v="1008"/>
    <x v="0"/>
    <n v="4"/>
    <n v="3"/>
    <x v="4"/>
    <x v="2"/>
  </r>
  <r>
    <n v="62888979"/>
    <x v="21"/>
    <x v="0"/>
    <s v="Married"/>
    <x v="1"/>
    <n v="0"/>
    <x v="5"/>
    <x v="0"/>
    <n v="3"/>
    <n v="3"/>
    <s v="Life Sciences"/>
    <n v="3"/>
    <n v="2"/>
    <x v="1009"/>
    <x v="3"/>
    <n v="8"/>
    <n v="4"/>
    <x v="20"/>
    <x v="1"/>
  </r>
  <r>
    <n v="37875008"/>
    <x v="10"/>
    <x v="0"/>
    <s v="Single"/>
    <x v="1"/>
    <n v="0"/>
    <x v="4"/>
    <x v="1"/>
    <n v="16"/>
    <n v="3"/>
    <s v="Life Sciences"/>
    <n v="4"/>
    <n v="2"/>
    <x v="1010"/>
    <x v="0"/>
    <n v="1"/>
    <n v="1"/>
    <x v="19"/>
    <x v="1"/>
  </r>
  <r>
    <n v="83388109"/>
    <x v="30"/>
    <x v="1"/>
    <s v="Single"/>
    <x v="1"/>
    <n v="0"/>
    <x v="2"/>
    <x v="1"/>
    <n v="20"/>
    <n v="1"/>
    <s v="Life Sciences"/>
    <n v="1"/>
    <n v="3"/>
    <x v="1011"/>
    <x v="1"/>
    <n v="0"/>
    <n v="3"/>
    <x v="9"/>
    <x v="2"/>
  </r>
  <r>
    <n v="11664534"/>
    <x v="32"/>
    <x v="1"/>
    <s v="Single"/>
    <x v="0"/>
    <n v="1"/>
    <x v="2"/>
    <x v="1"/>
    <n v="9"/>
    <n v="4"/>
    <s v="Life Sciences"/>
    <n v="4"/>
    <n v="1"/>
    <x v="1012"/>
    <x v="1"/>
    <n v="3"/>
    <n v="1"/>
    <x v="8"/>
    <x v="0"/>
  </r>
  <r>
    <n v="18816095"/>
    <x v="13"/>
    <x v="1"/>
    <s v="Married"/>
    <x v="1"/>
    <n v="0"/>
    <x v="0"/>
    <x v="0"/>
    <n v="1"/>
    <n v="3"/>
    <s v="Technical Degree"/>
    <n v="4"/>
    <n v="3"/>
    <x v="1013"/>
    <x v="0"/>
    <n v="1"/>
    <n v="3"/>
    <x v="1"/>
    <x v="1"/>
  </r>
  <r>
    <n v="60175350"/>
    <x v="12"/>
    <x v="0"/>
    <s v="Single"/>
    <x v="0"/>
    <n v="1"/>
    <x v="1"/>
    <x v="1"/>
    <n v="3"/>
    <n v="3"/>
    <s v="Life Sciences"/>
    <n v="4"/>
    <n v="3"/>
    <x v="1014"/>
    <x v="1"/>
    <n v="1"/>
    <n v="1"/>
    <x v="5"/>
    <x v="0"/>
  </r>
  <r>
    <n v="72308636"/>
    <x v="24"/>
    <x v="1"/>
    <s v="Single"/>
    <x v="1"/>
    <n v="0"/>
    <x v="7"/>
    <x v="1"/>
    <n v="22"/>
    <n v="5"/>
    <s v="Medical"/>
    <n v="3"/>
    <n v="4"/>
    <x v="1015"/>
    <x v="3"/>
    <n v="1"/>
    <n v="3"/>
    <x v="32"/>
    <x v="8"/>
  </r>
  <r>
    <n v="14516472"/>
    <x v="13"/>
    <x v="1"/>
    <s v="Married"/>
    <x v="1"/>
    <n v="0"/>
    <x v="6"/>
    <x v="0"/>
    <n v="7"/>
    <n v="2"/>
    <s v="Technical Degree"/>
    <n v="2"/>
    <n v="3"/>
    <x v="1016"/>
    <x v="1"/>
    <n v="0"/>
    <n v="3"/>
    <x v="19"/>
    <x v="1"/>
  </r>
  <r>
    <n v="10133221"/>
    <x v="19"/>
    <x v="1"/>
    <s v="Married"/>
    <x v="1"/>
    <n v="0"/>
    <x v="2"/>
    <x v="1"/>
    <n v="2"/>
    <n v="3"/>
    <s v="Medical"/>
    <n v="3"/>
    <n v="2"/>
    <x v="1017"/>
    <x v="1"/>
    <n v="4"/>
    <n v="3"/>
    <x v="6"/>
    <x v="2"/>
  </r>
  <r>
    <n v="15665164"/>
    <x v="2"/>
    <x v="1"/>
    <s v="Married"/>
    <x v="1"/>
    <n v="0"/>
    <x v="1"/>
    <x v="1"/>
    <n v="13"/>
    <n v="3"/>
    <s v="Medical"/>
    <n v="1"/>
    <n v="4"/>
    <x v="1018"/>
    <x v="1"/>
    <n v="1"/>
    <n v="3"/>
    <x v="1"/>
    <x v="1"/>
  </r>
  <r>
    <n v="72272332"/>
    <x v="11"/>
    <x v="0"/>
    <s v="Married"/>
    <x v="1"/>
    <n v="0"/>
    <x v="4"/>
    <x v="1"/>
    <n v="8"/>
    <n v="1"/>
    <s v="Other"/>
    <n v="3"/>
    <n v="1"/>
    <x v="1019"/>
    <x v="2"/>
    <n v="3"/>
    <n v="3"/>
    <x v="5"/>
    <x v="0"/>
  </r>
  <r>
    <n v="83000815"/>
    <x v="3"/>
    <x v="1"/>
    <s v="Single"/>
    <x v="1"/>
    <n v="0"/>
    <x v="3"/>
    <x v="1"/>
    <n v="25"/>
    <n v="3"/>
    <s v="Life Sciences"/>
    <n v="4"/>
    <n v="2"/>
    <x v="1020"/>
    <x v="1"/>
    <n v="1"/>
    <n v="3"/>
    <x v="8"/>
    <x v="0"/>
  </r>
  <r>
    <n v="74307632"/>
    <x v="28"/>
    <x v="1"/>
    <s v="Married"/>
    <x v="1"/>
    <n v="0"/>
    <x v="1"/>
    <x v="1"/>
    <n v="28"/>
    <n v="3"/>
    <s v="Technical Degree"/>
    <n v="4"/>
    <n v="4"/>
    <x v="685"/>
    <x v="1"/>
    <n v="4"/>
    <n v="3"/>
    <x v="8"/>
    <x v="0"/>
  </r>
  <r>
    <n v="26972358"/>
    <x v="19"/>
    <x v="1"/>
    <s v="Married"/>
    <x v="1"/>
    <n v="0"/>
    <x v="4"/>
    <x v="1"/>
    <n v="2"/>
    <n v="3"/>
    <s v="Life Sciences"/>
    <n v="4"/>
    <n v="4"/>
    <x v="1021"/>
    <x v="2"/>
    <n v="2"/>
    <n v="1"/>
    <x v="23"/>
    <x v="4"/>
  </r>
  <r>
    <n v="21618487"/>
    <x v="32"/>
    <x v="1"/>
    <s v="Married"/>
    <x v="1"/>
    <n v="0"/>
    <x v="0"/>
    <x v="0"/>
    <n v="9"/>
    <n v="2"/>
    <s v="Medical"/>
    <n v="1"/>
    <n v="1"/>
    <x v="67"/>
    <x v="0"/>
    <n v="0"/>
    <n v="4"/>
    <x v="3"/>
    <x v="0"/>
  </r>
  <r>
    <n v="88536482"/>
    <x v="3"/>
    <x v="1"/>
    <s v="Married"/>
    <x v="1"/>
    <n v="0"/>
    <x v="2"/>
    <x v="1"/>
    <n v="28"/>
    <n v="4"/>
    <s v="Life Sciences"/>
    <n v="2"/>
    <n v="3"/>
    <x v="1022"/>
    <x v="0"/>
    <n v="1"/>
    <n v="3"/>
    <x v="15"/>
    <x v="5"/>
  </r>
  <r>
    <n v="13889459"/>
    <x v="32"/>
    <x v="1"/>
    <s v="Single"/>
    <x v="1"/>
    <n v="0"/>
    <x v="5"/>
    <x v="2"/>
    <n v="6"/>
    <n v="2"/>
    <s v="Medical"/>
    <n v="3"/>
    <n v="4"/>
    <x v="1023"/>
    <x v="3"/>
    <n v="1"/>
    <n v="3"/>
    <x v="17"/>
    <x v="4"/>
  </r>
  <r>
    <n v="83810982"/>
    <x v="17"/>
    <x v="1"/>
    <s v="Divorced"/>
    <x v="1"/>
    <n v="0"/>
    <x v="2"/>
    <x v="1"/>
    <n v="21"/>
    <n v="2"/>
    <s v="Technical Degree"/>
    <n v="3"/>
    <n v="1"/>
    <x v="1024"/>
    <x v="1"/>
    <n v="0"/>
    <n v="3"/>
    <x v="6"/>
    <x v="2"/>
  </r>
  <r>
    <n v="75259665"/>
    <x v="32"/>
    <x v="1"/>
    <s v="Divorced"/>
    <x v="1"/>
    <n v="0"/>
    <x v="4"/>
    <x v="1"/>
    <n v="8"/>
    <n v="2"/>
    <s v="Life Sciences"/>
    <n v="4"/>
    <n v="4"/>
    <x v="1025"/>
    <x v="1"/>
    <n v="3"/>
    <n v="3"/>
    <x v="4"/>
    <x v="2"/>
  </r>
  <r>
    <n v="32420733"/>
    <x v="28"/>
    <x v="1"/>
    <s v="Divorced"/>
    <x v="1"/>
    <n v="0"/>
    <x v="4"/>
    <x v="1"/>
    <n v="1"/>
    <n v="4"/>
    <s v="Technical Degree"/>
    <n v="1"/>
    <n v="2"/>
    <x v="1026"/>
    <x v="0"/>
    <n v="1"/>
    <n v="3"/>
    <x v="1"/>
    <x v="1"/>
  </r>
  <r>
    <n v="64316957"/>
    <x v="10"/>
    <x v="0"/>
    <s v="Married"/>
    <x v="1"/>
    <n v="0"/>
    <x v="6"/>
    <x v="0"/>
    <n v="28"/>
    <n v="4"/>
    <s v="Life Sciences"/>
    <n v="2"/>
    <n v="3"/>
    <x v="1027"/>
    <x v="1"/>
    <n v="0"/>
    <n v="3"/>
    <x v="8"/>
    <x v="0"/>
  </r>
  <r>
    <n v="72070122"/>
    <x v="5"/>
    <x v="0"/>
    <s v="Married"/>
    <x v="1"/>
    <n v="0"/>
    <x v="1"/>
    <x v="1"/>
    <n v="5"/>
    <n v="2"/>
    <s v="Life Sciences"/>
    <n v="4"/>
    <n v="2"/>
    <x v="1028"/>
    <x v="0"/>
    <n v="3"/>
    <n v="3"/>
    <x v="5"/>
    <x v="0"/>
  </r>
  <r>
    <n v="54539402"/>
    <x v="9"/>
    <x v="1"/>
    <s v="Single"/>
    <x v="1"/>
    <n v="0"/>
    <x v="6"/>
    <x v="0"/>
    <n v="2"/>
    <n v="4"/>
    <s v="Life Sciences"/>
    <n v="3"/>
    <n v="4"/>
    <x v="1029"/>
    <x v="1"/>
    <n v="3"/>
    <n v="2"/>
    <x v="11"/>
    <x v="2"/>
  </r>
  <r>
    <n v="42817398"/>
    <x v="26"/>
    <x v="0"/>
    <s v="Divorced"/>
    <x v="1"/>
    <n v="0"/>
    <x v="0"/>
    <x v="0"/>
    <n v="16"/>
    <n v="4"/>
    <s v="Life Sciences"/>
    <n v="3"/>
    <n v="3"/>
    <x v="1030"/>
    <x v="0"/>
    <n v="8"/>
    <n v="3"/>
    <x v="3"/>
    <x v="0"/>
  </r>
  <r>
    <n v="56155596"/>
    <x v="11"/>
    <x v="1"/>
    <s v="Married"/>
    <x v="1"/>
    <n v="0"/>
    <x v="1"/>
    <x v="1"/>
    <n v="9"/>
    <n v="3"/>
    <s v="Life Sciences"/>
    <n v="3"/>
    <n v="3"/>
    <x v="163"/>
    <x v="1"/>
    <n v="6"/>
    <n v="2"/>
    <x v="6"/>
    <x v="2"/>
  </r>
  <r>
    <n v="45638393"/>
    <x v="3"/>
    <x v="1"/>
    <s v="Married"/>
    <x v="1"/>
    <n v="0"/>
    <x v="0"/>
    <x v="0"/>
    <n v="8"/>
    <n v="4"/>
    <s v="Life Sciences"/>
    <n v="1"/>
    <n v="1"/>
    <x v="1031"/>
    <x v="0"/>
    <n v="2"/>
    <n v="1"/>
    <x v="4"/>
    <x v="2"/>
  </r>
  <r>
    <n v="14554203"/>
    <x v="7"/>
    <x v="1"/>
    <s v="Married"/>
    <x v="0"/>
    <n v="1"/>
    <x v="0"/>
    <x v="0"/>
    <n v="1"/>
    <n v="3"/>
    <s v="Life Sciences"/>
    <n v="2"/>
    <n v="1"/>
    <x v="1032"/>
    <x v="2"/>
    <n v="1"/>
    <n v="3"/>
    <x v="1"/>
    <x v="1"/>
  </r>
  <r>
    <n v="40457838"/>
    <x v="8"/>
    <x v="1"/>
    <s v="Married"/>
    <x v="1"/>
    <n v="0"/>
    <x v="8"/>
    <x v="2"/>
    <n v="10"/>
    <n v="4"/>
    <s v="Human Resources"/>
    <n v="3"/>
    <n v="3"/>
    <x v="1033"/>
    <x v="0"/>
    <n v="3"/>
    <n v="3"/>
    <x v="0"/>
    <x v="0"/>
  </r>
  <r>
    <n v="40634578"/>
    <x v="10"/>
    <x v="1"/>
    <s v="Single"/>
    <x v="1"/>
    <n v="0"/>
    <x v="2"/>
    <x v="1"/>
    <n v="1"/>
    <n v="3"/>
    <s v="Medical"/>
    <n v="4"/>
    <n v="1"/>
    <x v="533"/>
    <x v="1"/>
    <n v="1"/>
    <n v="3"/>
    <x v="11"/>
    <x v="2"/>
  </r>
  <r>
    <n v="89596295"/>
    <x v="7"/>
    <x v="1"/>
    <s v="Married"/>
    <x v="1"/>
    <n v="0"/>
    <x v="0"/>
    <x v="0"/>
    <n v="29"/>
    <n v="4"/>
    <s v="Technical Degree"/>
    <n v="3"/>
    <n v="2"/>
    <x v="1034"/>
    <x v="2"/>
    <n v="3"/>
    <n v="3"/>
    <x v="9"/>
    <x v="2"/>
  </r>
  <r>
    <n v="21531311"/>
    <x v="10"/>
    <x v="0"/>
    <s v="Divorced"/>
    <x v="0"/>
    <n v="1"/>
    <x v="2"/>
    <x v="1"/>
    <n v="2"/>
    <n v="3"/>
    <s v="Life Sciences"/>
    <n v="1"/>
    <n v="1"/>
    <x v="1035"/>
    <x v="1"/>
    <n v="1"/>
    <n v="3"/>
    <x v="6"/>
    <x v="2"/>
  </r>
  <r>
    <n v="82955736"/>
    <x v="16"/>
    <x v="0"/>
    <s v="Married"/>
    <x v="0"/>
    <n v="1"/>
    <x v="3"/>
    <x v="1"/>
    <n v="2"/>
    <n v="5"/>
    <s v="Technical Degree"/>
    <n v="3"/>
    <n v="4"/>
    <x v="1036"/>
    <x v="2"/>
    <n v="0"/>
    <n v="3"/>
    <x v="26"/>
    <x v="8"/>
  </r>
  <r>
    <n v="88274803"/>
    <x v="8"/>
    <x v="1"/>
    <s v="Married"/>
    <x v="0"/>
    <n v="1"/>
    <x v="3"/>
    <x v="1"/>
    <n v="2"/>
    <n v="3"/>
    <s v="Medical"/>
    <n v="3"/>
    <n v="2"/>
    <x v="1037"/>
    <x v="1"/>
    <n v="4"/>
    <n v="3"/>
    <x v="8"/>
    <x v="0"/>
  </r>
  <r>
    <n v="25410263"/>
    <x v="5"/>
    <x v="1"/>
    <s v="Married"/>
    <x v="1"/>
    <n v="0"/>
    <x v="1"/>
    <x v="1"/>
    <n v="1"/>
    <n v="4"/>
    <s v="Technical Degree"/>
    <n v="4"/>
    <n v="1"/>
    <x v="1038"/>
    <x v="1"/>
    <n v="4"/>
    <n v="2"/>
    <x v="0"/>
    <x v="0"/>
  </r>
  <r>
    <n v="68934825"/>
    <x v="26"/>
    <x v="0"/>
    <s v="Married"/>
    <x v="1"/>
    <n v="0"/>
    <x v="1"/>
    <x v="1"/>
    <n v="15"/>
    <n v="4"/>
    <s v="Other"/>
    <n v="3"/>
    <n v="1"/>
    <x v="1039"/>
    <x v="1"/>
    <n v="8"/>
    <n v="2"/>
    <x v="3"/>
    <x v="0"/>
  </r>
  <r>
    <n v="54111061"/>
    <x v="13"/>
    <x v="1"/>
    <s v="Single"/>
    <x v="1"/>
    <n v="0"/>
    <x v="1"/>
    <x v="1"/>
    <n v="7"/>
    <n v="4"/>
    <s v="Medical"/>
    <n v="1"/>
    <n v="4"/>
    <x v="1040"/>
    <x v="1"/>
    <n v="1"/>
    <n v="1"/>
    <x v="6"/>
    <x v="2"/>
  </r>
  <r>
    <n v="69559284"/>
    <x v="27"/>
    <x v="1"/>
    <s v="Married"/>
    <x v="1"/>
    <n v="0"/>
    <x v="5"/>
    <x v="0"/>
    <n v="26"/>
    <n v="5"/>
    <s v="Marketing"/>
    <n v="3"/>
    <n v="4"/>
    <x v="1041"/>
    <x v="4"/>
    <n v="1"/>
    <n v="3"/>
    <x v="28"/>
    <x v="6"/>
  </r>
  <r>
    <n v="48840319"/>
    <x v="13"/>
    <x v="1"/>
    <s v="Married"/>
    <x v="1"/>
    <n v="0"/>
    <x v="1"/>
    <x v="1"/>
    <n v="1"/>
    <n v="4"/>
    <s v="Life Sciences"/>
    <n v="2"/>
    <n v="4"/>
    <x v="299"/>
    <x v="0"/>
    <n v="9"/>
    <n v="2"/>
    <x v="4"/>
    <x v="2"/>
  </r>
  <r>
    <n v="80209853"/>
    <x v="25"/>
    <x v="0"/>
    <s v="Married"/>
    <x v="1"/>
    <n v="0"/>
    <x v="1"/>
    <x v="1"/>
    <n v="3"/>
    <n v="3"/>
    <s v="Life Sciences"/>
    <n v="1"/>
    <n v="4"/>
    <x v="1042"/>
    <x v="1"/>
    <n v="1"/>
    <n v="3"/>
    <x v="6"/>
    <x v="2"/>
  </r>
  <r>
    <n v="83227175"/>
    <x v="8"/>
    <x v="1"/>
    <s v="Married"/>
    <x v="1"/>
    <n v="0"/>
    <x v="0"/>
    <x v="0"/>
    <n v="14"/>
    <n v="3"/>
    <s v="Life Sciences"/>
    <n v="3"/>
    <n v="2"/>
    <x v="1043"/>
    <x v="2"/>
    <n v="0"/>
    <n v="3"/>
    <x v="7"/>
    <x v="0"/>
  </r>
  <r>
    <n v="29040566"/>
    <x v="8"/>
    <x v="0"/>
    <s v="Single"/>
    <x v="1"/>
    <n v="0"/>
    <x v="0"/>
    <x v="0"/>
    <n v="16"/>
    <n v="3"/>
    <s v="Life Sciences"/>
    <n v="2"/>
    <n v="2"/>
    <x v="1044"/>
    <x v="1"/>
    <n v="2"/>
    <n v="4"/>
    <x v="11"/>
    <x v="2"/>
  </r>
  <r>
    <n v="33632633"/>
    <x v="9"/>
    <x v="0"/>
    <s v="Single"/>
    <x v="1"/>
    <n v="0"/>
    <x v="0"/>
    <x v="0"/>
    <n v="1"/>
    <n v="4"/>
    <s v="Life Sciences"/>
    <n v="2"/>
    <n v="3"/>
    <x v="1045"/>
    <x v="0"/>
    <n v="6"/>
    <n v="3"/>
    <x v="6"/>
    <x v="2"/>
  </r>
  <r>
    <n v="20159717"/>
    <x v="11"/>
    <x v="1"/>
    <s v="Single"/>
    <x v="1"/>
    <n v="0"/>
    <x v="2"/>
    <x v="1"/>
    <n v="3"/>
    <n v="1"/>
    <s v="Medical"/>
    <n v="2"/>
    <n v="1"/>
    <x v="1046"/>
    <x v="1"/>
    <n v="1"/>
    <n v="3"/>
    <x v="1"/>
    <x v="1"/>
  </r>
  <r>
    <n v="41299446"/>
    <x v="10"/>
    <x v="0"/>
    <s v="Single"/>
    <x v="1"/>
    <n v="0"/>
    <x v="4"/>
    <x v="1"/>
    <n v="10"/>
    <n v="4"/>
    <s v="Medical"/>
    <n v="1"/>
    <n v="3"/>
    <x v="528"/>
    <x v="0"/>
    <n v="3"/>
    <n v="3"/>
    <x v="8"/>
    <x v="0"/>
  </r>
  <r>
    <n v="57009087"/>
    <x v="22"/>
    <x v="1"/>
    <s v="Married"/>
    <x v="1"/>
    <n v="0"/>
    <x v="0"/>
    <x v="0"/>
    <n v="6"/>
    <n v="3"/>
    <s v="Medical"/>
    <n v="4"/>
    <n v="3"/>
    <x v="1047"/>
    <x v="0"/>
    <n v="2"/>
    <n v="3"/>
    <x v="5"/>
    <x v="0"/>
  </r>
  <r>
    <n v="59496288"/>
    <x v="11"/>
    <x v="1"/>
    <s v="Divorced"/>
    <x v="1"/>
    <n v="0"/>
    <x v="4"/>
    <x v="1"/>
    <n v="2"/>
    <n v="1"/>
    <s v="Life Sciences"/>
    <n v="1"/>
    <n v="4"/>
    <x v="1048"/>
    <x v="0"/>
    <n v="1"/>
    <n v="4"/>
    <x v="0"/>
    <x v="0"/>
  </r>
  <r>
    <n v="30499286"/>
    <x v="24"/>
    <x v="1"/>
    <s v="Married"/>
    <x v="1"/>
    <n v="0"/>
    <x v="5"/>
    <x v="0"/>
    <n v="9"/>
    <n v="3"/>
    <s v="Marketing"/>
    <n v="3"/>
    <n v="3"/>
    <x v="1049"/>
    <x v="4"/>
    <n v="4"/>
    <n v="3"/>
    <x v="6"/>
    <x v="2"/>
  </r>
  <r>
    <n v="44730459"/>
    <x v="30"/>
    <x v="1"/>
    <s v="Married"/>
    <x v="1"/>
    <n v="0"/>
    <x v="1"/>
    <x v="1"/>
    <n v="10"/>
    <n v="3"/>
    <s v="Technical Degree"/>
    <n v="4"/>
    <n v="3"/>
    <x v="97"/>
    <x v="1"/>
    <n v="2"/>
    <n v="3"/>
    <x v="4"/>
    <x v="2"/>
  </r>
  <r>
    <n v="11792083"/>
    <x v="9"/>
    <x v="1"/>
    <s v="Married"/>
    <x v="1"/>
    <n v="0"/>
    <x v="2"/>
    <x v="1"/>
    <n v="6"/>
    <n v="4"/>
    <s v="Life Sciences"/>
    <n v="1"/>
    <n v="1"/>
    <x v="622"/>
    <x v="0"/>
    <n v="3"/>
    <n v="3"/>
    <x v="11"/>
    <x v="2"/>
  </r>
  <r>
    <n v="19966376"/>
    <x v="19"/>
    <x v="1"/>
    <s v="Single"/>
    <x v="1"/>
    <n v="0"/>
    <x v="5"/>
    <x v="1"/>
    <n v="9"/>
    <n v="2"/>
    <s v="Other"/>
    <n v="4"/>
    <n v="4"/>
    <x v="1050"/>
    <x v="4"/>
    <n v="8"/>
    <n v="3"/>
    <x v="6"/>
    <x v="2"/>
  </r>
  <r>
    <n v="58725299"/>
    <x v="10"/>
    <x v="1"/>
    <s v="Married"/>
    <x v="1"/>
    <n v="0"/>
    <x v="2"/>
    <x v="1"/>
    <n v="28"/>
    <n v="3"/>
    <s v="Life Sciences"/>
    <n v="2"/>
    <n v="3"/>
    <x v="21"/>
    <x v="1"/>
    <n v="1"/>
    <n v="2"/>
    <x v="1"/>
    <x v="1"/>
  </r>
  <r>
    <n v="10847793"/>
    <x v="13"/>
    <x v="1"/>
    <s v="Married"/>
    <x v="1"/>
    <n v="0"/>
    <x v="4"/>
    <x v="1"/>
    <n v="10"/>
    <n v="4"/>
    <s v="Technical Degree"/>
    <n v="4"/>
    <n v="3"/>
    <x v="1051"/>
    <x v="0"/>
    <n v="1"/>
    <n v="2"/>
    <x v="3"/>
    <x v="0"/>
  </r>
  <r>
    <n v="77936818"/>
    <x v="32"/>
    <x v="0"/>
    <s v="Married"/>
    <x v="1"/>
    <n v="0"/>
    <x v="0"/>
    <x v="0"/>
    <n v="14"/>
    <n v="2"/>
    <s v="Life Sciences"/>
    <n v="4"/>
    <n v="1"/>
    <x v="912"/>
    <x v="1"/>
    <n v="1"/>
    <n v="3"/>
    <x v="8"/>
    <x v="0"/>
  </r>
  <r>
    <n v="76825529"/>
    <x v="23"/>
    <x v="1"/>
    <s v="Divorced"/>
    <x v="1"/>
    <n v="0"/>
    <x v="2"/>
    <x v="1"/>
    <n v="27"/>
    <n v="3"/>
    <s v="Technical Degree"/>
    <n v="4"/>
    <n v="2"/>
    <x v="204"/>
    <x v="1"/>
    <n v="5"/>
    <n v="3"/>
    <x v="0"/>
    <x v="0"/>
  </r>
  <r>
    <n v="52583437"/>
    <x v="10"/>
    <x v="1"/>
    <s v="Married"/>
    <x v="1"/>
    <n v="0"/>
    <x v="2"/>
    <x v="1"/>
    <n v="7"/>
    <n v="2"/>
    <s v="Life Sciences"/>
    <n v="3"/>
    <n v="4"/>
    <x v="1052"/>
    <x v="1"/>
    <n v="1"/>
    <n v="2"/>
    <x v="6"/>
    <x v="2"/>
  </r>
  <r>
    <n v="65849083"/>
    <x v="21"/>
    <x v="1"/>
    <s v="Single"/>
    <x v="1"/>
    <n v="0"/>
    <x v="5"/>
    <x v="0"/>
    <n v="1"/>
    <n v="4"/>
    <s v="Life Sciences"/>
    <n v="4"/>
    <n v="1"/>
    <x v="1053"/>
    <x v="4"/>
    <n v="1"/>
    <n v="1"/>
    <x v="34"/>
    <x v="3"/>
  </r>
  <r>
    <n v="14895492"/>
    <x v="14"/>
    <x v="1"/>
    <s v="Married"/>
    <x v="0"/>
    <n v="1"/>
    <x v="2"/>
    <x v="1"/>
    <n v="24"/>
    <n v="3"/>
    <s v="Medical"/>
    <n v="3"/>
    <n v="2"/>
    <x v="1054"/>
    <x v="1"/>
    <n v="1"/>
    <n v="3"/>
    <x v="6"/>
    <x v="2"/>
  </r>
  <r>
    <n v="43663182"/>
    <x v="15"/>
    <x v="0"/>
    <s v="Married"/>
    <x v="1"/>
    <n v="0"/>
    <x v="1"/>
    <x v="1"/>
    <n v="26"/>
    <n v="2"/>
    <s v="Other"/>
    <n v="2"/>
    <n v="3"/>
    <x v="1055"/>
    <x v="1"/>
    <n v="1"/>
    <n v="2"/>
    <x v="9"/>
    <x v="2"/>
  </r>
  <r>
    <n v="13282069"/>
    <x v="24"/>
    <x v="1"/>
    <s v="Married"/>
    <x v="1"/>
    <n v="0"/>
    <x v="4"/>
    <x v="1"/>
    <n v="20"/>
    <n v="5"/>
    <s v="Medical"/>
    <n v="2"/>
    <n v="3"/>
    <x v="1056"/>
    <x v="2"/>
    <n v="2"/>
    <n v="3"/>
    <x v="35"/>
    <x v="8"/>
  </r>
  <r>
    <n v="34111639"/>
    <x v="5"/>
    <x v="0"/>
    <s v="Married"/>
    <x v="1"/>
    <n v="0"/>
    <x v="1"/>
    <x v="1"/>
    <n v="5"/>
    <n v="4"/>
    <s v="Other"/>
    <n v="2"/>
    <n v="4"/>
    <x v="1057"/>
    <x v="1"/>
    <n v="3"/>
    <n v="3"/>
    <x v="11"/>
    <x v="2"/>
  </r>
  <r>
    <n v="76967753"/>
    <x v="20"/>
    <x v="0"/>
    <s v="Divorced"/>
    <x v="1"/>
    <n v="0"/>
    <x v="7"/>
    <x v="1"/>
    <n v="7"/>
    <n v="3"/>
    <s v="Medical"/>
    <n v="2"/>
    <n v="4"/>
    <x v="1058"/>
    <x v="4"/>
    <n v="0"/>
    <n v="2"/>
    <x v="14"/>
    <x v="4"/>
  </r>
  <r>
    <n v="42873754"/>
    <x v="7"/>
    <x v="1"/>
    <s v="Married"/>
    <x v="1"/>
    <n v="0"/>
    <x v="1"/>
    <x v="1"/>
    <n v="7"/>
    <n v="3"/>
    <s v="Medical"/>
    <n v="2"/>
    <n v="2"/>
    <x v="1059"/>
    <x v="1"/>
    <n v="1"/>
    <n v="2"/>
    <x v="0"/>
    <x v="0"/>
  </r>
  <r>
    <n v="25959108"/>
    <x v="28"/>
    <x v="0"/>
    <s v="Single"/>
    <x v="1"/>
    <n v="0"/>
    <x v="2"/>
    <x v="1"/>
    <n v="5"/>
    <n v="5"/>
    <s v="Medical"/>
    <n v="3"/>
    <n v="1"/>
    <x v="939"/>
    <x v="0"/>
    <n v="1"/>
    <n v="3"/>
    <x v="1"/>
    <x v="1"/>
  </r>
  <r>
    <n v="75016992"/>
    <x v="28"/>
    <x v="1"/>
    <s v="Married"/>
    <x v="1"/>
    <n v="0"/>
    <x v="0"/>
    <x v="0"/>
    <n v="26"/>
    <n v="3"/>
    <s v="Marketing"/>
    <n v="1"/>
    <n v="1"/>
    <x v="1060"/>
    <x v="1"/>
    <n v="1"/>
    <n v="3"/>
    <x v="1"/>
    <x v="1"/>
  </r>
  <r>
    <n v="10684474"/>
    <x v="12"/>
    <x v="1"/>
    <s v="Single"/>
    <x v="1"/>
    <n v="0"/>
    <x v="0"/>
    <x v="0"/>
    <n v="2"/>
    <n v="4"/>
    <s v="Other"/>
    <n v="4"/>
    <n v="1"/>
    <x v="1061"/>
    <x v="0"/>
    <n v="7"/>
    <n v="3"/>
    <x v="8"/>
    <x v="0"/>
  </r>
  <r>
    <n v="69996011"/>
    <x v="9"/>
    <x v="0"/>
    <s v="Married"/>
    <x v="1"/>
    <n v="0"/>
    <x v="3"/>
    <x v="1"/>
    <n v="12"/>
    <n v="4"/>
    <s v="Life Sciences"/>
    <n v="3"/>
    <n v="3"/>
    <x v="1062"/>
    <x v="1"/>
    <n v="9"/>
    <n v="3"/>
    <x v="11"/>
    <x v="2"/>
  </r>
  <r>
    <n v="77931779"/>
    <x v="13"/>
    <x v="1"/>
    <s v="Divorced"/>
    <x v="1"/>
    <n v="0"/>
    <x v="3"/>
    <x v="1"/>
    <n v="10"/>
    <n v="4"/>
    <s v="Life Sciences"/>
    <n v="3"/>
    <n v="4"/>
    <x v="927"/>
    <x v="1"/>
    <n v="1"/>
    <n v="3"/>
    <x v="7"/>
    <x v="0"/>
  </r>
  <r>
    <n v="61724879"/>
    <x v="1"/>
    <x v="0"/>
    <s v="Married"/>
    <x v="1"/>
    <n v="0"/>
    <x v="2"/>
    <x v="1"/>
    <n v="25"/>
    <n v="4"/>
    <s v="Life Sciences"/>
    <n v="3"/>
    <n v="1"/>
    <x v="1063"/>
    <x v="1"/>
    <n v="1"/>
    <n v="2"/>
    <x v="7"/>
    <x v="0"/>
  </r>
  <r>
    <n v="76469410"/>
    <x v="22"/>
    <x v="1"/>
    <s v="Married"/>
    <x v="1"/>
    <n v="0"/>
    <x v="3"/>
    <x v="1"/>
    <n v="10"/>
    <n v="5"/>
    <s v="Medical"/>
    <n v="2"/>
    <n v="1"/>
    <x v="1064"/>
    <x v="0"/>
    <n v="2"/>
    <n v="3"/>
    <x v="5"/>
    <x v="0"/>
  </r>
  <r>
    <n v="69417234"/>
    <x v="4"/>
    <x v="1"/>
    <s v="Divorced"/>
    <x v="1"/>
    <n v="0"/>
    <x v="2"/>
    <x v="1"/>
    <n v="19"/>
    <n v="3"/>
    <s v="Other"/>
    <n v="4"/>
    <n v="1"/>
    <x v="1065"/>
    <x v="1"/>
    <n v="1"/>
    <n v="3"/>
    <x v="5"/>
    <x v="0"/>
  </r>
  <r>
    <n v="16128813"/>
    <x v="10"/>
    <x v="1"/>
    <s v="Married"/>
    <x v="1"/>
    <n v="0"/>
    <x v="1"/>
    <x v="1"/>
    <n v="18"/>
    <n v="5"/>
    <s v="Life Sciences"/>
    <n v="2"/>
    <n v="1"/>
    <x v="1066"/>
    <x v="0"/>
    <n v="1"/>
    <n v="3"/>
    <x v="22"/>
    <x v="5"/>
  </r>
  <r>
    <n v="20724088"/>
    <x v="14"/>
    <x v="0"/>
    <s v="Divorced"/>
    <x v="1"/>
    <n v="0"/>
    <x v="3"/>
    <x v="1"/>
    <n v="27"/>
    <n v="3"/>
    <s v="Medical"/>
    <n v="2"/>
    <n v="1"/>
    <x v="1067"/>
    <x v="1"/>
    <n v="0"/>
    <n v="2"/>
    <x v="8"/>
    <x v="0"/>
  </r>
  <r>
    <n v="55951995"/>
    <x v="18"/>
    <x v="1"/>
    <s v="Single"/>
    <x v="1"/>
    <n v="0"/>
    <x v="1"/>
    <x v="1"/>
    <n v="5"/>
    <n v="1"/>
    <s v="Medical"/>
    <n v="3"/>
    <n v="4"/>
    <x v="1068"/>
    <x v="1"/>
    <n v="1"/>
    <n v="3"/>
    <x v="4"/>
    <x v="2"/>
  </r>
  <r>
    <n v="55058697"/>
    <x v="41"/>
    <x v="0"/>
    <s v="Single"/>
    <x v="0"/>
    <n v="1"/>
    <x v="6"/>
    <x v="0"/>
    <n v="3"/>
    <n v="2"/>
    <s v="Medical"/>
    <n v="2"/>
    <n v="4"/>
    <x v="1069"/>
    <x v="1"/>
    <n v="1"/>
    <n v="4"/>
    <x v="2"/>
    <x v="2"/>
  </r>
  <r>
    <n v="78654867"/>
    <x v="40"/>
    <x v="0"/>
    <s v="Married"/>
    <x v="1"/>
    <n v="0"/>
    <x v="5"/>
    <x v="2"/>
    <n v="26"/>
    <n v="4"/>
    <s v="Life Sciences"/>
    <n v="4"/>
    <n v="3"/>
    <x v="1070"/>
    <x v="4"/>
    <n v="3"/>
    <n v="3"/>
    <x v="8"/>
    <x v="0"/>
  </r>
  <r>
    <n v="71634759"/>
    <x v="22"/>
    <x v="1"/>
    <s v="Divorced"/>
    <x v="1"/>
    <n v="0"/>
    <x v="2"/>
    <x v="1"/>
    <n v="3"/>
    <n v="2"/>
    <s v="Medical"/>
    <n v="3"/>
    <n v="3"/>
    <x v="1071"/>
    <x v="1"/>
    <n v="0"/>
    <n v="3"/>
    <x v="1"/>
    <x v="1"/>
  </r>
  <r>
    <n v="17537949"/>
    <x v="32"/>
    <x v="0"/>
    <s v="Married"/>
    <x v="1"/>
    <n v="0"/>
    <x v="3"/>
    <x v="1"/>
    <n v="15"/>
    <n v="3"/>
    <s v="Life Sciences"/>
    <n v="1"/>
    <n v="3"/>
    <x v="1072"/>
    <x v="2"/>
    <n v="1"/>
    <n v="3"/>
    <x v="29"/>
    <x v="5"/>
  </r>
  <r>
    <n v="42727600"/>
    <x v="10"/>
    <x v="0"/>
    <s v="Married"/>
    <x v="1"/>
    <n v="0"/>
    <x v="4"/>
    <x v="1"/>
    <n v="8"/>
    <n v="4"/>
    <s v="Life Sciences"/>
    <n v="3"/>
    <n v="3"/>
    <x v="691"/>
    <x v="1"/>
    <n v="1"/>
    <n v="3"/>
    <x v="13"/>
    <x v="1"/>
  </r>
  <r>
    <n v="31035517"/>
    <x v="2"/>
    <x v="1"/>
    <s v="Married"/>
    <x v="1"/>
    <n v="0"/>
    <x v="3"/>
    <x v="1"/>
    <n v="19"/>
    <n v="3"/>
    <s v="Life Sciences"/>
    <n v="3"/>
    <n v="3"/>
    <x v="1073"/>
    <x v="0"/>
    <n v="3"/>
    <n v="2"/>
    <x v="9"/>
    <x v="2"/>
  </r>
  <r>
    <n v="44700158"/>
    <x v="22"/>
    <x v="0"/>
    <s v="Single"/>
    <x v="1"/>
    <n v="0"/>
    <x v="3"/>
    <x v="1"/>
    <n v="4"/>
    <n v="3"/>
    <s v="Medical"/>
    <n v="1"/>
    <n v="3"/>
    <x v="1074"/>
    <x v="0"/>
    <n v="0"/>
    <n v="1"/>
    <x v="7"/>
    <x v="0"/>
  </r>
  <r>
    <n v="86494841"/>
    <x v="28"/>
    <x v="0"/>
    <s v="Divorced"/>
    <x v="1"/>
    <n v="0"/>
    <x v="3"/>
    <x v="1"/>
    <n v="2"/>
    <n v="2"/>
    <s v="Other"/>
    <n v="4"/>
    <n v="4"/>
    <x v="1075"/>
    <x v="0"/>
    <n v="1"/>
    <n v="3"/>
    <x v="1"/>
    <x v="1"/>
  </r>
  <r>
    <n v="57664135"/>
    <x v="8"/>
    <x v="0"/>
    <s v="Married"/>
    <x v="1"/>
    <n v="0"/>
    <x v="3"/>
    <x v="1"/>
    <n v="2"/>
    <n v="2"/>
    <s v="Medical"/>
    <n v="4"/>
    <n v="3"/>
    <x v="751"/>
    <x v="0"/>
    <n v="3"/>
    <n v="4"/>
    <x v="8"/>
    <x v="0"/>
  </r>
  <r>
    <n v="73583504"/>
    <x v="10"/>
    <x v="1"/>
    <s v="Married"/>
    <x v="0"/>
    <n v="1"/>
    <x v="0"/>
    <x v="0"/>
    <n v="10"/>
    <n v="3"/>
    <s v="Medical"/>
    <n v="4"/>
    <n v="1"/>
    <x v="1076"/>
    <x v="2"/>
    <n v="9"/>
    <n v="3"/>
    <x v="20"/>
    <x v="1"/>
  </r>
  <r>
    <n v="12942409"/>
    <x v="2"/>
    <x v="0"/>
    <s v="Married"/>
    <x v="1"/>
    <n v="0"/>
    <x v="1"/>
    <x v="1"/>
    <n v="10"/>
    <n v="3"/>
    <s v="Medical"/>
    <n v="2"/>
    <n v="2"/>
    <x v="1077"/>
    <x v="1"/>
    <n v="1"/>
    <n v="1"/>
    <x v="3"/>
    <x v="0"/>
  </r>
  <r>
    <n v="41943507"/>
    <x v="32"/>
    <x v="0"/>
    <s v="Single"/>
    <x v="1"/>
    <n v="0"/>
    <x v="3"/>
    <x v="1"/>
    <n v="16"/>
    <n v="3"/>
    <s v="Life Sciences"/>
    <n v="3"/>
    <n v="4"/>
    <x v="1078"/>
    <x v="0"/>
    <n v="6"/>
    <n v="2"/>
    <x v="9"/>
    <x v="2"/>
  </r>
  <r>
    <n v="18820294"/>
    <x v="20"/>
    <x v="1"/>
    <s v="Married"/>
    <x v="1"/>
    <n v="0"/>
    <x v="8"/>
    <x v="2"/>
    <n v="1"/>
    <n v="5"/>
    <s v="Human Resources"/>
    <n v="1"/>
    <n v="4"/>
    <x v="1079"/>
    <x v="0"/>
    <n v="4"/>
    <n v="3"/>
    <x v="1"/>
    <x v="1"/>
  </r>
  <r>
    <n v="77248517"/>
    <x v="26"/>
    <x v="1"/>
    <s v="Married"/>
    <x v="1"/>
    <n v="0"/>
    <x v="5"/>
    <x v="1"/>
    <n v="4"/>
    <n v="5"/>
    <s v="Medical"/>
    <n v="3"/>
    <n v="4"/>
    <x v="1080"/>
    <x v="3"/>
    <n v="2"/>
    <n v="3"/>
    <x v="4"/>
    <x v="2"/>
  </r>
  <r>
    <n v="36698993"/>
    <x v="10"/>
    <x v="1"/>
    <s v="Divorced"/>
    <x v="0"/>
    <n v="1"/>
    <x v="0"/>
    <x v="0"/>
    <n v="15"/>
    <n v="2"/>
    <s v="Medical"/>
    <n v="1"/>
    <n v="4"/>
    <x v="1081"/>
    <x v="0"/>
    <n v="6"/>
    <n v="2"/>
    <x v="4"/>
    <x v="2"/>
  </r>
  <r>
    <n v="62368230"/>
    <x v="17"/>
    <x v="0"/>
    <s v="Single"/>
    <x v="1"/>
    <n v="0"/>
    <x v="1"/>
    <x v="1"/>
    <n v="2"/>
    <n v="1"/>
    <s v="Technical Degree"/>
    <n v="1"/>
    <n v="4"/>
    <x v="841"/>
    <x v="1"/>
    <n v="1"/>
    <n v="3"/>
    <x v="0"/>
    <x v="0"/>
  </r>
  <r>
    <n v="21384918"/>
    <x v="4"/>
    <x v="0"/>
    <s v="Married"/>
    <x v="1"/>
    <n v="0"/>
    <x v="1"/>
    <x v="1"/>
    <n v="8"/>
    <n v="3"/>
    <s v="Medical"/>
    <n v="2"/>
    <n v="3"/>
    <x v="1082"/>
    <x v="1"/>
    <n v="7"/>
    <n v="3"/>
    <x v="11"/>
    <x v="2"/>
  </r>
  <r>
    <n v="87782535"/>
    <x v="4"/>
    <x v="1"/>
    <s v="Single"/>
    <x v="1"/>
    <n v="0"/>
    <x v="1"/>
    <x v="1"/>
    <n v="2"/>
    <n v="3"/>
    <s v="Medical"/>
    <n v="4"/>
    <n v="4"/>
    <x v="1083"/>
    <x v="1"/>
    <n v="2"/>
    <n v="2"/>
    <x v="9"/>
    <x v="2"/>
  </r>
  <r>
    <n v="47600541"/>
    <x v="32"/>
    <x v="1"/>
    <s v="Single"/>
    <x v="0"/>
    <n v="1"/>
    <x v="2"/>
    <x v="1"/>
    <n v="7"/>
    <n v="3"/>
    <s v="Life Sciences"/>
    <n v="1"/>
    <n v="1"/>
    <x v="1084"/>
    <x v="1"/>
    <n v="3"/>
    <n v="1"/>
    <x v="9"/>
    <x v="2"/>
  </r>
  <r>
    <n v="26744093"/>
    <x v="11"/>
    <x v="1"/>
    <s v="Single"/>
    <x v="1"/>
    <n v="0"/>
    <x v="0"/>
    <x v="0"/>
    <n v="10"/>
    <n v="3"/>
    <s v="Medical"/>
    <n v="3"/>
    <n v="3"/>
    <x v="1085"/>
    <x v="0"/>
    <n v="9"/>
    <n v="3"/>
    <x v="8"/>
    <x v="0"/>
  </r>
  <r>
    <n v="55113495"/>
    <x v="9"/>
    <x v="0"/>
    <s v="Married"/>
    <x v="1"/>
    <n v="0"/>
    <x v="4"/>
    <x v="1"/>
    <n v="5"/>
    <n v="4"/>
    <s v="Life Sciences"/>
    <n v="2"/>
    <n v="1"/>
    <x v="1086"/>
    <x v="0"/>
    <n v="4"/>
    <n v="3"/>
    <x v="11"/>
    <x v="2"/>
  </r>
  <r>
    <n v="66881320"/>
    <x v="36"/>
    <x v="1"/>
    <s v="Divorced"/>
    <x v="1"/>
    <n v="0"/>
    <x v="3"/>
    <x v="1"/>
    <n v="2"/>
    <n v="1"/>
    <s v="Life Sciences"/>
    <n v="4"/>
    <n v="3"/>
    <x v="1087"/>
    <x v="0"/>
    <n v="1"/>
    <n v="3"/>
    <x v="5"/>
    <x v="0"/>
  </r>
  <r>
    <n v="72465504"/>
    <x v="22"/>
    <x v="1"/>
    <s v="Married"/>
    <x v="1"/>
    <n v="0"/>
    <x v="3"/>
    <x v="1"/>
    <n v="12"/>
    <n v="3"/>
    <s v="Medical"/>
    <n v="4"/>
    <n v="2"/>
    <x v="1088"/>
    <x v="0"/>
    <n v="4"/>
    <n v="3"/>
    <x v="8"/>
    <x v="0"/>
  </r>
  <r>
    <n v="17238813"/>
    <x v="1"/>
    <x v="0"/>
    <s v="Married"/>
    <x v="1"/>
    <n v="0"/>
    <x v="7"/>
    <x v="1"/>
    <n v="22"/>
    <n v="4"/>
    <s v="Other"/>
    <n v="1"/>
    <n v="2"/>
    <x v="1089"/>
    <x v="3"/>
    <n v="3"/>
    <n v="3"/>
    <x v="9"/>
    <x v="2"/>
  </r>
  <r>
    <n v="23016003"/>
    <x v="24"/>
    <x v="0"/>
    <s v="Divorced"/>
    <x v="1"/>
    <n v="0"/>
    <x v="7"/>
    <x v="1"/>
    <n v="17"/>
    <n v="5"/>
    <s v="Life Sciences"/>
    <n v="4"/>
    <n v="1"/>
    <x v="1090"/>
    <x v="3"/>
    <n v="5"/>
    <n v="3"/>
    <x v="13"/>
    <x v="1"/>
  </r>
  <r>
    <n v="44579368"/>
    <x v="35"/>
    <x v="0"/>
    <s v="Single"/>
    <x v="1"/>
    <n v="0"/>
    <x v="6"/>
    <x v="0"/>
    <n v="2"/>
    <n v="3"/>
    <s v="Medical"/>
    <n v="3"/>
    <n v="3"/>
    <x v="1091"/>
    <x v="1"/>
    <n v="1"/>
    <n v="3"/>
    <x v="4"/>
    <x v="2"/>
  </r>
  <r>
    <n v="32540357"/>
    <x v="13"/>
    <x v="0"/>
    <s v="Divorced"/>
    <x v="1"/>
    <n v="0"/>
    <x v="1"/>
    <x v="1"/>
    <n v="3"/>
    <n v="3"/>
    <s v="Life Sciences"/>
    <n v="4"/>
    <n v="2"/>
    <x v="1092"/>
    <x v="0"/>
    <n v="1"/>
    <n v="3"/>
    <x v="19"/>
    <x v="1"/>
  </r>
  <r>
    <n v="32117617"/>
    <x v="9"/>
    <x v="1"/>
    <s v="Single"/>
    <x v="1"/>
    <n v="0"/>
    <x v="2"/>
    <x v="1"/>
    <n v="7"/>
    <n v="3"/>
    <s v="Life Sciences"/>
    <n v="1"/>
    <n v="2"/>
    <x v="1093"/>
    <x v="1"/>
    <n v="2"/>
    <n v="3"/>
    <x v="9"/>
    <x v="2"/>
  </r>
  <r>
    <n v="83995052"/>
    <x v="1"/>
    <x v="0"/>
    <s v="Married"/>
    <x v="1"/>
    <n v="0"/>
    <x v="4"/>
    <x v="1"/>
    <n v="6"/>
    <n v="1"/>
    <s v="Life Sciences"/>
    <n v="3"/>
    <n v="3"/>
    <x v="1094"/>
    <x v="3"/>
    <n v="2"/>
    <n v="3"/>
    <x v="15"/>
    <x v="5"/>
  </r>
  <r>
    <n v="24106549"/>
    <x v="9"/>
    <x v="0"/>
    <s v="Married"/>
    <x v="1"/>
    <n v="0"/>
    <x v="3"/>
    <x v="1"/>
    <n v="1"/>
    <n v="4"/>
    <s v="Medical"/>
    <n v="4"/>
    <n v="3"/>
    <x v="1095"/>
    <x v="1"/>
    <n v="0"/>
    <n v="3"/>
    <x v="11"/>
    <x v="2"/>
  </r>
  <r>
    <n v="89747054"/>
    <x v="9"/>
    <x v="1"/>
    <s v="Divorced"/>
    <x v="1"/>
    <n v="0"/>
    <x v="4"/>
    <x v="1"/>
    <n v="3"/>
    <n v="2"/>
    <s v="Life Sciences"/>
    <n v="4"/>
    <n v="1"/>
    <x v="1096"/>
    <x v="0"/>
    <n v="6"/>
    <n v="3"/>
    <x v="8"/>
    <x v="0"/>
  </r>
  <r>
    <n v="40073869"/>
    <x v="33"/>
    <x v="0"/>
    <s v="Married"/>
    <x v="1"/>
    <n v="0"/>
    <x v="5"/>
    <x v="1"/>
    <n v="22"/>
    <n v="5"/>
    <s v="Medical"/>
    <n v="2"/>
    <n v="3"/>
    <x v="1097"/>
    <x v="4"/>
    <n v="3"/>
    <n v="3"/>
    <x v="1"/>
    <x v="1"/>
  </r>
  <r>
    <n v="15554111"/>
    <x v="23"/>
    <x v="1"/>
    <s v="Married"/>
    <x v="1"/>
    <n v="0"/>
    <x v="7"/>
    <x v="1"/>
    <n v="15"/>
    <n v="2"/>
    <s v="Life Sciences"/>
    <n v="3"/>
    <n v="3"/>
    <x v="1098"/>
    <x v="4"/>
    <n v="1"/>
    <n v="3"/>
    <x v="13"/>
    <x v="1"/>
  </r>
  <r>
    <n v="82733754"/>
    <x v="10"/>
    <x v="1"/>
    <s v="Single"/>
    <x v="0"/>
    <n v="1"/>
    <x v="0"/>
    <x v="0"/>
    <n v="12"/>
    <n v="4"/>
    <s v="Other"/>
    <n v="4"/>
    <n v="4"/>
    <x v="1099"/>
    <x v="1"/>
    <n v="3"/>
    <n v="4"/>
    <x v="19"/>
    <x v="1"/>
  </r>
  <r>
    <n v="67174144"/>
    <x v="8"/>
    <x v="1"/>
    <s v="Married"/>
    <x v="1"/>
    <n v="0"/>
    <x v="1"/>
    <x v="1"/>
    <n v="1"/>
    <n v="3"/>
    <s v="Life Sciences"/>
    <n v="4"/>
    <n v="4"/>
    <x v="1100"/>
    <x v="1"/>
    <n v="7"/>
    <n v="4"/>
    <x v="20"/>
    <x v="1"/>
  </r>
  <r>
    <n v="21976776"/>
    <x v="11"/>
    <x v="1"/>
    <s v="Divorced"/>
    <x v="1"/>
    <n v="0"/>
    <x v="0"/>
    <x v="0"/>
    <n v="5"/>
    <n v="3"/>
    <s v="Medical"/>
    <n v="1"/>
    <n v="2"/>
    <x v="1101"/>
    <x v="1"/>
    <n v="1"/>
    <n v="2"/>
    <x v="1"/>
    <x v="1"/>
  </r>
  <r>
    <n v="74335325"/>
    <x v="3"/>
    <x v="1"/>
    <s v="Divorced"/>
    <x v="1"/>
    <n v="0"/>
    <x v="0"/>
    <x v="0"/>
    <n v="2"/>
    <n v="4"/>
    <s v="Medical"/>
    <n v="4"/>
    <n v="4"/>
    <x v="1102"/>
    <x v="0"/>
    <n v="1"/>
    <n v="3"/>
    <x v="0"/>
    <x v="0"/>
  </r>
  <r>
    <n v="58803058"/>
    <x v="5"/>
    <x v="1"/>
    <s v="Divorced"/>
    <x v="1"/>
    <n v="0"/>
    <x v="1"/>
    <x v="1"/>
    <n v="2"/>
    <n v="3"/>
    <s v="Medical"/>
    <n v="4"/>
    <n v="2"/>
    <x v="1103"/>
    <x v="0"/>
    <n v="0"/>
    <n v="2"/>
    <x v="7"/>
    <x v="0"/>
  </r>
  <r>
    <n v="52141669"/>
    <x v="12"/>
    <x v="0"/>
    <s v="Married"/>
    <x v="1"/>
    <n v="0"/>
    <x v="0"/>
    <x v="0"/>
    <n v="5"/>
    <n v="4"/>
    <s v="Life Sciences"/>
    <n v="1"/>
    <n v="4"/>
    <x v="1104"/>
    <x v="0"/>
    <n v="1"/>
    <n v="3"/>
    <x v="1"/>
    <x v="1"/>
  </r>
  <r>
    <n v="84898696"/>
    <x v="1"/>
    <x v="0"/>
    <s v="Divorced"/>
    <x v="1"/>
    <n v="0"/>
    <x v="2"/>
    <x v="1"/>
    <n v="16"/>
    <n v="3"/>
    <s v="Medical"/>
    <n v="4"/>
    <n v="1"/>
    <x v="1105"/>
    <x v="1"/>
    <n v="4"/>
    <n v="2"/>
    <x v="4"/>
    <x v="2"/>
  </r>
  <r>
    <n v="77122209"/>
    <x v="8"/>
    <x v="0"/>
    <s v="Single"/>
    <x v="1"/>
    <n v="0"/>
    <x v="2"/>
    <x v="1"/>
    <n v="2"/>
    <n v="3"/>
    <s v="Medical"/>
    <n v="4"/>
    <n v="2"/>
    <x v="1106"/>
    <x v="1"/>
    <n v="1"/>
    <n v="3"/>
    <x v="9"/>
    <x v="2"/>
  </r>
  <r>
    <n v="70568573"/>
    <x v="40"/>
    <x v="0"/>
    <s v="Divorced"/>
    <x v="1"/>
    <n v="0"/>
    <x v="5"/>
    <x v="0"/>
    <n v="2"/>
    <n v="4"/>
    <s v="Life Sciences"/>
    <n v="2"/>
    <n v="2"/>
    <x v="1107"/>
    <x v="3"/>
    <n v="6"/>
    <n v="3"/>
    <x v="11"/>
    <x v="2"/>
  </r>
  <r>
    <n v="63361015"/>
    <x v="1"/>
    <x v="1"/>
    <s v="Single"/>
    <x v="1"/>
    <n v="0"/>
    <x v="5"/>
    <x v="1"/>
    <n v="1"/>
    <n v="3"/>
    <s v="Life Sciences"/>
    <n v="3"/>
    <n v="3"/>
    <x v="1108"/>
    <x v="3"/>
    <n v="4"/>
    <n v="3"/>
    <x v="3"/>
    <x v="0"/>
  </r>
  <r>
    <n v="82638834"/>
    <x v="0"/>
    <x v="1"/>
    <s v="Single"/>
    <x v="1"/>
    <n v="0"/>
    <x v="0"/>
    <x v="0"/>
    <n v="23"/>
    <n v="2"/>
    <s v="Life Sciences"/>
    <n v="4"/>
    <n v="3"/>
    <x v="1109"/>
    <x v="0"/>
    <n v="3"/>
    <n v="3"/>
    <x v="4"/>
    <x v="2"/>
  </r>
  <r>
    <n v="44473018"/>
    <x v="35"/>
    <x v="1"/>
    <s v="Single"/>
    <x v="1"/>
    <n v="0"/>
    <x v="6"/>
    <x v="0"/>
    <n v="9"/>
    <n v="1"/>
    <s v="Life Sciences"/>
    <n v="4"/>
    <n v="1"/>
    <x v="1110"/>
    <x v="1"/>
    <n v="1"/>
    <n v="3"/>
    <x v="4"/>
    <x v="2"/>
  </r>
  <r>
    <n v="38452887"/>
    <x v="3"/>
    <x v="0"/>
    <s v="Divorced"/>
    <x v="1"/>
    <n v="0"/>
    <x v="0"/>
    <x v="0"/>
    <n v="16"/>
    <n v="3"/>
    <s v="Life Sciences"/>
    <n v="3"/>
    <n v="4"/>
    <x v="1111"/>
    <x v="0"/>
    <n v="1"/>
    <n v="3"/>
    <x v="0"/>
    <x v="0"/>
  </r>
  <r>
    <n v="50086558"/>
    <x v="9"/>
    <x v="1"/>
    <s v="Married"/>
    <x v="1"/>
    <n v="0"/>
    <x v="4"/>
    <x v="1"/>
    <n v="26"/>
    <n v="4"/>
    <s v="Life Sciences"/>
    <n v="1"/>
    <n v="3"/>
    <x v="1112"/>
    <x v="0"/>
    <n v="6"/>
    <n v="2"/>
    <x v="11"/>
    <x v="2"/>
  </r>
  <r>
    <n v="81418791"/>
    <x v="20"/>
    <x v="0"/>
    <s v="Divorced"/>
    <x v="1"/>
    <n v="0"/>
    <x v="8"/>
    <x v="2"/>
    <n v="1"/>
    <n v="3"/>
    <s v="Life Sciences"/>
    <n v="3"/>
    <n v="4"/>
    <x v="1113"/>
    <x v="1"/>
    <n v="4"/>
    <n v="3"/>
    <x v="4"/>
    <x v="2"/>
  </r>
  <r>
    <n v="23195007"/>
    <x v="30"/>
    <x v="1"/>
    <s v="Single"/>
    <x v="0"/>
    <n v="1"/>
    <x v="2"/>
    <x v="1"/>
    <n v="8"/>
    <n v="1"/>
    <s v="Medical"/>
    <n v="4"/>
    <n v="3"/>
    <x v="1114"/>
    <x v="1"/>
    <n v="1"/>
    <n v="3"/>
    <x v="8"/>
    <x v="0"/>
  </r>
  <r>
    <n v="34522899"/>
    <x v="8"/>
    <x v="0"/>
    <s v="Married"/>
    <x v="1"/>
    <n v="0"/>
    <x v="2"/>
    <x v="1"/>
    <n v="4"/>
    <n v="2"/>
    <s v="Medical"/>
    <n v="4"/>
    <n v="3"/>
    <x v="1115"/>
    <x v="1"/>
    <n v="7"/>
    <n v="2"/>
    <x v="2"/>
    <x v="2"/>
  </r>
  <r>
    <n v="57355680"/>
    <x v="16"/>
    <x v="1"/>
    <s v="Married"/>
    <x v="1"/>
    <n v="0"/>
    <x v="4"/>
    <x v="1"/>
    <n v="24"/>
    <n v="4"/>
    <s v="Medical"/>
    <n v="2"/>
    <n v="4"/>
    <x v="1116"/>
    <x v="0"/>
    <n v="3"/>
    <n v="3"/>
    <x v="9"/>
    <x v="2"/>
  </r>
  <r>
    <n v="27007460"/>
    <x v="26"/>
    <x v="0"/>
    <s v="Married"/>
    <x v="0"/>
    <n v="1"/>
    <x v="6"/>
    <x v="0"/>
    <n v="7"/>
    <n v="2"/>
    <s v="Medical"/>
    <n v="4"/>
    <n v="3"/>
    <x v="1117"/>
    <x v="1"/>
    <n v="2"/>
    <n v="3"/>
    <x v="7"/>
    <x v="0"/>
  </r>
  <r>
    <n v="51455504"/>
    <x v="5"/>
    <x v="1"/>
    <s v="Single"/>
    <x v="0"/>
    <n v="1"/>
    <x v="2"/>
    <x v="1"/>
    <n v="2"/>
    <n v="4"/>
    <s v="Life Sciences"/>
    <n v="4"/>
    <n v="2"/>
    <x v="1118"/>
    <x v="1"/>
    <n v="1"/>
    <n v="3"/>
    <x v="6"/>
    <x v="2"/>
  </r>
  <r>
    <n v="75729004"/>
    <x v="25"/>
    <x v="1"/>
    <s v="Single"/>
    <x v="1"/>
    <n v="0"/>
    <x v="2"/>
    <x v="1"/>
    <n v="7"/>
    <n v="3"/>
    <s v="Medical"/>
    <n v="4"/>
    <n v="4"/>
    <x v="1119"/>
    <x v="1"/>
    <n v="1"/>
    <n v="3"/>
    <x v="5"/>
    <x v="0"/>
  </r>
  <r>
    <n v="49439375"/>
    <x v="27"/>
    <x v="1"/>
    <s v="Divorced"/>
    <x v="1"/>
    <n v="0"/>
    <x v="1"/>
    <x v="1"/>
    <n v="22"/>
    <n v="3"/>
    <s v="Technical Degree"/>
    <n v="1"/>
    <n v="2"/>
    <x v="1120"/>
    <x v="1"/>
    <n v="5"/>
    <n v="3"/>
    <x v="9"/>
    <x v="2"/>
  </r>
  <r>
    <n v="59983964"/>
    <x v="13"/>
    <x v="1"/>
    <s v="Married"/>
    <x v="1"/>
    <n v="0"/>
    <x v="2"/>
    <x v="1"/>
    <n v="5"/>
    <n v="2"/>
    <s v="Medical"/>
    <n v="2"/>
    <n v="4"/>
    <x v="1121"/>
    <x v="1"/>
    <n v="1"/>
    <n v="4"/>
    <x v="15"/>
    <x v="5"/>
  </r>
  <r>
    <n v="51679989"/>
    <x v="42"/>
    <x v="1"/>
    <s v="Divorced"/>
    <x v="1"/>
    <n v="0"/>
    <x v="4"/>
    <x v="1"/>
    <n v="1"/>
    <n v="4"/>
    <s v="Medical"/>
    <n v="3"/>
    <n v="4"/>
    <x v="1122"/>
    <x v="2"/>
    <n v="3"/>
    <n v="4"/>
    <x v="6"/>
    <x v="2"/>
  </r>
  <r>
    <n v="10275434"/>
    <x v="3"/>
    <x v="1"/>
    <s v="Married"/>
    <x v="1"/>
    <n v="0"/>
    <x v="2"/>
    <x v="1"/>
    <n v="21"/>
    <n v="3"/>
    <s v="Medical"/>
    <n v="2"/>
    <n v="2"/>
    <x v="14"/>
    <x v="1"/>
    <n v="1"/>
    <n v="3"/>
    <x v="13"/>
    <x v="1"/>
  </r>
  <r>
    <n v="17778780"/>
    <x v="2"/>
    <x v="1"/>
    <s v="Divorced"/>
    <x v="1"/>
    <n v="0"/>
    <x v="0"/>
    <x v="0"/>
    <n v="1"/>
    <n v="4"/>
    <s v="Medical"/>
    <n v="3"/>
    <n v="4"/>
    <x v="1123"/>
    <x v="2"/>
    <n v="1"/>
    <n v="2"/>
    <x v="0"/>
    <x v="0"/>
  </r>
  <r>
    <n v="65866576"/>
    <x v="13"/>
    <x v="0"/>
    <s v="Married"/>
    <x v="1"/>
    <n v="0"/>
    <x v="1"/>
    <x v="1"/>
    <n v="19"/>
    <n v="3"/>
    <s v="Life Sciences"/>
    <n v="2"/>
    <n v="4"/>
    <x v="1124"/>
    <x v="1"/>
    <n v="1"/>
    <n v="3"/>
    <x v="1"/>
    <x v="1"/>
  </r>
  <r>
    <n v="26706440"/>
    <x v="30"/>
    <x v="1"/>
    <s v="Divorced"/>
    <x v="0"/>
    <n v="1"/>
    <x v="6"/>
    <x v="0"/>
    <n v="7"/>
    <n v="3"/>
    <s v="Life Sciences"/>
    <n v="3"/>
    <n v="4"/>
    <x v="1125"/>
    <x v="1"/>
    <n v="1"/>
    <n v="3"/>
    <x v="11"/>
    <x v="2"/>
  </r>
  <r>
    <n v="72577699"/>
    <x v="20"/>
    <x v="0"/>
    <s v="Married"/>
    <x v="1"/>
    <n v="0"/>
    <x v="4"/>
    <x v="1"/>
    <n v="2"/>
    <n v="3"/>
    <s v="Life Sciences"/>
    <n v="3"/>
    <n v="4"/>
    <x v="1126"/>
    <x v="0"/>
    <n v="1"/>
    <n v="3"/>
    <x v="3"/>
    <x v="0"/>
  </r>
  <r>
    <n v="86927284"/>
    <x v="10"/>
    <x v="1"/>
    <s v="Single"/>
    <x v="1"/>
    <n v="0"/>
    <x v="1"/>
    <x v="1"/>
    <n v="2"/>
    <n v="4"/>
    <s v="Medical"/>
    <n v="1"/>
    <n v="4"/>
    <x v="1127"/>
    <x v="1"/>
    <n v="0"/>
    <n v="4"/>
    <x v="8"/>
    <x v="0"/>
  </r>
  <r>
    <n v="46541321"/>
    <x v="23"/>
    <x v="1"/>
    <s v="Married"/>
    <x v="1"/>
    <n v="0"/>
    <x v="0"/>
    <x v="0"/>
    <n v="2"/>
    <n v="3"/>
    <s v="Medical"/>
    <n v="4"/>
    <n v="4"/>
    <x v="1128"/>
    <x v="0"/>
    <n v="1"/>
    <n v="3"/>
    <x v="1"/>
    <x v="1"/>
  </r>
  <r>
    <n v="30696756"/>
    <x v="17"/>
    <x v="1"/>
    <s v="Married"/>
    <x v="1"/>
    <n v="0"/>
    <x v="1"/>
    <x v="1"/>
    <n v="9"/>
    <n v="3"/>
    <s v="Medical"/>
    <n v="3"/>
    <n v="3"/>
    <x v="1129"/>
    <x v="1"/>
    <n v="1"/>
    <n v="3"/>
    <x v="8"/>
    <x v="0"/>
  </r>
  <r>
    <n v="12281953"/>
    <x v="0"/>
    <x v="1"/>
    <s v="Single"/>
    <x v="1"/>
    <n v="0"/>
    <x v="0"/>
    <x v="0"/>
    <n v="6"/>
    <n v="3"/>
    <s v="Marketing"/>
    <n v="4"/>
    <n v="3"/>
    <x v="1130"/>
    <x v="2"/>
    <n v="1"/>
    <n v="3"/>
    <x v="1"/>
    <x v="1"/>
  </r>
  <r>
    <n v="86281214"/>
    <x v="11"/>
    <x v="0"/>
    <s v="Married"/>
    <x v="1"/>
    <n v="0"/>
    <x v="2"/>
    <x v="1"/>
    <n v="9"/>
    <n v="4"/>
    <s v="Medical"/>
    <n v="4"/>
    <n v="3"/>
    <x v="1131"/>
    <x v="1"/>
    <n v="9"/>
    <n v="3"/>
    <x v="8"/>
    <x v="0"/>
  </r>
  <r>
    <n v="60428429"/>
    <x v="9"/>
    <x v="0"/>
    <s v="Single"/>
    <x v="1"/>
    <n v="0"/>
    <x v="6"/>
    <x v="0"/>
    <n v="2"/>
    <n v="4"/>
    <s v="Life Sciences"/>
    <n v="3"/>
    <n v="4"/>
    <x v="1132"/>
    <x v="1"/>
    <n v="3"/>
    <n v="2"/>
    <x v="20"/>
    <x v="1"/>
  </r>
  <r>
    <n v="37230566"/>
    <x v="28"/>
    <x v="1"/>
    <s v="Married"/>
    <x v="1"/>
    <n v="0"/>
    <x v="4"/>
    <x v="1"/>
    <n v="1"/>
    <n v="1"/>
    <s v="Life Sciences"/>
    <n v="3"/>
    <n v="3"/>
    <x v="1133"/>
    <x v="2"/>
    <n v="3"/>
    <n v="2"/>
    <x v="36"/>
    <x v="4"/>
  </r>
  <r>
    <n v="73968184"/>
    <x v="17"/>
    <x v="1"/>
    <s v="Married"/>
    <x v="0"/>
    <n v="1"/>
    <x v="8"/>
    <x v="2"/>
    <n v="22"/>
    <n v="1"/>
    <s v="Human Resources"/>
    <n v="4"/>
    <n v="3"/>
    <x v="1134"/>
    <x v="1"/>
    <n v="1"/>
    <n v="3"/>
    <x v="6"/>
    <x v="2"/>
  </r>
  <r>
    <n v="43907913"/>
    <x v="40"/>
    <x v="1"/>
    <s v="Married"/>
    <x v="0"/>
    <n v="1"/>
    <x v="0"/>
    <x v="0"/>
    <n v="9"/>
    <n v="3"/>
    <s v="Life Sciences"/>
    <n v="3"/>
    <n v="3"/>
    <x v="1135"/>
    <x v="2"/>
    <n v="7"/>
    <n v="1"/>
    <x v="36"/>
    <x v="4"/>
  </r>
  <r>
    <n v="17277496"/>
    <x v="25"/>
    <x v="1"/>
    <s v="Married"/>
    <x v="1"/>
    <n v="0"/>
    <x v="2"/>
    <x v="1"/>
    <n v="17"/>
    <n v="4"/>
    <s v="Medical"/>
    <n v="4"/>
    <n v="3"/>
    <x v="1136"/>
    <x v="1"/>
    <n v="1"/>
    <n v="4"/>
    <x v="11"/>
    <x v="2"/>
  </r>
  <r>
    <n v="12938710"/>
    <x v="28"/>
    <x v="0"/>
    <s v="Single"/>
    <x v="1"/>
    <n v="0"/>
    <x v="7"/>
    <x v="1"/>
    <n v="28"/>
    <n v="2"/>
    <s v="Technical Degree"/>
    <n v="4"/>
    <n v="2"/>
    <x v="1137"/>
    <x v="3"/>
    <n v="1"/>
    <n v="3"/>
    <x v="17"/>
    <x v="4"/>
  </r>
  <r>
    <n v="80671851"/>
    <x v="5"/>
    <x v="1"/>
    <s v="Married"/>
    <x v="1"/>
    <n v="0"/>
    <x v="1"/>
    <x v="1"/>
    <n v="10"/>
    <n v="3"/>
    <s v="Life Sciences"/>
    <n v="1"/>
    <n v="3"/>
    <x v="1138"/>
    <x v="1"/>
    <n v="6"/>
    <n v="2"/>
    <x v="8"/>
    <x v="0"/>
  </r>
  <r>
    <n v="69763581"/>
    <x v="12"/>
    <x v="1"/>
    <s v="Married"/>
    <x v="1"/>
    <n v="0"/>
    <x v="2"/>
    <x v="1"/>
    <n v="2"/>
    <n v="4"/>
    <s v="Life Sciences"/>
    <n v="2"/>
    <n v="3"/>
    <x v="1139"/>
    <x v="1"/>
    <n v="1"/>
    <n v="4"/>
    <x v="8"/>
    <x v="0"/>
  </r>
  <r>
    <n v="43317897"/>
    <x v="0"/>
    <x v="1"/>
    <s v="Married"/>
    <x v="1"/>
    <n v="0"/>
    <x v="8"/>
    <x v="2"/>
    <n v="4"/>
    <n v="3"/>
    <s v="Human Resources"/>
    <n v="3"/>
    <n v="2"/>
    <x v="1140"/>
    <x v="0"/>
    <n v="6"/>
    <n v="3"/>
    <x v="11"/>
    <x v="2"/>
  </r>
  <r>
    <n v="29341766"/>
    <x v="32"/>
    <x v="0"/>
    <s v="Married"/>
    <x v="1"/>
    <n v="0"/>
    <x v="3"/>
    <x v="1"/>
    <n v="8"/>
    <n v="2"/>
    <s v="Life Sciences"/>
    <n v="2"/>
    <n v="1"/>
    <x v="1141"/>
    <x v="0"/>
    <n v="2"/>
    <n v="3"/>
    <x v="6"/>
    <x v="2"/>
  </r>
  <r>
    <n v="51170581"/>
    <x v="17"/>
    <x v="1"/>
    <s v="Divorced"/>
    <x v="1"/>
    <n v="0"/>
    <x v="2"/>
    <x v="1"/>
    <n v="29"/>
    <n v="1"/>
    <s v="Medical"/>
    <n v="2"/>
    <n v="1"/>
    <x v="1142"/>
    <x v="1"/>
    <n v="1"/>
    <n v="4"/>
    <x v="0"/>
    <x v="0"/>
  </r>
  <r>
    <n v="28257227"/>
    <x v="21"/>
    <x v="1"/>
    <s v="Single"/>
    <x v="1"/>
    <n v="0"/>
    <x v="4"/>
    <x v="1"/>
    <n v="13"/>
    <n v="4"/>
    <s v="Life Sciences"/>
    <n v="3"/>
    <n v="2"/>
    <x v="622"/>
    <x v="0"/>
    <n v="6"/>
    <n v="3"/>
    <x v="1"/>
    <x v="1"/>
  </r>
  <r>
    <n v="22832553"/>
    <x v="10"/>
    <x v="1"/>
    <s v="Married"/>
    <x v="1"/>
    <n v="0"/>
    <x v="3"/>
    <x v="1"/>
    <n v="27"/>
    <n v="4"/>
    <s v="Life Sciences"/>
    <n v="4"/>
    <n v="3"/>
    <x v="1143"/>
    <x v="0"/>
    <n v="2"/>
    <n v="3"/>
    <x v="5"/>
    <x v="0"/>
  </r>
  <r>
    <n v="73763690"/>
    <x v="7"/>
    <x v="1"/>
    <s v="Married"/>
    <x v="1"/>
    <n v="0"/>
    <x v="1"/>
    <x v="1"/>
    <n v="16"/>
    <n v="1"/>
    <s v="Life Sciences"/>
    <n v="2"/>
    <n v="4"/>
    <x v="1144"/>
    <x v="1"/>
    <n v="1"/>
    <n v="2"/>
    <x v="1"/>
    <x v="1"/>
  </r>
  <r>
    <n v="35873819"/>
    <x v="40"/>
    <x v="1"/>
    <s v="Married"/>
    <x v="1"/>
    <n v="0"/>
    <x v="0"/>
    <x v="0"/>
    <n v="2"/>
    <n v="4"/>
    <s v="Marketing"/>
    <n v="3"/>
    <n v="2"/>
    <x v="1145"/>
    <x v="1"/>
    <n v="7"/>
    <n v="1"/>
    <x v="6"/>
    <x v="2"/>
  </r>
  <r>
    <n v="87228738"/>
    <x v="21"/>
    <x v="1"/>
    <s v="Divorced"/>
    <x v="1"/>
    <n v="0"/>
    <x v="0"/>
    <x v="0"/>
    <n v="2"/>
    <n v="3"/>
    <s v="Life Sciences"/>
    <n v="3"/>
    <n v="4"/>
    <x v="1146"/>
    <x v="2"/>
    <n v="4"/>
    <n v="2"/>
    <x v="1"/>
    <x v="1"/>
  </r>
  <r>
    <n v="24820528"/>
    <x v="9"/>
    <x v="1"/>
    <s v="Divorced"/>
    <x v="0"/>
    <n v="1"/>
    <x v="0"/>
    <x v="0"/>
    <n v="13"/>
    <n v="5"/>
    <s v="Marketing"/>
    <n v="2"/>
    <n v="1"/>
    <x v="1147"/>
    <x v="0"/>
    <n v="5"/>
    <n v="3"/>
    <x v="4"/>
    <x v="2"/>
  </r>
  <r>
    <n v="49127499"/>
    <x v="5"/>
    <x v="1"/>
    <s v="Single"/>
    <x v="0"/>
    <n v="1"/>
    <x v="0"/>
    <x v="0"/>
    <n v="1"/>
    <n v="2"/>
    <s v="Life Sciences"/>
    <n v="1"/>
    <n v="2"/>
    <x v="1148"/>
    <x v="0"/>
    <n v="6"/>
    <n v="3"/>
    <x v="2"/>
    <x v="2"/>
  </r>
  <r>
    <n v="14364986"/>
    <x v="30"/>
    <x v="0"/>
    <s v="Single"/>
    <x v="1"/>
    <n v="0"/>
    <x v="2"/>
    <x v="1"/>
    <n v="4"/>
    <n v="1"/>
    <s v="Medical"/>
    <n v="3"/>
    <n v="2"/>
    <x v="1149"/>
    <x v="1"/>
    <n v="1"/>
    <n v="1"/>
    <x v="11"/>
    <x v="2"/>
  </r>
  <r>
    <n v="73749406"/>
    <x v="12"/>
    <x v="0"/>
    <s v="Single"/>
    <x v="1"/>
    <n v="0"/>
    <x v="3"/>
    <x v="1"/>
    <n v="24"/>
    <n v="1"/>
    <s v="Technical Degree"/>
    <n v="4"/>
    <n v="4"/>
    <x v="319"/>
    <x v="0"/>
    <n v="2"/>
    <n v="2"/>
    <x v="8"/>
    <x v="0"/>
  </r>
  <r>
    <n v="30056059"/>
    <x v="22"/>
    <x v="1"/>
    <s v="Married"/>
    <x v="1"/>
    <n v="0"/>
    <x v="2"/>
    <x v="1"/>
    <n v="1"/>
    <n v="3"/>
    <s v="Life Sciences"/>
    <n v="4"/>
    <n v="4"/>
    <x v="1150"/>
    <x v="0"/>
    <n v="1"/>
    <n v="3"/>
    <x v="7"/>
    <x v="0"/>
  </r>
  <r>
    <n v="50634072"/>
    <x v="5"/>
    <x v="1"/>
    <s v="Married"/>
    <x v="1"/>
    <n v="0"/>
    <x v="0"/>
    <x v="0"/>
    <n v="19"/>
    <n v="3"/>
    <s v="Life Sciences"/>
    <n v="4"/>
    <n v="3"/>
    <x v="1151"/>
    <x v="2"/>
    <n v="3"/>
    <n v="1"/>
    <x v="9"/>
    <x v="2"/>
  </r>
  <r>
    <n v="71687572"/>
    <x v="32"/>
    <x v="1"/>
    <s v="Single"/>
    <x v="1"/>
    <n v="0"/>
    <x v="5"/>
    <x v="0"/>
    <n v="7"/>
    <n v="4"/>
    <s v="Medical"/>
    <n v="2"/>
    <n v="2"/>
    <x v="1152"/>
    <x v="4"/>
    <n v="1"/>
    <n v="2"/>
    <x v="17"/>
    <x v="4"/>
  </r>
  <r>
    <n v="55944495"/>
    <x v="28"/>
    <x v="0"/>
    <s v="Married"/>
    <x v="1"/>
    <n v="0"/>
    <x v="8"/>
    <x v="2"/>
    <n v="4"/>
    <n v="3"/>
    <s v="Life Sciences"/>
    <n v="3"/>
    <n v="3"/>
    <x v="1153"/>
    <x v="2"/>
    <n v="4"/>
    <n v="4"/>
    <x v="8"/>
    <x v="0"/>
  </r>
  <r>
    <n v="36706029"/>
    <x v="7"/>
    <x v="0"/>
    <s v="Single"/>
    <x v="1"/>
    <n v="0"/>
    <x v="1"/>
    <x v="1"/>
    <n v="2"/>
    <n v="4"/>
    <s v="Technical Degree"/>
    <n v="4"/>
    <n v="1"/>
    <x v="775"/>
    <x v="1"/>
    <n v="0"/>
    <n v="3"/>
    <x v="7"/>
    <x v="0"/>
  </r>
  <r>
    <n v="85809768"/>
    <x v="17"/>
    <x v="1"/>
    <s v="Married"/>
    <x v="1"/>
    <n v="0"/>
    <x v="8"/>
    <x v="2"/>
    <n v="10"/>
    <n v="3"/>
    <s v="Medical"/>
    <n v="1"/>
    <n v="4"/>
    <x v="1154"/>
    <x v="1"/>
    <n v="0"/>
    <n v="3"/>
    <x v="4"/>
    <x v="2"/>
  </r>
  <r>
    <n v="73426228"/>
    <x v="7"/>
    <x v="0"/>
    <s v="Divorced"/>
    <x v="0"/>
    <n v="1"/>
    <x v="8"/>
    <x v="2"/>
    <n v="8"/>
    <n v="3"/>
    <s v="Human Resources"/>
    <n v="3"/>
    <n v="4"/>
    <x v="1155"/>
    <x v="1"/>
    <n v="6"/>
    <n v="2"/>
    <x v="9"/>
    <x v="2"/>
  </r>
  <r>
    <n v="55685805"/>
    <x v="12"/>
    <x v="1"/>
    <s v="Married"/>
    <x v="1"/>
    <n v="0"/>
    <x v="0"/>
    <x v="0"/>
    <n v="5"/>
    <n v="3"/>
    <s v="Technical Degree"/>
    <n v="1"/>
    <n v="3"/>
    <x v="1156"/>
    <x v="0"/>
    <n v="1"/>
    <n v="3"/>
    <x v="8"/>
    <x v="0"/>
  </r>
  <r>
    <n v="11907717"/>
    <x v="4"/>
    <x v="0"/>
    <s v="Single"/>
    <x v="1"/>
    <n v="0"/>
    <x v="1"/>
    <x v="1"/>
    <n v="8"/>
    <n v="3"/>
    <s v="Medical"/>
    <n v="3"/>
    <n v="4"/>
    <x v="1157"/>
    <x v="1"/>
    <n v="1"/>
    <n v="2"/>
    <x v="0"/>
    <x v="0"/>
  </r>
  <r>
    <n v="53986582"/>
    <x v="11"/>
    <x v="0"/>
    <s v="Single"/>
    <x v="0"/>
    <n v="1"/>
    <x v="6"/>
    <x v="0"/>
    <n v="9"/>
    <n v="3"/>
    <s v="Marketing"/>
    <n v="2"/>
    <n v="2"/>
    <x v="1158"/>
    <x v="1"/>
    <n v="1"/>
    <n v="3"/>
    <x v="4"/>
    <x v="2"/>
  </r>
  <r>
    <n v="86980543"/>
    <x v="11"/>
    <x v="1"/>
    <s v="Single"/>
    <x v="1"/>
    <n v="0"/>
    <x v="4"/>
    <x v="1"/>
    <n v="1"/>
    <n v="3"/>
    <s v="Life Sciences"/>
    <n v="4"/>
    <n v="3"/>
    <x v="1159"/>
    <x v="0"/>
    <n v="8"/>
    <n v="4"/>
    <x v="11"/>
    <x v="2"/>
  </r>
  <r>
    <n v="13335265"/>
    <x v="7"/>
    <x v="1"/>
    <s v="Divorced"/>
    <x v="1"/>
    <n v="0"/>
    <x v="0"/>
    <x v="0"/>
    <n v="15"/>
    <n v="2"/>
    <s v="Marketing"/>
    <n v="3"/>
    <n v="1"/>
    <x v="1160"/>
    <x v="0"/>
    <n v="2"/>
    <n v="3"/>
    <x v="5"/>
    <x v="0"/>
  </r>
  <r>
    <n v="42997510"/>
    <x v="13"/>
    <x v="1"/>
    <s v="Married"/>
    <x v="1"/>
    <n v="0"/>
    <x v="1"/>
    <x v="1"/>
    <n v="2"/>
    <n v="4"/>
    <s v="Medical"/>
    <n v="4"/>
    <n v="4"/>
    <x v="1161"/>
    <x v="1"/>
    <n v="0"/>
    <n v="3"/>
    <x v="8"/>
    <x v="0"/>
  </r>
  <r>
    <n v="22123286"/>
    <x v="3"/>
    <x v="0"/>
    <s v="Single"/>
    <x v="1"/>
    <n v="0"/>
    <x v="0"/>
    <x v="0"/>
    <n v="2"/>
    <n v="3"/>
    <s v="Marketing"/>
    <n v="4"/>
    <n v="2"/>
    <x v="1162"/>
    <x v="0"/>
    <n v="8"/>
    <n v="2"/>
    <x v="19"/>
    <x v="1"/>
  </r>
  <r>
    <n v="14852502"/>
    <x v="1"/>
    <x v="0"/>
    <s v="Single"/>
    <x v="1"/>
    <n v="0"/>
    <x v="0"/>
    <x v="0"/>
    <n v="11"/>
    <n v="4"/>
    <s v="Marketing"/>
    <n v="4"/>
    <n v="4"/>
    <x v="1163"/>
    <x v="1"/>
    <n v="3"/>
    <n v="4"/>
    <x v="8"/>
    <x v="0"/>
  </r>
  <r>
    <n v="39828297"/>
    <x v="3"/>
    <x v="0"/>
    <s v="Single"/>
    <x v="0"/>
    <n v="1"/>
    <x v="0"/>
    <x v="0"/>
    <n v="16"/>
    <n v="3"/>
    <s v="Life Sciences"/>
    <n v="1"/>
    <n v="1"/>
    <x v="1164"/>
    <x v="0"/>
    <n v="2"/>
    <n v="2"/>
    <x v="2"/>
    <x v="2"/>
  </r>
  <r>
    <n v="66436407"/>
    <x v="8"/>
    <x v="0"/>
    <s v="Married"/>
    <x v="1"/>
    <n v="0"/>
    <x v="2"/>
    <x v="1"/>
    <n v="2"/>
    <n v="2"/>
    <s v="Medical"/>
    <n v="3"/>
    <n v="2"/>
    <x v="1165"/>
    <x v="1"/>
    <n v="4"/>
    <n v="2"/>
    <x v="0"/>
    <x v="0"/>
  </r>
  <r>
    <n v="12187305"/>
    <x v="12"/>
    <x v="1"/>
    <s v="Married"/>
    <x v="0"/>
    <n v="1"/>
    <x v="0"/>
    <x v="0"/>
    <n v="16"/>
    <n v="4"/>
    <s v="Marketing"/>
    <n v="1"/>
    <n v="3"/>
    <x v="1166"/>
    <x v="0"/>
    <n v="2"/>
    <n v="3"/>
    <x v="6"/>
    <x v="2"/>
  </r>
  <r>
    <n v="86466364"/>
    <x v="11"/>
    <x v="0"/>
    <s v="Divorced"/>
    <x v="1"/>
    <n v="0"/>
    <x v="1"/>
    <x v="1"/>
    <n v="4"/>
    <n v="3"/>
    <s v="Technical Degree"/>
    <n v="4"/>
    <n v="1"/>
    <x v="971"/>
    <x v="1"/>
    <n v="1"/>
    <n v="3"/>
    <x v="6"/>
    <x v="2"/>
  </r>
  <r>
    <n v="67158784"/>
    <x v="7"/>
    <x v="1"/>
    <s v="Married"/>
    <x v="1"/>
    <n v="0"/>
    <x v="4"/>
    <x v="1"/>
    <n v="16"/>
    <n v="3"/>
    <s v="Life Sciences"/>
    <n v="3"/>
    <n v="3"/>
    <x v="1167"/>
    <x v="0"/>
    <n v="3"/>
    <n v="3"/>
    <x v="5"/>
    <x v="0"/>
  </r>
  <r>
    <n v="19817878"/>
    <x v="5"/>
    <x v="1"/>
    <s v="Single"/>
    <x v="1"/>
    <n v="0"/>
    <x v="1"/>
    <x v="1"/>
    <n v="5"/>
    <n v="4"/>
    <s v="Technical Degree"/>
    <n v="2"/>
    <n v="2"/>
    <x v="1168"/>
    <x v="1"/>
    <n v="2"/>
    <n v="3"/>
    <x v="5"/>
    <x v="0"/>
  </r>
  <r>
    <n v="68896715"/>
    <x v="8"/>
    <x v="1"/>
    <s v="Married"/>
    <x v="1"/>
    <n v="0"/>
    <x v="4"/>
    <x v="1"/>
    <n v="18"/>
    <n v="3"/>
    <s v="Medical"/>
    <n v="2"/>
    <n v="4"/>
    <x v="1169"/>
    <x v="0"/>
    <n v="3"/>
    <n v="3"/>
    <x v="6"/>
    <x v="2"/>
  </r>
  <r>
    <n v="88243070"/>
    <x v="23"/>
    <x v="1"/>
    <s v="Married"/>
    <x v="0"/>
    <n v="1"/>
    <x v="1"/>
    <x v="1"/>
    <n v="17"/>
    <n v="3"/>
    <s v="Technical Degree"/>
    <n v="3"/>
    <n v="3"/>
    <x v="1170"/>
    <x v="1"/>
    <n v="9"/>
    <n v="3"/>
    <x v="6"/>
    <x v="2"/>
  </r>
  <r>
    <n v="84414840"/>
    <x v="19"/>
    <x v="1"/>
    <s v="Divorced"/>
    <x v="1"/>
    <n v="0"/>
    <x v="2"/>
    <x v="1"/>
    <n v="12"/>
    <n v="3"/>
    <s v="Medical"/>
    <n v="2"/>
    <n v="2"/>
    <x v="1171"/>
    <x v="1"/>
    <n v="8"/>
    <n v="2"/>
    <x v="8"/>
    <x v="0"/>
  </r>
  <r>
    <n v="35299743"/>
    <x v="27"/>
    <x v="1"/>
    <s v="Married"/>
    <x v="1"/>
    <n v="0"/>
    <x v="7"/>
    <x v="1"/>
    <n v="2"/>
    <n v="3"/>
    <s v="Medical"/>
    <n v="3"/>
    <n v="1"/>
    <x v="1172"/>
    <x v="4"/>
    <n v="8"/>
    <n v="3"/>
    <x v="6"/>
    <x v="2"/>
  </r>
  <r>
    <n v="59864445"/>
    <x v="3"/>
    <x v="1"/>
    <s v="Divorced"/>
    <x v="1"/>
    <n v="0"/>
    <x v="1"/>
    <x v="1"/>
    <n v="4"/>
    <n v="3"/>
    <s v="Technical Degree"/>
    <n v="4"/>
    <n v="2"/>
    <x v="1173"/>
    <x v="1"/>
    <n v="5"/>
    <n v="2"/>
    <x v="7"/>
    <x v="0"/>
  </r>
  <r>
    <n v="72954418"/>
    <x v="0"/>
    <x v="1"/>
    <s v="Divorced"/>
    <x v="1"/>
    <n v="0"/>
    <x v="2"/>
    <x v="1"/>
    <n v="9"/>
    <n v="4"/>
    <s v="Life Sciences"/>
    <n v="3"/>
    <n v="1"/>
    <x v="1174"/>
    <x v="1"/>
    <n v="1"/>
    <n v="3"/>
    <x v="8"/>
    <x v="0"/>
  </r>
  <r>
    <n v="64174302"/>
    <x v="13"/>
    <x v="1"/>
    <s v="Divorced"/>
    <x v="1"/>
    <n v="0"/>
    <x v="0"/>
    <x v="0"/>
    <n v="10"/>
    <n v="3"/>
    <s v="Life Sciences"/>
    <n v="4"/>
    <n v="3"/>
    <x v="1175"/>
    <x v="1"/>
    <n v="1"/>
    <n v="3"/>
    <x v="15"/>
    <x v="5"/>
  </r>
  <r>
    <n v="62075444"/>
    <x v="16"/>
    <x v="0"/>
    <s v="Married"/>
    <x v="1"/>
    <n v="0"/>
    <x v="3"/>
    <x v="1"/>
    <n v="1"/>
    <n v="4"/>
    <s v="Medical"/>
    <n v="1"/>
    <n v="3"/>
    <x v="1176"/>
    <x v="2"/>
    <n v="4"/>
    <n v="2"/>
    <x v="11"/>
    <x v="2"/>
  </r>
  <r>
    <n v="21419908"/>
    <x v="23"/>
    <x v="1"/>
    <s v="Single"/>
    <x v="1"/>
    <n v="0"/>
    <x v="8"/>
    <x v="2"/>
    <n v="2"/>
    <n v="3"/>
    <s v="Life Sciences"/>
    <n v="2"/>
    <n v="4"/>
    <x v="1177"/>
    <x v="1"/>
    <n v="0"/>
    <n v="3"/>
    <x v="7"/>
    <x v="0"/>
  </r>
  <r>
    <n v="79124448"/>
    <x v="13"/>
    <x v="0"/>
    <s v="Single"/>
    <x v="1"/>
    <n v="0"/>
    <x v="0"/>
    <x v="0"/>
    <n v="3"/>
    <n v="2"/>
    <s v="Life Sciences"/>
    <n v="4"/>
    <n v="4"/>
    <x v="1178"/>
    <x v="0"/>
    <n v="5"/>
    <n v="3"/>
    <x v="4"/>
    <x v="2"/>
  </r>
  <r>
    <n v="73379323"/>
    <x v="18"/>
    <x v="1"/>
    <s v="Single"/>
    <x v="0"/>
    <n v="1"/>
    <x v="6"/>
    <x v="0"/>
    <n v="7"/>
    <n v="1"/>
    <s v="Marketing"/>
    <n v="2"/>
    <n v="2"/>
    <x v="1179"/>
    <x v="1"/>
    <n v="1"/>
    <n v="3"/>
    <x v="6"/>
    <x v="2"/>
  </r>
  <r>
    <n v="53739715"/>
    <x v="8"/>
    <x v="0"/>
    <s v="Married"/>
    <x v="1"/>
    <n v="0"/>
    <x v="2"/>
    <x v="1"/>
    <n v="6"/>
    <n v="2"/>
    <s v="Other"/>
    <n v="4"/>
    <n v="3"/>
    <x v="1180"/>
    <x v="1"/>
    <n v="1"/>
    <n v="3"/>
    <x v="8"/>
    <x v="0"/>
  </r>
  <r>
    <n v="53044015"/>
    <x v="15"/>
    <x v="0"/>
    <s v="Married"/>
    <x v="0"/>
    <n v="1"/>
    <x v="2"/>
    <x v="1"/>
    <n v="8"/>
    <n v="1"/>
    <s v="Medical"/>
    <n v="3"/>
    <n v="1"/>
    <x v="1181"/>
    <x v="1"/>
    <n v="1"/>
    <n v="3"/>
    <x v="6"/>
    <x v="2"/>
  </r>
  <r>
    <n v="29957686"/>
    <x v="12"/>
    <x v="0"/>
    <s v="Married"/>
    <x v="1"/>
    <n v="0"/>
    <x v="0"/>
    <x v="0"/>
    <n v="29"/>
    <n v="4"/>
    <s v="Marketing"/>
    <n v="1"/>
    <n v="4"/>
    <x v="1182"/>
    <x v="0"/>
    <n v="1"/>
    <n v="3"/>
    <x v="12"/>
    <x v="1"/>
  </r>
  <r>
    <n v="68612270"/>
    <x v="31"/>
    <x v="0"/>
    <s v="Married"/>
    <x v="1"/>
    <n v="0"/>
    <x v="5"/>
    <x v="1"/>
    <n v="3"/>
    <n v="3"/>
    <s v="Technical Degree"/>
    <n v="1"/>
    <n v="3"/>
    <x v="1183"/>
    <x v="3"/>
    <n v="2"/>
    <n v="3"/>
    <x v="4"/>
    <x v="2"/>
  </r>
  <r>
    <n v="23682518"/>
    <x v="2"/>
    <x v="1"/>
    <s v="Married"/>
    <x v="1"/>
    <n v="0"/>
    <x v="0"/>
    <x v="0"/>
    <n v="9"/>
    <n v="2"/>
    <s v="Marketing"/>
    <n v="2"/>
    <n v="2"/>
    <x v="1184"/>
    <x v="1"/>
    <n v="1"/>
    <n v="3"/>
    <x v="8"/>
    <x v="0"/>
  </r>
  <r>
    <n v="13954724"/>
    <x v="21"/>
    <x v="1"/>
    <s v="Divorced"/>
    <x v="1"/>
    <n v="0"/>
    <x v="7"/>
    <x v="1"/>
    <n v="2"/>
    <n v="4"/>
    <s v="Medical"/>
    <n v="3"/>
    <n v="4"/>
    <x v="1185"/>
    <x v="4"/>
    <n v="7"/>
    <n v="3"/>
    <x v="4"/>
    <x v="2"/>
  </r>
  <r>
    <n v="26534629"/>
    <x v="9"/>
    <x v="1"/>
    <s v="Married"/>
    <x v="1"/>
    <n v="0"/>
    <x v="4"/>
    <x v="1"/>
    <n v="10"/>
    <n v="3"/>
    <s v="Life Sciences"/>
    <n v="4"/>
    <n v="1"/>
    <x v="1186"/>
    <x v="0"/>
    <n v="7"/>
    <n v="3"/>
    <x v="12"/>
    <x v="1"/>
  </r>
  <r>
    <n v="51232277"/>
    <x v="20"/>
    <x v="1"/>
    <s v="Divorced"/>
    <x v="0"/>
    <n v="1"/>
    <x v="1"/>
    <x v="1"/>
    <n v="1"/>
    <n v="2"/>
    <s v="Medical"/>
    <n v="3"/>
    <n v="2"/>
    <x v="531"/>
    <x v="1"/>
    <n v="1"/>
    <n v="2"/>
    <x v="8"/>
    <x v="0"/>
  </r>
  <r>
    <n v="64993383"/>
    <x v="2"/>
    <x v="1"/>
    <s v="Divorced"/>
    <x v="1"/>
    <n v="0"/>
    <x v="8"/>
    <x v="2"/>
    <n v="8"/>
    <n v="2"/>
    <s v="Other"/>
    <n v="3"/>
    <n v="2"/>
    <x v="1187"/>
    <x v="1"/>
    <n v="2"/>
    <n v="2"/>
    <x v="1"/>
    <x v="1"/>
  </r>
  <r>
    <n v="20159361"/>
    <x v="10"/>
    <x v="1"/>
    <s v="Single"/>
    <x v="0"/>
    <n v="1"/>
    <x v="0"/>
    <x v="0"/>
    <n v="27"/>
    <n v="3"/>
    <s v="Life Sciences"/>
    <n v="3"/>
    <n v="4"/>
    <x v="1188"/>
    <x v="0"/>
    <n v="1"/>
    <n v="3"/>
    <x v="1"/>
    <x v="1"/>
  </r>
  <r>
    <n v="40340100"/>
    <x v="3"/>
    <x v="1"/>
    <s v="Married"/>
    <x v="1"/>
    <n v="0"/>
    <x v="1"/>
    <x v="1"/>
    <n v="8"/>
    <n v="4"/>
    <s v="Life Sciences"/>
    <n v="4"/>
    <n v="1"/>
    <x v="1189"/>
    <x v="1"/>
    <n v="6"/>
    <n v="3"/>
    <x v="1"/>
    <x v="1"/>
  </r>
  <r>
    <n v="20526392"/>
    <x v="14"/>
    <x v="1"/>
    <s v="Married"/>
    <x v="1"/>
    <n v="0"/>
    <x v="1"/>
    <x v="1"/>
    <n v="1"/>
    <n v="3"/>
    <s v="Life Sciences"/>
    <n v="3"/>
    <n v="4"/>
    <x v="633"/>
    <x v="1"/>
    <n v="1"/>
    <n v="4"/>
    <x v="8"/>
    <x v="0"/>
  </r>
  <r>
    <n v="24638116"/>
    <x v="22"/>
    <x v="1"/>
    <s v="Single"/>
    <x v="1"/>
    <n v="0"/>
    <x v="7"/>
    <x v="1"/>
    <n v="10"/>
    <n v="1"/>
    <s v="Medical"/>
    <n v="3"/>
    <n v="3"/>
    <x v="1190"/>
    <x v="3"/>
    <n v="7"/>
    <n v="3"/>
    <x v="9"/>
    <x v="2"/>
  </r>
  <r>
    <n v="68859404"/>
    <x v="21"/>
    <x v="1"/>
    <s v="Single"/>
    <x v="1"/>
    <n v="0"/>
    <x v="0"/>
    <x v="0"/>
    <n v="26"/>
    <n v="2"/>
    <s v="Life Sciences"/>
    <n v="2"/>
    <n v="2"/>
    <x v="1191"/>
    <x v="0"/>
    <n v="8"/>
    <n v="3"/>
    <x v="4"/>
    <x v="2"/>
  </r>
  <r>
    <n v="82886564"/>
    <x v="32"/>
    <x v="0"/>
    <s v="Married"/>
    <x v="1"/>
    <n v="0"/>
    <x v="2"/>
    <x v="1"/>
    <n v="2"/>
    <n v="2"/>
    <s v="Life Sciences"/>
    <n v="3"/>
    <n v="1"/>
    <x v="1192"/>
    <x v="1"/>
    <n v="4"/>
    <n v="2"/>
    <x v="9"/>
    <x v="2"/>
  </r>
  <r>
    <n v="87806440"/>
    <x v="19"/>
    <x v="1"/>
    <s v="Married"/>
    <x v="1"/>
    <n v="0"/>
    <x v="4"/>
    <x v="1"/>
    <n v="13"/>
    <n v="3"/>
    <s v="Medical"/>
    <n v="2"/>
    <n v="1"/>
    <x v="1193"/>
    <x v="0"/>
    <n v="5"/>
    <n v="2"/>
    <x v="2"/>
    <x v="2"/>
  </r>
  <r>
    <n v="83728636"/>
    <x v="10"/>
    <x v="1"/>
    <s v="Divorced"/>
    <x v="1"/>
    <n v="0"/>
    <x v="3"/>
    <x v="1"/>
    <n v="2"/>
    <n v="2"/>
    <s v="Medical"/>
    <n v="2"/>
    <n v="4"/>
    <x v="1194"/>
    <x v="0"/>
    <n v="2"/>
    <n v="3"/>
    <x v="5"/>
    <x v="0"/>
  </r>
  <r>
    <n v="39881214"/>
    <x v="8"/>
    <x v="1"/>
    <s v="Divorced"/>
    <x v="1"/>
    <n v="0"/>
    <x v="8"/>
    <x v="2"/>
    <n v="2"/>
    <n v="3"/>
    <s v="Human Resources"/>
    <n v="1"/>
    <n v="2"/>
    <x v="1195"/>
    <x v="1"/>
    <n v="5"/>
    <n v="3"/>
    <x v="19"/>
    <x v="1"/>
  </r>
  <r>
    <n v="48764887"/>
    <x v="13"/>
    <x v="1"/>
    <s v="Married"/>
    <x v="0"/>
    <n v="1"/>
    <x v="2"/>
    <x v="1"/>
    <n v="9"/>
    <n v="4"/>
    <s v="Life Sciences"/>
    <n v="4"/>
    <n v="1"/>
    <x v="800"/>
    <x v="0"/>
    <n v="4"/>
    <n v="2"/>
    <x v="5"/>
    <x v="0"/>
  </r>
  <r>
    <n v="32902633"/>
    <x v="2"/>
    <x v="1"/>
    <s v="Single"/>
    <x v="0"/>
    <n v="1"/>
    <x v="3"/>
    <x v="1"/>
    <n v="10"/>
    <n v="4"/>
    <s v="Medical"/>
    <n v="4"/>
    <n v="1"/>
    <x v="1196"/>
    <x v="1"/>
    <n v="1"/>
    <n v="1"/>
    <x v="1"/>
    <x v="1"/>
  </r>
  <r>
    <n v="79653445"/>
    <x v="22"/>
    <x v="1"/>
    <s v="Divorced"/>
    <x v="1"/>
    <n v="0"/>
    <x v="0"/>
    <x v="0"/>
    <n v="20"/>
    <n v="3"/>
    <s v="Life Sciences"/>
    <n v="3"/>
    <n v="4"/>
    <x v="1197"/>
    <x v="1"/>
    <n v="2"/>
    <n v="3"/>
    <x v="4"/>
    <x v="2"/>
  </r>
  <r>
    <n v="19984523"/>
    <x v="23"/>
    <x v="1"/>
    <s v="Single"/>
    <x v="1"/>
    <n v="0"/>
    <x v="1"/>
    <x v="1"/>
    <n v="9"/>
    <n v="3"/>
    <s v="Life Sciences"/>
    <n v="1"/>
    <n v="3"/>
    <x v="1198"/>
    <x v="1"/>
    <n v="4"/>
    <n v="2"/>
    <x v="11"/>
    <x v="2"/>
  </r>
  <r>
    <n v="21610499"/>
    <x v="0"/>
    <x v="1"/>
    <s v="Single"/>
    <x v="1"/>
    <n v="0"/>
    <x v="4"/>
    <x v="1"/>
    <n v="5"/>
    <n v="3"/>
    <s v="Life Sciences"/>
    <n v="2"/>
    <n v="2"/>
    <x v="1199"/>
    <x v="0"/>
    <n v="3"/>
    <n v="1"/>
    <x v="11"/>
    <x v="2"/>
  </r>
  <r>
    <n v="82119041"/>
    <x v="0"/>
    <x v="0"/>
    <s v="Divorced"/>
    <x v="1"/>
    <n v="0"/>
    <x v="0"/>
    <x v="0"/>
    <n v="4"/>
    <n v="1"/>
    <s v="Marketing"/>
    <n v="3"/>
    <n v="3"/>
    <x v="1200"/>
    <x v="2"/>
    <n v="0"/>
    <n v="4"/>
    <x v="14"/>
    <x v="4"/>
  </r>
  <r>
    <n v="76257872"/>
    <x v="7"/>
    <x v="0"/>
    <s v="Single"/>
    <x v="1"/>
    <n v="0"/>
    <x v="3"/>
    <x v="1"/>
    <n v="10"/>
    <n v="3"/>
    <s v="Medical"/>
    <n v="1"/>
    <n v="3"/>
    <x v="1201"/>
    <x v="2"/>
    <n v="9"/>
    <n v="3"/>
    <x v="5"/>
    <x v="0"/>
  </r>
  <r>
    <n v="74789369"/>
    <x v="25"/>
    <x v="0"/>
    <s v="Married"/>
    <x v="0"/>
    <n v="1"/>
    <x v="8"/>
    <x v="2"/>
    <n v="20"/>
    <n v="2"/>
    <s v="Medical"/>
    <n v="4"/>
    <n v="2"/>
    <x v="1202"/>
    <x v="1"/>
    <n v="0"/>
    <n v="3"/>
    <x v="8"/>
    <x v="0"/>
  </r>
  <r>
    <n v="53809114"/>
    <x v="21"/>
    <x v="0"/>
    <s v="Married"/>
    <x v="0"/>
    <n v="1"/>
    <x v="4"/>
    <x v="1"/>
    <n v="21"/>
    <n v="2"/>
    <s v="Medical"/>
    <n v="4"/>
    <n v="2"/>
    <x v="1203"/>
    <x v="0"/>
    <n v="4"/>
    <n v="4"/>
    <x v="7"/>
    <x v="0"/>
  </r>
  <r>
    <n v="59190719"/>
    <x v="32"/>
    <x v="0"/>
    <s v="Divorced"/>
    <x v="1"/>
    <n v="0"/>
    <x v="4"/>
    <x v="1"/>
    <n v="1"/>
    <n v="3"/>
    <s v="Life Sciences"/>
    <n v="3"/>
    <n v="4"/>
    <x v="1204"/>
    <x v="0"/>
    <n v="4"/>
    <n v="3"/>
    <x v="8"/>
    <x v="0"/>
  </r>
  <r>
    <n v="20342196"/>
    <x v="13"/>
    <x v="1"/>
    <s v="Married"/>
    <x v="1"/>
    <n v="0"/>
    <x v="0"/>
    <x v="0"/>
    <n v="8"/>
    <n v="2"/>
    <s v="Technical Degree"/>
    <n v="2"/>
    <n v="3"/>
    <x v="1205"/>
    <x v="0"/>
    <n v="1"/>
    <n v="3"/>
    <x v="1"/>
    <x v="1"/>
  </r>
  <r>
    <n v="24722919"/>
    <x v="34"/>
    <x v="1"/>
    <s v="Divorced"/>
    <x v="1"/>
    <n v="0"/>
    <x v="5"/>
    <x v="0"/>
    <n v="2"/>
    <n v="3"/>
    <s v="Medical"/>
    <n v="2"/>
    <n v="2"/>
    <x v="1206"/>
    <x v="3"/>
    <n v="4"/>
    <n v="2"/>
    <x v="22"/>
    <x v="5"/>
  </r>
  <r>
    <n v="80639321"/>
    <x v="10"/>
    <x v="1"/>
    <s v="Married"/>
    <x v="1"/>
    <n v="0"/>
    <x v="2"/>
    <x v="1"/>
    <n v="23"/>
    <n v="4"/>
    <s v="Medical"/>
    <n v="2"/>
    <n v="3"/>
    <x v="1207"/>
    <x v="1"/>
    <n v="0"/>
    <n v="4"/>
    <x v="8"/>
    <x v="0"/>
  </r>
  <r>
    <n v="57816395"/>
    <x v="40"/>
    <x v="0"/>
    <s v="Divorced"/>
    <x v="1"/>
    <n v="0"/>
    <x v="3"/>
    <x v="1"/>
    <n v="4"/>
    <n v="3"/>
    <s v="Life Sciences"/>
    <n v="3"/>
    <n v="2"/>
    <x v="1208"/>
    <x v="2"/>
    <n v="8"/>
    <n v="3"/>
    <x v="14"/>
    <x v="4"/>
  </r>
  <r>
    <n v="78612186"/>
    <x v="32"/>
    <x v="0"/>
    <s v="Divorced"/>
    <x v="1"/>
    <n v="0"/>
    <x v="4"/>
    <x v="1"/>
    <n v="12"/>
    <n v="3"/>
    <s v="Life Sciences"/>
    <n v="2"/>
    <n v="1"/>
    <x v="1209"/>
    <x v="1"/>
    <n v="2"/>
    <n v="3"/>
    <x v="5"/>
    <x v="0"/>
  </r>
  <r>
    <n v="33320432"/>
    <x v="33"/>
    <x v="0"/>
    <s v="Married"/>
    <x v="1"/>
    <n v="0"/>
    <x v="1"/>
    <x v="1"/>
    <n v="7"/>
    <n v="4"/>
    <s v="Medical"/>
    <n v="4"/>
    <n v="4"/>
    <x v="1210"/>
    <x v="0"/>
    <n v="4"/>
    <n v="2"/>
    <x v="5"/>
    <x v="0"/>
  </r>
  <r>
    <n v="70249894"/>
    <x v="12"/>
    <x v="0"/>
    <s v="Married"/>
    <x v="1"/>
    <n v="0"/>
    <x v="0"/>
    <x v="0"/>
    <n v="7"/>
    <n v="4"/>
    <s v="Marketing"/>
    <n v="1"/>
    <n v="1"/>
    <x v="1211"/>
    <x v="2"/>
    <n v="2"/>
    <n v="3"/>
    <x v="11"/>
    <x v="2"/>
  </r>
  <r>
    <n v="35386522"/>
    <x v="14"/>
    <x v="0"/>
    <s v="Married"/>
    <x v="1"/>
    <n v="0"/>
    <x v="1"/>
    <x v="1"/>
    <n v="1"/>
    <n v="3"/>
    <s v="Medical"/>
    <n v="3"/>
    <n v="1"/>
    <x v="1212"/>
    <x v="1"/>
    <n v="1"/>
    <n v="3"/>
    <x v="11"/>
    <x v="2"/>
  </r>
  <r>
    <n v="18795606"/>
    <x v="8"/>
    <x v="0"/>
    <s v="Married"/>
    <x v="1"/>
    <n v="0"/>
    <x v="6"/>
    <x v="0"/>
    <n v="2"/>
    <n v="4"/>
    <s v="Marketing"/>
    <n v="2"/>
    <n v="4"/>
    <x v="517"/>
    <x v="0"/>
    <n v="2"/>
    <n v="2"/>
    <x v="9"/>
    <x v="2"/>
  </r>
  <r>
    <n v="41943272"/>
    <x v="25"/>
    <x v="1"/>
    <s v="Single"/>
    <x v="1"/>
    <n v="0"/>
    <x v="0"/>
    <x v="0"/>
    <n v="10"/>
    <n v="3"/>
    <s v="Medical"/>
    <n v="3"/>
    <n v="4"/>
    <x v="1213"/>
    <x v="1"/>
    <n v="1"/>
    <n v="3"/>
    <x v="8"/>
    <x v="0"/>
  </r>
  <r>
    <n v="28323401"/>
    <x v="34"/>
    <x v="1"/>
    <s v="Married"/>
    <x v="1"/>
    <n v="0"/>
    <x v="7"/>
    <x v="1"/>
    <n v="15"/>
    <n v="4"/>
    <s v="Life Sciences"/>
    <n v="1"/>
    <n v="3"/>
    <x v="1214"/>
    <x v="3"/>
    <n v="2"/>
    <n v="3"/>
    <x v="4"/>
    <x v="2"/>
  </r>
  <r>
    <n v="44694044"/>
    <x v="41"/>
    <x v="0"/>
    <s v="Single"/>
    <x v="1"/>
    <n v="0"/>
    <x v="1"/>
    <x v="1"/>
    <n v="14"/>
    <n v="3"/>
    <s v="Medical"/>
    <n v="2"/>
    <n v="3"/>
    <x v="1215"/>
    <x v="1"/>
    <n v="1"/>
    <n v="1"/>
    <x v="2"/>
    <x v="2"/>
  </r>
  <r>
    <n v="42582566"/>
    <x v="12"/>
    <x v="1"/>
    <s v="Married"/>
    <x v="0"/>
    <n v="1"/>
    <x v="8"/>
    <x v="2"/>
    <n v="18"/>
    <n v="5"/>
    <s v="Human Resources"/>
    <n v="4"/>
    <n v="1"/>
    <x v="98"/>
    <x v="1"/>
    <n v="0"/>
    <n v="3"/>
    <x v="6"/>
    <x v="2"/>
  </r>
  <r>
    <n v="87361990"/>
    <x v="11"/>
    <x v="1"/>
    <s v="Divorced"/>
    <x v="0"/>
    <n v="1"/>
    <x v="8"/>
    <x v="2"/>
    <n v="13"/>
    <n v="3"/>
    <s v="Human Resources"/>
    <n v="1"/>
    <n v="1"/>
    <x v="1216"/>
    <x v="1"/>
    <n v="4"/>
    <n v="3"/>
    <x v="4"/>
    <x v="2"/>
  </r>
  <r>
    <n v="64049065"/>
    <x v="28"/>
    <x v="0"/>
    <s v="Married"/>
    <x v="1"/>
    <n v="0"/>
    <x v="0"/>
    <x v="0"/>
    <n v="2"/>
    <n v="4"/>
    <s v="Life Sciences"/>
    <n v="3"/>
    <n v="3"/>
    <x v="1217"/>
    <x v="0"/>
    <n v="4"/>
    <n v="4"/>
    <x v="3"/>
    <x v="0"/>
  </r>
  <r>
    <n v="48122387"/>
    <x v="9"/>
    <x v="0"/>
    <s v="Married"/>
    <x v="1"/>
    <n v="0"/>
    <x v="1"/>
    <x v="1"/>
    <n v="2"/>
    <n v="4"/>
    <s v="Other"/>
    <n v="4"/>
    <n v="2"/>
    <x v="1218"/>
    <x v="0"/>
    <n v="4"/>
    <n v="3"/>
    <x v="6"/>
    <x v="2"/>
  </r>
  <r>
    <n v="18261430"/>
    <x v="23"/>
    <x v="1"/>
    <s v="Married"/>
    <x v="1"/>
    <n v="0"/>
    <x v="0"/>
    <x v="0"/>
    <n v="2"/>
    <n v="4"/>
    <s v="Life Sciences"/>
    <n v="1"/>
    <n v="4"/>
    <x v="1219"/>
    <x v="0"/>
    <n v="1"/>
    <n v="3"/>
    <x v="5"/>
    <x v="0"/>
  </r>
  <r>
    <n v="76598029"/>
    <x v="4"/>
    <x v="0"/>
    <s v="Single"/>
    <x v="1"/>
    <n v="0"/>
    <x v="2"/>
    <x v="1"/>
    <n v="5"/>
    <n v="2"/>
    <s v="Life Sciences"/>
    <n v="4"/>
    <n v="4"/>
    <x v="1220"/>
    <x v="1"/>
    <n v="0"/>
    <n v="2"/>
    <x v="8"/>
    <x v="0"/>
  </r>
  <r>
    <n v="79733002"/>
    <x v="11"/>
    <x v="1"/>
    <s v="Married"/>
    <x v="1"/>
    <n v="0"/>
    <x v="2"/>
    <x v="1"/>
    <n v="20"/>
    <n v="1"/>
    <s v="Medical"/>
    <n v="4"/>
    <n v="4"/>
    <x v="1221"/>
    <x v="1"/>
    <n v="1"/>
    <n v="4"/>
    <x v="19"/>
    <x v="1"/>
  </r>
  <r>
    <n v="14040357"/>
    <x v="5"/>
    <x v="1"/>
    <s v="Single"/>
    <x v="1"/>
    <n v="0"/>
    <x v="0"/>
    <x v="0"/>
    <n v="10"/>
    <n v="4"/>
    <s v="Marketing"/>
    <n v="4"/>
    <n v="4"/>
    <x v="1222"/>
    <x v="1"/>
    <n v="8"/>
    <n v="4"/>
    <x v="2"/>
    <x v="2"/>
  </r>
  <r>
    <n v="72148182"/>
    <x v="19"/>
    <x v="1"/>
    <s v="Married"/>
    <x v="1"/>
    <n v="0"/>
    <x v="1"/>
    <x v="1"/>
    <n v="10"/>
    <n v="4"/>
    <s v="Technical Degree"/>
    <n v="3"/>
    <n v="3"/>
    <x v="808"/>
    <x v="1"/>
    <n v="3"/>
    <n v="2"/>
    <x v="0"/>
    <x v="0"/>
  </r>
  <r>
    <n v="33383584"/>
    <x v="40"/>
    <x v="0"/>
    <s v="Single"/>
    <x v="1"/>
    <n v="0"/>
    <x v="2"/>
    <x v="1"/>
    <n v="9"/>
    <n v="4"/>
    <s v="Life Sciences"/>
    <n v="2"/>
    <n v="3"/>
    <x v="1223"/>
    <x v="1"/>
    <n v="4"/>
    <n v="3"/>
    <x v="4"/>
    <x v="2"/>
  </r>
  <r>
    <n v="48146783"/>
    <x v="21"/>
    <x v="1"/>
    <s v="Divorced"/>
    <x v="1"/>
    <n v="0"/>
    <x v="3"/>
    <x v="1"/>
    <n v="2"/>
    <n v="2"/>
    <s v="Life Sciences"/>
    <n v="4"/>
    <n v="4"/>
    <x v="1224"/>
    <x v="0"/>
    <n v="3"/>
    <n v="2"/>
    <x v="7"/>
    <x v="0"/>
  </r>
  <r>
    <n v="57333958"/>
    <x v="14"/>
    <x v="1"/>
    <s v="Divorced"/>
    <x v="1"/>
    <n v="0"/>
    <x v="8"/>
    <x v="2"/>
    <n v="1"/>
    <n v="2"/>
    <s v="Life Sciences"/>
    <n v="3"/>
    <n v="4"/>
    <x v="1225"/>
    <x v="1"/>
    <n v="1"/>
    <n v="3"/>
    <x v="11"/>
    <x v="2"/>
  </r>
  <r>
    <n v="88285253"/>
    <x v="11"/>
    <x v="1"/>
    <s v="Divorced"/>
    <x v="1"/>
    <n v="0"/>
    <x v="4"/>
    <x v="1"/>
    <n v="29"/>
    <n v="1"/>
    <s v="Life Sciences"/>
    <n v="4"/>
    <n v="3"/>
    <x v="1226"/>
    <x v="0"/>
    <n v="8"/>
    <n v="3"/>
    <x v="5"/>
    <x v="0"/>
  </r>
  <r>
    <n v="36169540"/>
    <x v="19"/>
    <x v="1"/>
    <s v="Single"/>
    <x v="1"/>
    <n v="0"/>
    <x v="2"/>
    <x v="1"/>
    <n v="8"/>
    <n v="3"/>
    <s v="Life Sciences"/>
    <n v="4"/>
    <n v="3"/>
    <x v="1227"/>
    <x v="1"/>
    <n v="4"/>
    <n v="3"/>
    <x v="2"/>
    <x v="2"/>
  </r>
  <r>
    <n v="46870388"/>
    <x v="5"/>
    <x v="1"/>
    <s v="Single"/>
    <x v="0"/>
    <n v="1"/>
    <x v="0"/>
    <x v="0"/>
    <n v="2"/>
    <n v="4"/>
    <s v="Marketing"/>
    <n v="3"/>
    <n v="2"/>
    <x v="1228"/>
    <x v="2"/>
    <n v="7"/>
    <n v="2"/>
    <x v="4"/>
    <x v="2"/>
  </r>
  <r>
    <n v="26742682"/>
    <x v="21"/>
    <x v="0"/>
    <s v="Divorced"/>
    <x v="1"/>
    <n v="0"/>
    <x v="0"/>
    <x v="0"/>
    <n v="3"/>
    <n v="3"/>
    <s v="Technical Degree"/>
    <n v="1"/>
    <n v="1"/>
    <x v="1229"/>
    <x v="3"/>
    <n v="2"/>
    <n v="3"/>
    <x v="27"/>
    <x v="5"/>
  </r>
  <r>
    <n v="34277482"/>
    <x v="4"/>
    <x v="0"/>
    <s v="Married"/>
    <x v="1"/>
    <n v="0"/>
    <x v="6"/>
    <x v="0"/>
    <n v="23"/>
    <n v="1"/>
    <s v="Medical"/>
    <n v="2"/>
    <n v="3"/>
    <x v="1230"/>
    <x v="1"/>
    <n v="1"/>
    <n v="3"/>
    <x v="7"/>
    <x v="0"/>
  </r>
  <r>
    <n v="56704189"/>
    <x v="11"/>
    <x v="1"/>
    <s v="Married"/>
    <x v="1"/>
    <n v="0"/>
    <x v="8"/>
    <x v="2"/>
    <n v="6"/>
    <n v="1"/>
    <s v="Medical"/>
    <n v="4"/>
    <n v="2"/>
    <x v="1231"/>
    <x v="1"/>
    <n v="1"/>
    <n v="3"/>
    <x v="6"/>
    <x v="2"/>
  </r>
  <r>
    <n v="81398376"/>
    <x v="23"/>
    <x v="0"/>
    <s v="Married"/>
    <x v="1"/>
    <n v="0"/>
    <x v="5"/>
    <x v="1"/>
    <n v="6"/>
    <n v="3"/>
    <s v="Medical"/>
    <n v="1"/>
    <n v="3"/>
    <x v="1232"/>
    <x v="4"/>
    <n v="7"/>
    <n v="3"/>
    <x v="22"/>
    <x v="5"/>
  </r>
  <r>
    <n v="14685405"/>
    <x v="26"/>
    <x v="1"/>
    <s v="Married"/>
    <x v="1"/>
    <n v="0"/>
    <x v="7"/>
    <x v="1"/>
    <n v="10"/>
    <n v="3"/>
    <s v="Life Sciences"/>
    <n v="4"/>
    <n v="2"/>
    <x v="1233"/>
    <x v="4"/>
    <n v="4"/>
    <n v="3"/>
    <x v="14"/>
    <x v="4"/>
  </r>
  <r>
    <n v="64743578"/>
    <x v="11"/>
    <x v="1"/>
    <s v="Single"/>
    <x v="0"/>
    <n v="1"/>
    <x v="1"/>
    <x v="1"/>
    <n v="24"/>
    <n v="2"/>
    <s v="Life Sciences"/>
    <n v="4"/>
    <n v="4"/>
    <x v="1234"/>
    <x v="1"/>
    <n v="1"/>
    <n v="2"/>
    <x v="6"/>
    <x v="2"/>
  </r>
  <r>
    <n v="42728394"/>
    <x v="21"/>
    <x v="0"/>
    <s v="Married"/>
    <x v="0"/>
    <n v="1"/>
    <x v="0"/>
    <x v="0"/>
    <n v="10"/>
    <n v="3"/>
    <s v="Life Sciences"/>
    <n v="3"/>
    <n v="2"/>
    <x v="1235"/>
    <x v="0"/>
    <n v="5"/>
    <n v="3"/>
    <x v="3"/>
    <x v="0"/>
  </r>
  <r>
    <n v="20691690"/>
    <x v="4"/>
    <x v="0"/>
    <s v="Married"/>
    <x v="1"/>
    <n v="0"/>
    <x v="1"/>
    <x v="1"/>
    <n v="15"/>
    <n v="3"/>
    <s v="Life Sciences"/>
    <n v="4"/>
    <n v="1"/>
    <x v="1236"/>
    <x v="1"/>
    <n v="0"/>
    <n v="2"/>
    <x v="5"/>
    <x v="0"/>
  </r>
  <r>
    <n v="10221982"/>
    <x v="22"/>
    <x v="1"/>
    <s v="Divorced"/>
    <x v="1"/>
    <n v="0"/>
    <x v="1"/>
    <x v="1"/>
    <n v="19"/>
    <n v="4"/>
    <s v="Other"/>
    <n v="4"/>
    <n v="4"/>
    <x v="1237"/>
    <x v="1"/>
    <n v="8"/>
    <n v="3"/>
    <x v="4"/>
    <x v="2"/>
  </r>
  <r>
    <n v="80597058"/>
    <x v="27"/>
    <x v="1"/>
    <s v="Married"/>
    <x v="1"/>
    <n v="0"/>
    <x v="1"/>
    <x v="1"/>
    <n v="2"/>
    <n v="4"/>
    <s v="Technical Degree"/>
    <n v="2"/>
    <n v="4"/>
    <x v="1238"/>
    <x v="1"/>
    <n v="8"/>
    <n v="4"/>
    <x v="8"/>
    <x v="0"/>
  </r>
  <r>
    <n v="28653711"/>
    <x v="14"/>
    <x v="0"/>
    <s v="Married"/>
    <x v="1"/>
    <n v="0"/>
    <x v="6"/>
    <x v="0"/>
    <n v="3"/>
    <n v="3"/>
    <s v="Medical"/>
    <n v="2"/>
    <n v="2"/>
    <x v="1239"/>
    <x v="1"/>
    <n v="1"/>
    <n v="3"/>
    <x v="6"/>
    <x v="2"/>
  </r>
  <r>
    <n v="38586340"/>
    <x v="7"/>
    <x v="1"/>
    <s v="Single"/>
    <x v="0"/>
    <n v="1"/>
    <x v="6"/>
    <x v="0"/>
    <n v="9"/>
    <n v="3"/>
    <s v="Medical"/>
    <n v="2"/>
    <n v="4"/>
    <x v="1240"/>
    <x v="1"/>
    <n v="1"/>
    <n v="2"/>
    <x v="6"/>
    <x v="2"/>
  </r>
  <r>
    <n v="72845734"/>
    <x v="15"/>
    <x v="1"/>
    <s v="Single"/>
    <x v="0"/>
    <n v="1"/>
    <x v="1"/>
    <x v="1"/>
    <n v="7"/>
    <n v="1"/>
    <s v="Life Sciences"/>
    <n v="4"/>
    <n v="2"/>
    <x v="1241"/>
    <x v="1"/>
    <n v="1"/>
    <n v="3"/>
    <x v="6"/>
    <x v="2"/>
  </r>
  <r>
    <n v="36780533"/>
    <x v="9"/>
    <x v="0"/>
    <s v="Married"/>
    <x v="1"/>
    <n v="0"/>
    <x v="0"/>
    <x v="0"/>
    <n v="10"/>
    <n v="4"/>
    <s v="Technical Degree"/>
    <n v="2"/>
    <n v="3"/>
    <x v="1242"/>
    <x v="0"/>
    <n v="1"/>
    <n v="3"/>
    <x v="1"/>
    <x v="1"/>
  </r>
  <r>
    <n v="84366355"/>
    <x v="12"/>
    <x v="1"/>
    <s v="Divorced"/>
    <x v="1"/>
    <n v="0"/>
    <x v="2"/>
    <x v="1"/>
    <n v="20"/>
    <n v="3"/>
    <s v="Life Sciences"/>
    <n v="2"/>
    <n v="3"/>
    <x v="378"/>
    <x v="1"/>
    <n v="1"/>
    <n v="3"/>
    <x v="1"/>
    <x v="1"/>
  </r>
  <r>
    <n v="13533718"/>
    <x v="13"/>
    <x v="1"/>
    <s v="Married"/>
    <x v="1"/>
    <n v="0"/>
    <x v="0"/>
    <x v="0"/>
    <n v="4"/>
    <n v="3"/>
    <s v="Life Sciences"/>
    <n v="3"/>
    <n v="4"/>
    <x v="1243"/>
    <x v="2"/>
    <n v="2"/>
    <n v="3"/>
    <x v="8"/>
    <x v="0"/>
  </r>
  <r>
    <n v="38865181"/>
    <x v="11"/>
    <x v="1"/>
    <s v="Single"/>
    <x v="1"/>
    <n v="0"/>
    <x v="2"/>
    <x v="1"/>
    <n v="7"/>
    <n v="3"/>
    <s v="Life Sciences"/>
    <n v="4"/>
    <n v="1"/>
    <x v="1244"/>
    <x v="1"/>
    <n v="3"/>
    <n v="3"/>
    <x v="11"/>
    <x v="2"/>
  </r>
  <r>
    <n v="88031258"/>
    <x v="2"/>
    <x v="1"/>
    <s v="Married"/>
    <x v="1"/>
    <n v="0"/>
    <x v="1"/>
    <x v="1"/>
    <n v="7"/>
    <n v="4"/>
    <s v="Medical"/>
    <n v="4"/>
    <n v="1"/>
    <x v="948"/>
    <x v="1"/>
    <n v="5"/>
    <n v="3"/>
    <x v="8"/>
    <x v="0"/>
  </r>
  <r>
    <n v="58532654"/>
    <x v="10"/>
    <x v="0"/>
    <s v="Married"/>
    <x v="1"/>
    <n v="0"/>
    <x v="3"/>
    <x v="1"/>
    <n v="16"/>
    <n v="2"/>
    <s v="Other"/>
    <n v="4"/>
    <n v="2"/>
    <x v="1245"/>
    <x v="1"/>
    <n v="0"/>
    <n v="3"/>
    <x v="11"/>
    <x v="2"/>
  </r>
  <r>
    <n v="76255124"/>
    <x v="28"/>
    <x v="0"/>
    <s v="Married"/>
    <x v="1"/>
    <n v="0"/>
    <x v="3"/>
    <x v="1"/>
    <n v="25"/>
    <n v="2"/>
    <s v="Life Sciences"/>
    <n v="2"/>
    <n v="4"/>
    <x v="1246"/>
    <x v="0"/>
    <n v="0"/>
    <n v="2"/>
    <x v="7"/>
    <x v="0"/>
  </r>
  <r>
    <n v="80357234"/>
    <x v="9"/>
    <x v="1"/>
    <s v="Single"/>
    <x v="1"/>
    <n v="0"/>
    <x v="8"/>
    <x v="2"/>
    <n v="2"/>
    <n v="1"/>
    <s v="Human Resources"/>
    <n v="2"/>
    <n v="4"/>
    <x v="1247"/>
    <x v="1"/>
    <n v="1"/>
    <n v="2"/>
    <x v="1"/>
    <x v="1"/>
  </r>
  <r>
    <n v="50156135"/>
    <x v="32"/>
    <x v="1"/>
    <s v="Divorced"/>
    <x v="1"/>
    <n v="0"/>
    <x v="5"/>
    <x v="1"/>
    <n v="1"/>
    <n v="4"/>
    <s v="Life Sciences"/>
    <n v="1"/>
    <n v="1"/>
    <x v="1248"/>
    <x v="3"/>
    <n v="2"/>
    <n v="3"/>
    <x v="27"/>
    <x v="5"/>
  </r>
  <r>
    <n v="80804117"/>
    <x v="25"/>
    <x v="0"/>
    <s v="Married"/>
    <x v="1"/>
    <n v="0"/>
    <x v="1"/>
    <x v="1"/>
    <n v="1"/>
    <n v="2"/>
    <s v="Life Sciences"/>
    <n v="2"/>
    <n v="3"/>
    <x v="1249"/>
    <x v="1"/>
    <n v="1"/>
    <n v="2"/>
    <x v="6"/>
    <x v="2"/>
  </r>
  <r>
    <n v="60130684"/>
    <x v="4"/>
    <x v="0"/>
    <s v="Single"/>
    <x v="1"/>
    <n v="0"/>
    <x v="0"/>
    <x v="0"/>
    <n v="2"/>
    <n v="2"/>
    <s v="Medical"/>
    <n v="1"/>
    <n v="3"/>
    <x v="559"/>
    <x v="0"/>
    <n v="0"/>
    <n v="2"/>
    <x v="3"/>
    <x v="0"/>
  </r>
  <r>
    <n v="50662209"/>
    <x v="26"/>
    <x v="0"/>
    <s v="Divorced"/>
    <x v="1"/>
    <n v="0"/>
    <x v="5"/>
    <x v="1"/>
    <n v="22"/>
    <n v="3"/>
    <s v="Medical"/>
    <n v="4"/>
    <n v="4"/>
    <x v="1250"/>
    <x v="4"/>
    <n v="3"/>
    <n v="3"/>
    <x v="14"/>
    <x v="4"/>
  </r>
  <r>
    <n v="83909460"/>
    <x v="20"/>
    <x v="1"/>
    <s v="Married"/>
    <x v="1"/>
    <n v="0"/>
    <x v="4"/>
    <x v="1"/>
    <n v="1"/>
    <n v="4"/>
    <s v="Life Sciences"/>
    <n v="2"/>
    <n v="1"/>
    <x v="1251"/>
    <x v="0"/>
    <n v="2"/>
    <n v="3"/>
    <x v="4"/>
    <x v="2"/>
  </r>
  <r>
    <n v="87612969"/>
    <x v="13"/>
    <x v="1"/>
    <s v="Married"/>
    <x v="0"/>
    <n v="1"/>
    <x v="1"/>
    <x v="1"/>
    <n v="16"/>
    <n v="4"/>
    <s v="Technical Degree"/>
    <n v="4"/>
    <n v="1"/>
    <x v="1252"/>
    <x v="1"/>
    <n v="1"/>
    <n v="3"/>
    <x v="8"/>
    <x v="0"/>
  </r>
  <r>
    <n v="63986391"/>
    <x v="29"/>
    <x v="1"/>
    <s v="Single"/>
    <x v="0"/>
    <n v="1"/>
    <x v="2"/>
    <x v="1"/>
    <n v="24"/>
    <n v="2"/>
    <s v="Life Sciences"/>
    <n v="1"/>
    <n v="4"/>
    <x v="1105"/>
    <x v="1"/>
    <n v="1"/>
    <n v="3"/>
    <x v="9"/>
    <x v="2"/>
  </r>
  <r>
    <n v="32685718"/>
    <x v="9"/>
    <x v="1"/>
    <s v="Married"/>
    <x v="1"/>
    <n v="0"/>
    <x v="0"/>
    <x v="0"/>
    <n v="17"/>
    <n v="2"/>
    <s v="Marketing"/>
    <n v="3"/>
    <n v="2"/>
    <x v="1253"/>
    <x v="0"/>
    <n v="2"/>
    <n v="1"/>
    <x v="9"/>
    <x v="2"/>
  </r>
  <r>
    <n v="19492163"/>
    <x v="0"/>
    <x v="0"/>
    <s v="Married"/>
    <x v="1"/>
    <n v="0"/>
    <x v="0"/>
    <x v="0"/>
    <n v="8"/>
    <n v="3"/>
    <s v="Marketing"/>
    <n v="3"/>
    <n v="2"/>
    <x v="1254"/>
    <x v="1"/>
    <n v="5"/>
    <n v="3"/>
    <x v="8"/>
    <x v="0"/>
  </r>
  <r>
    <n v="22569765"/>
    <x v="19"/>
    <x v="1"/>
    <s v="Married"/>
    <x v="1"/>
    <n v="0"/>
    <x v="7"/>
    <x v="1"/>
    <n v="6"/>
    <n v="3"/>
    <s v="Medical"/>
    <n v="3"/>
    <n v="1"/>
    <x v="1255"/>
    <x v="3"/>
    <n v="9"/>
    <n v="4"/>
    <x v="20"/>
    <x v="1"/>
  </r>
  <r>
    <n v="35520278"/>
    <x v="12"/>
    <x v="0"/>
    <s v="Divorced"/>
    <x v="1"/>
    <n v="0"/>
    <x v="0"/>
    <x v="0"/>
    <n v="10"/>
    <n v="2"/>
    <s v="Medical"/>
    <n v="3"/>
    <n v="4"/>
    <x v="1256"/>
    <x v="0"/>
    <n v="2"/>
    <n v="3"/>
    <x v="8"/>
    <x v="0"/>
  </r>
  <r>
    <n v="22249251"/>
    <x v="13"/>
    <x v="0"/>
    <s v="Married"/>
    <x v="1"/>
    <n v="0"/>
    <x v="0"/>
    <x v="0"/>
    <n v="3"/>
    <n v="1"/>
    <s v="Medical"/>
    <n v="4"/>
    <n v="4"/>
    <x v="1257"/>
    <x v="0"/>
    <n v="3"/>
    <n v="2"/>
    <x v="9"/>
    <x v="2"/>
  </r>
  <r>
    <n v="16455053"/>
    <x v="12"/>
    <x v="0"/>
    <s v="Divorced"/>
    <x v="1"/>
    <n v="0"/>
    <x v="2"/>
    <x v="1"/>
    <n v="4"/>
    <n v="3"/>
    <s v="Medical"/>
    <n v="1"/>
    <n v="3"/>
    <x v="1258"/>
    <x v="1"/>
    <n v="8"/>
    <n v="2"/>
    <x v="4"/>
    <x v="2"/>
  </r>
  <r>
    <n v="19664301"/>
    <x v="25"/>
    <x v="1"/>
    <s v="Married"/>
    <x v="1"/>
    <n v="0"/>
    <x v="2"/>
    <x v="1"/>
    <n v="6"/>
    <n v="3"/>
    <s v="Other"/>
    <n v="3"/>
    <n v="4"/>
    <x v="1259"/>
    <x v="1"/>
    <n v="0"/>
    <n v="3"/>
    <x v="5"/>
    <x v="0"/>
  </r>
  <r>
    <n v="47685547"/>
    <x v="28"/>
    <x v="1"/>
    <s v="Single"/>
    <x v="1"/>
    <n v="0"/>
    <x v="4"/>
    <x v="1"/>
    <n v="1"/>
    <n v="4"/>
    <s v="Medical"/>
    <n v="2"/>
    <n v="3"/>
    <x v="1260"/>
    <x v="0"/>
    <n v="4"/>
    <n v="3"/>
    <x v="9"/>
    <x v="2"/>
  </r>
  <r>
    <n v="52608957"/>
    <x v="3"/>
    <x v="1"/>
    <s v="Single"/>
    <x v="1"/>
    <n v="0"/>
    <x v="0"/>
    <x v="0"/>
    <n v="10"/>
    <n v="4"/>
    <s v="Marketing"/>
    <n v="2"/>
    <n v="3"/>
    <x v="1261"/>
    <x v="0"/>
    <n v="1"/>
    <n v="2"/>
    <x v="1"/>
    <x v="1"/>
  </r>
  <r>
    <n v="85456028"/>
    <x v="14"/>
    <x v="1"/>
    <s v="Married"/>
    <x v="1"/>
    <n v="0"/>
    <x v="0"/>
    <x v="0"/>
    <n v="1"/>
    <n v="2"/>
    <s v="Life Sciences"/>
    <n v="3"/>
    <n v="4"/>
    <x v="1262"/>
    <x v="0"/>
    <n v="1"/>
    <n v="3"/>
    <x v="5"/>
    <x v="0"/>
  </r>
  <r>
    <n v="48186711"/>
    <x v="11"/>
    <x v="1"/>
    <s v="Single"/>
    <x v="0"/>
    <n v="1"/>
    <x v="6"/>
    <x v="0"/>
    <n v="24"/>
    <n v="3"/>
    <s v="Technical Degree"/>
    <n v="3"/>
    <n v="1"/>
    <x v="1263"/>
    <x v="1"/>
    <n v="1"/>
    <n v="3"/>
    <x v="6"/>
    <x v="2"/>
  </r>
  <r>
    <n v="42987679"/>
    <x v="22"/>
    <x v="0"/>
    <s v="Married"/>
    <x v="1"/>
    <n v="0"/>
    <x v="0"/>
    <x v="0"/>
    <n v="21"/>
    <n v="4"/>
    <s v="Life Sciences"/>
    <n v="1"/>
    <n v="3"/>
    <x v="1264"/>
    <x v="0"/>
    <n v="6"/>
    <n v="3"/>
    <x v="11"/>
    <x v="2"/>
  </r>
  <r>
    <n v="12474564"/>
    <x v="4"/>
    <x v="1"/>
    <s v="Married"/>
    <x v="1"/>
    <n v="0"/>
    <x v="1"/>
    <x v="1"/>
    <n v="2"/>
    <n v="4"/>
    <s v="Technical Degree"/>
    <n v="2"/>
    <n v="2"/>
    <x v="1265"/>
    <x v="1"/>
    <n v="1"/>
    <n v="2"/>
    <x v="8"/>
    <x v="0"/>
  </r>
  <r>
    <n v="57871056"/>
    <x v="13"/>
    <x v="1"/>
    <s v="Married"/>
    <x v="1"/>
    <n v="0"/>
    <x v="1"/>
    <x v="1"/>
    <n v="22"/>
    <n v="4"/>
    <s v="Other"/>
    <n v="3"/>
    <n v="4"/>
    <x v="1266"/>
    <x v="0"/>
    <n v="1"/>
    <n v="3"/>
    <x v="15"/>
    <x v="5"/>
  </r>
  <r>
    <n v="14842271"/>
    <x v="14"/>
    <x v="0"/>
    <s v="Single"/>
    <x v="0"/>
    <n v="1"/>
    <x v="0"/>
    <x v="0"/>
    <n v="13"/>
    <n v="2"/>
    <s v="Marketing"/>
    <n v="4"/>
    <n v="3"/>
    <x v="1267"/>
    <x v="2"/>
    <n v="3"/>
    <n v="3"/>
    <x v="4"/>
    <x v="2"/>
  </r>
  <r>
    <n v="55262808"/>
    <x v="40"/>
    <x v="1"/>
    <s v="Married"/>
    <x v="1"/>
    <n v="0"/>
    <x v="1"/>
    <x v="1"/>
    <n v="14"/>
    <n v="4"/>
    <s v="Technical Degree"/>
    <n v="3"/>
    <n v="2"/>
    <x v="931"/>
    <x v="0"/>
    <n v="8"/>
    <n v="4"/>
    <x v="3"/>
    <x v="0"/>
  </r>
  <r>
    <n v="58216471"/>
    <x v="29"/>
    <x v="0"/>
    <s v="Married"/>
    <x v="1"/>
    <n v="0"/>
    <x v="0"/>
    <x v="0"/>
    <n v="11"/>
    <n v="5"/>
    <s v="Marketing"/>
    <n v="4"/>
    <n v="1"/>
    <x v="1268"/>
    <x v="0"/>
    <n v="4"/>
    <n v="3"/>
    <x v="2"/>
    <x v="2"/>
  </r>
  <r>
    <n v="67147003"/>
    <x v="22"/>
    <x v="1"/>
    <s v="Married"/>
    <x v="1"/>
    <n v="0"/>
    <x v="3"/>
    <x v="1"/>
    <n v="9"/>
    <n v="2"/>
    <s v="Medical"/>
    <n v="1"/>
    <n v="1"/>
    <x v="1269"/>
    <x v="0"/>
    <n v="1"/>
    <n v="3"/>
    <x v="1"/>
    <x v="1"/>
  </r>
  <r>
    <n v="25727728"/>
    <x v="8"/>
    <x v="0"/>
    <s v="Divorced"/>
    <x v="1"/>
    <n v="0"/>
    <x v="1"/>
    <x v="1"/>
    <n v="8"/>
    <n v="3"/>
    <s v="Medical"/>
    <n v="4"/>
    <n v="2"/>
    <x v="1270"/>
    <x v="1"/>
    <n v="1"/>
    <n v="3"/>
    <x v="23"/>
    <x v="4"/>
  </r>
  <r>
    <n v="32753054"/>
    <x v="34"/>
    <x v="0"/>
    <s v="Married"/>
    <x v="1"/>
    <n v="0"/>
    <x v="5"/>
    <x v="0"/>
    <n v="21"/>
    <n v="3"/>
    <s v="Life Sciences"/>
    <n v="4"/>
    <n v="4"/>
    <x v="1271"/>
    <x v="4"/>
    <n v="4"/>
    <n v="2"/>
    <x v="6"/>
    <x v="2"/>
  </r>
  <r>
    <n v="37264185"/>
    <x v="5"/>
    <x v="0"/>
    <s v="Single"/>
    <x v="0"/>
    <n v="1"/>
    <x v="1"/>
    <x v="1"/>
    <n v="5"/>
    <n v="2"/>
    <s v="Life Sciences"/>
    <n v="1"/>
    <n v="3"/>
    <x v="1272"/>
    <x v="1"/>
    <n v="3"/>
    <n v="3"/>
    <x v="9"/>
    <x v="2"/>
  </r>
  <r>
    <n v="68693462"/>
    <x v="8"/>
    <x v="1"/>
    <s v="Divorced"/>
    <x v="1"/>
    <n v="0"/>
    <x v="1"/>
    <x v="1"/>
    <n v="9"/>
    <n v="2"/>
    <s v="Life Sciences"/>
    <n v="2"/>
    <n v="4"/>
    <x v="1273"/>
    <x v="1"/>
    <n v="2"/>
    <n v="4"/>
    <x v="8"/>
    <x v="0"/>
  </r>
  <r>
    <n v="24103360"/>
    <x v="1"/>
    <x v="1"/>
    <s v="Married"/>
    <x v="1"/>
    <n v="0"/>
    <x v="7"/>
    <x v="1"/>
    <n v="2"/>
    <n v="1"/>
    <s v="Life Sciences"/>
    <n v="2"/>
    <n v="4"/>
    <x v="1274"/>
    <x v="4"/>
    <n v="3"/>
    <n v="3"/>
    <x v="8"/>
    <x v="0"/>
  </r>
  <r>
    <n v="68264759"/>
    <x v="19"/>
    <x v="1"/>
    <s v="Divorced"/>
    <x v="1"/>
    <n v="0"/>
    <x v="0"/>
    <x v="0"/>
    <n v="12"/>
    <n v="4"/>
    <s v="Marketing"/>
    <n v="2"/>
    <n v="4"/>
    <x v="1275"/>
    <x v="0"/>
    <n v="3"/>
    <n v="3"/>
    <x v="2"/>
    <x v="2"/>
  </r>
  <r>
    <n v="72889007"/>
    <x v="4"/>
    <x v="0"/>
    <s v="Married"/>
    <x v="0"/>
    <n v="1"/>
    <x v="8"/>
    <x v="2"/>
    <n v="22"/>
    <n v="3"/>
    <s v="Human Resources"/>
    <n v="1"/>
    <n v="2"/>
    <x v="1276"/>
    <x v="1"/>
    <n v="1"/>
    <n v="3"/>
    <x v="6"/>
    <x v="2"/>
  </r>
  <r>
    <n v="79112690"/>
    <x v="10"/>
    <x v="1"/>
    <s v="Married"/>
    <x v="1"/>
    <n v="0"/>
    <x v="0"/>
    <x v="0"/>
    <n v="18"/>
    <n v="4"/>
    <s v="Medical"/>
    <n v="2"/>
    <n v="1"/>
    <x v="489"/>
    <x v="0"/>
    <n v="0"/>
    <n v="1"/>
    <x v="8"/>
    <x v="0"/>
  </r>
  <r>
    <n v="27872198"/>
    <x v="14"/>
    <x v="1"/>
    <s v="Single"/>
    <x v="1"/>
    <n v="0"/>
    <x v="1"/>
    <x v="1"/>
    <n v="16"/>
    <n v="3"/>
    <s v="Medical"/>
    <n v="3"/>
    <n v="3"/>
    <x v="1277"/>
    <x v="1"/>
    <n v="1"/>
    <n v="2"/>
    <x v="8"/>
    <x v="0"/>
  </r>
  <r>
    <n v="62029867"/>
    <x v="12"/>
    <x v="1"/>
    <s v="Divorced"/>
    <x v="1"/>
    <n v="0"/>
    <x v="1"/>
    <x v="1"/>
    <n v="3"/>
    <n v="2"/>
    <s v="Medical"/>
    <n v="3"/>
    <n v="1"/>
    <x v="1278"/>
    <x v="1"/>
    <n v="1"/>
    <n v="4"/>
    <x v="9"/>
    <x v="2"/>
  </r>
  <r>
    <n v="79006377"/>
    <x v="9"/>
    <x v="1"/>
    <s v="Married"/>
    <x v="1"/>
    <n v="0"/>
    <x v="2"/>
    <x v="1"/>
    <n v="9"/>
    <n v="4"/>
    <s v="Life Sciences"/>
    <n v="1"/>
    <n v="2"/>
    <x v="1279"/>
    <x v="1"/>
    <n v="1"/>
    <n v="3"/>
    <x v="8"/>
    <x v="0"/>
  </r>
  <r>
    <n v="55924274"/>
    <x v="13"/>
    <x v="1"/>
    <s v="Single"/>
    <x v="1"/>
    <n v="0"/>
    <x v="0"/>
    <x v="0"/>
    <n v="1"/>
    <n v="3"/>
    <s v="Marketing"/>
    <n v="1"/>
    <n v="4"/>
    <x v="1280"/>
    <x v="2"/>
    <n v="1"/>
    <n v="2"/>
    <x v="13"/>
    <x v="1"/>
  </r>
  <r>
    <n v="29001575"/>
    <x v="13"/>
    <x v="1"/>
    <s v="Divorced"/>
    <x v="1"/>
    <n v="0"/>
    <x v="0"/>
    <x v="0"/>
    <n v="13"/>
    <n v="4"/>
    <s v="Medical"/>
    <n v="4"/>
    <n v="3"/>
    <x v="1281"/>
    <x v="0"/>
    <n v="1"/>
    <n v="2"/>
    <x v="3"/>
    <x v="0"/>
  </r>
  <r>
    <n v="52262247"/>
    <x v="25"/>
    <x v="1"/>
    <s v="Single"/>
    <x v="1"/>
    <n v="0"/>
    <x v="2"/>
    <x v="1"/>
    <n v="1"/>
    <n v="3"/>
    <s v="Medical"/>
    <n v="3"/>
    <n v="1"/>
    <x v="1282"/>
    <x v="1"/>
    <n v="0"/>
    <n v="2"/>
    <x v="5"/>
    <x v="0"/>
  </r>
  <r>
    <n v="41620404"/>
    <x v="11"/>
    <x v="1"/>
    <s v="Married"/>
    <x v="1"/>
    <n v="0"/>
    <x v="4"/>
    <x v="1"/>
    <n v="1"/>
    <n v="3"/>
    <s v="Life Sciences"/>
    <n v="1"/>
    <n v="1"/>
    <x v="1283"/>
    <x v="0"/>
    <n v="0"/>
    <n v="2"/>
    <x v="8"/>
    <x v="0"/>
  </r>
  <r>
    <n v="35621435"/>
    <x v="5"/>
    <x v="0"/>
    <s v="Divorced"/>
    <x v="1"/>
    <n v="0"/>
    <x v="4"/>
    <x v="1"/>
    <n v="15"/>
    <n v="4"/>
    <s v="Medical"/>
    <n v="3"/>
    <n v="4"/>
    <x v="1284"/>
    <x v="0"/>
    <n v="5"/>
    <n v="3"/>
    <x v="8"/>
    <x v="0"/>
  </r>
  <r>
    <n v="65925203"/>
    <x v="12"/>
    <x v="1"/>
    <s v="Married"/>
    <x v="1"/>
    <n v="0"/>
    <x v="1"/>
    <x v="1"/>
    <n v="1"/>
    <n v="3"/>
    <s v="Life Sciences"/>
    <n v="4"/>
    <n v="1"/>
    <x v="701"/>
    <x v="0"/>
    <n v="1"/>
    <n v="3"/>
    <x v="1"/>
    <x v="1"/>
  </r>
  <r>
    <n v="38842188"/>
    <x v="14"/>
    <x v="1"/>
    <s v="Divorced"/>
    <x v="0"/>
    <n v="1"/>
    <x v="2"/>
    <x v="1"/>
    <n v="17"/>
    <n v="3"/>
    <s v="Technical Degree"/>
    <n v="3"/>
    <n v="4"/>
    <x v="1039"/>
    <x v="1"/>
    <n v="5"/>
    <n v="2"/>
    <x v="9"/>
    <x v="2"/>
  </r>
  <r>
    <n v="24171603"/>
    <x v="8"/>
    <x v="1"/>
    <s v="Single"/>
    <x v="1"/>
    <n v="0"/>
    <x v="6"/>
    <x v="0"/>
    <n v="1"/>
    <n v="3"/>
    <s v="Life Sciences"/>
    <n v="1"/>
    <n v="1"/>
    <x v="1285"/>
    <x v="1"/>
    <n v="4"/>
    <n v="2"/>
    <x v="6"/>
    <x v="2"/>
  </r>
  <r>
    <n v="22036079"/>
    <x v="10"/>
    <x v="0"/>
    <s v="Married"/>
    <x v="1"/>
    <n v="0"/>
    <x v="0"/>
    <x v="0"/>
    <n v="7"/>
    <n v="4"/>
    <s v="Life Sciences"/>
    <n v="3"/>
    <n v="4"/>
    <x v="626"/>
    <x v="0"/>
    <n v="1"/>
    <n v="3"/>
    <x v="1"/>
    <x v="1"/>
  </r>
  <r>
    <n v="11417564"/>
    <x v="4"/>
    <x v="1"/>
    <s v="Single"/>
    <x v="1"/>
    <n v="0"/>
    <x v="0"/>
    <x v="0"/>
    <n v="9"/>
    <n v="3"/>
    <s v="Marketing"/>
    <n v="4"/>
    <n v="4"/>
    <x v="1286"/>
    <x v="1"/>
    <n v="1"/>
    <n v="3"/>
    <x v="5"/>
    <x v="0"/>
  </r>
  <r>
    <n v="51444151"/>
    <x v="5"/>
    <x v="1"/>
    <s v="Single"/>
    <x v="1"/>
    <n v="0"/>
    <x v="3"/>
    <x v="1"/>
    <n v="5"/>
    <n v="4"/>
    <s v="Life Sciences"/>
    <n v="4"/>
    <n v="4"/>
    <x v="1287"/>
    <x v="2"/>
    <n v="8"/>
    <n v="3"/>
    <x v="6"/>
    <x v="2"/>
  </r>
  <r>
    <n v="17456162"/>
    <x v="12"/>
    <x v="1"/>
    <s v="Married"/>
    <x v="0"/>
    <n v="1"/>
    <x v="0"/>
    <x v="0"/>
    <n v="26"/>
    <n v="4"/>
    <s v="Marketing"/>
    <n v="1"/>
    <n v="4"/>
    <x v="1288"/>
    <x v="0"/>
    <n v="1"/>
    <n v="3"/>
    <x v="1"/>
    <x v="1"/>
  </r>
  <r>
    <n v="60638903"/>
    <x v="16"/>
    <x v="1"/>
    <s v="Single"/>
    <x v="0"/>
    <n v="1"/>
    <x v="0"/>
    <x v="0"/>
    <n v="24"/>
    <n v="4"/>
    <s v="Life Sciences"/>
    <n v="1"/>
    <n v="1"/>
    <x v="1289"/>
    <x v="2"/>
    <n v="6"/>
    <n v="2"/>
    <x v="4"/>
    <x v="2"/>
  </r>
  <r>
    <n v="69714739"/>
    <x v="33"/>
    <x v="0"/>
    <s v="Married"/>
    <x v="1"/>
    <n v="0"/>
    <x v="1"/>
    <x v="1"/>
    <n v="9"/>
    <n v="2"/>
    <s v="Life Sciences"/>
    <n v="1"/>
    <n v="3"/>
    <x v="1290"/>
    <x v="1"/>
    <n v="3"/>
    <n v="2"/>
    <x v="9"/>
    <x v="2"/>
  </r>
  <r>
    <n v="33179133"/>
    <x v="3"/>
    <x v="1"/>
    <s v="Divorced"/>
    <x v="1"/>
    <n v="0"/>
    <x v="4"/>
    <x v="1"/>
    <n v="7"/>
    <n v="2"/>
    <s v="Life Sciences"/>
    <n v="4"/>
    <n v="3"/>
    <x v="1291"/>
    <x v="0"/>
    <n v="1"/>
    <n v="3"/>
    <x v="7"/>
    <x v="0"/>
  </r>
  <r>
    <n v="62623047"/>
    <x v="23"/>
    <x v="1"/>
    <s v="Married"/>
    <x v="1"/>
    <n v="0"/>
    <x v="4"/>
    <x v="1"/>
    <n v="11"/>
    <n v="3"/>
    <s v="Life Sciences"/>
    <n v="1"/>
    <n v="3"/>
    <x v="1292"/>
    <x v="0"/>
    <n v="1"/>
    <n v="3"/>
    <x v="1"/>
    <x v="1"/>
  </r>
  <r>
    <n v="36541542"/>
    <x v="8"/>
    <x v="1"/>
    <s v="Married"/>
    <x v="1"/>
    <n v="0"/>
    <x v="8"/>
    <x v="2"/>
    <n v="1"/>
    <n v="4"/>
    <s v="Other"/>
    <n v="4"/>
    <n v="2"/>
    <x v="1293"/>
    <x v="1"/>
    <n v="0"/>
    <n v="3"/>
    <x v="0"/>
    <x v="0"/>
  </r>
  <r>
    <n v="60515094"/>
    <x v="27"/>
    <x v="1"/>
    <s v="Married"/>
    <x v="1"/>
    <n v="0"/>
    <x v="5"/>
    <x v="2"/>
    <n v="26"/>
    <n v="4"/>
    <s v="Human Resources"/>
    <n v="3"/>
    <n v="2"/>
    <x v="1294"/>
    <x v="4"/>
    <n v="4"/>
    <n v="3"/>
    <x v="1"/>
    <x v="1"/>
  </r>
  <r>
    <n v="31842211"/>
    <x v="12"/>
    <x v="0"/>
    <s v="Divorced"/>
    <x v="1"/>
    <n v="0"/>
    <x v="2"/>
    <x v="1"/>
    <n v="2"/>
    <n v="1"/>
    <s v="Medical"/>
    <n v="4"/>
    <n v="4"/>
    <x v="1295"/>
    <x v="1"/>
    <n v="1"/>
    <n v="3"/>
    <x v="6"/>
    <x v="2"/>
  </r>
  <r>
    <n v="31159794"/>
    <x v="22"/>
    <x v="1"/>
    <s v="Single"/>
    <x v="1"/>
    <n v="0"/>
    <x v="0"/>
    <x v="0"/>
    <n v="15"/>
    <n v="4"/>
    <s v="Marketing"/>
    <n v="2"/>
    <n v="1"/>
    <x v="1296"/>
    <x v="3"/>
    <n v="0"/>
    <n v="3"/>
    <x v="23"/>
    <x v="4"/>
  </r>
  <r>
    <n v="88574459"/>
    <x v="19"/>
    <x v="1"/>
    <s v="Single"/>
    <x v="1"/>
    <n v="0"/>
    <x v="1"/>
    <x v="1"/>
    <n v="23"/>
    <n v="2"/>
    <s v="Life Sciences"/>
    <n v="4"/>
    <n v="3"/>
    <x v="1297"/>
    <x v="1"/>
    <n v="1"/>
    <n v="3"/>
    <x v="23"/>
    <x v="4"/>
  </r>
  <r>
    <n v="17935742"/>
    <x v="12"/>
    <x v="0"/>
    <s v="Married"/>
    <x v="1"/>
    <n v="0"/>
    <x v="7"/>
    <x v="1"/>
    <n v="10"/>
    <n v="3"/>
    <s v="Medical"/>
    <n v="3"/>
    <n v="3"/>
    <x v="1298"/>
    <x v="2"/>
    <n v="4"/>
    <n v="4"/>
    <x v="19"/>
    <x v="1"/>
  </r>
  <r>
    <n v="76964859"/>
    <x v="33"/>
    <x v="0"/>
    <s v="Single"/>
    <x v="1"/>
    <n v="0"/>
    <x v="3"/>
    <x v="1"/>
    <n v="10"/>
    <n v="3"/>
    <s v="Medical"/>
    <n v="3"/>
    <n v="1"/>
    <x v="1299"/>
    <x v="1"/>
    <n v="6"/>
    <n v="3"/>
    <x v="8"/>
    <x v="0"/>
  </r>
  <r>
    <n v="80008830"/>
    <x v="17"/>
    <x v="1"/>
    <s v="Single"/>
    <x v="1"/>
    <n v="0"/>
    <x v="4"/>
    <x v="1"/>
    <n v="1"/>
    <n v="2"/>
    <s v="Life Sciences"/>
    <n v="2"/>
    <n v="3"/>
    <x v="1300"/>
    <x v="1"/>
    <n v="1"/>
    <n v="2"/>
    <x v="9"/>
    <x v="2"/>
  </r>
  <r>
    <n v="87169323"/>
    <x v="30"/>
    <x v="1"/>
    <s v="Single"/>
    <x v="1"/>
    <n v="0"/>
    <x v="2"/>
    <x v="1"/>
    <n v="12"/>
    <n v="2"/>
    <s v="Other"/>
    <n v="4"/>
    <n v="4"/>
    <x v="1301"/>
    <x v="1"/>
    <n v="1"/>
    <n v="4"/>
    <x v="8"/>
    <x v="0"/>
  </r>
  <r>
    <n v="49777791"/>
    <x v="32"/>
    <x v="0"/>
    <s v="Married"/>
    <x v="1"/>
    <n v="0"/>
    <x v="2"/>
    <x v="1"/>
    <n v="11"/>
    <n v="3"/>
    <s v="Technical Degree"/>
    <n v="4"/>
    <n v="3"/>
    <x v="1302"/>
    <x v="0"/>
    <n v="1"/>
    <n v="4"/>
    <x v="1"/>
    <x v="1"/>
  </r>
  <r>
    <n v="30981540"/>
    <x v="32"/>
    <x v="0"/>
    <s v="Married"/>
    <x v="1"/>
    <n v="0"/>
    <x v="0"/>
    <x v="0"/>
    <n v="2"/>
    <n v="2"/>
    <s v="Marketing"/>
    <n v="2"/>
    <n v="2"/>
    <x v="1303"/>
    <x v="0"/>
    <n v="3"/>
    <n v="3"/>
    <x v="19"/>
    <x v="1"/>
  </r>
  <r>
    <n v="79853921"/>
    <x v="36"/>
    <x v="0"/>
    <s v="Married"/>
    <x v="1"/>
    <n v="0"/>
    <x v="8"/>
    <x v="2"/>
    <n v="2"/>
    <n v="3"/>
    <s v="Human Resources"/>
    <n v="3"/>
    <n v="2"/>
    <x v="467"/>
    <x v="1"/>
    <n v="4"/>
    <n v="3"/>
    <x v="4"/>
    <x v="2"/>
  </r>
  <r>
    <n v="46641067"/>
    <x v="7"/>
    <x v="1"/>
    <s v="Married"/>
    <x v="1"/>
    <n v="0"/>
    <x v="2"/>
    <x v="1"/>
    <n v="1"/>
    <n v="2"/>
    <s v="Medical"/>
    <n v="4"/>
    <n v="2"/>
    <x v="1304"/>
    <x v="1"/>
    <n v="1"/>
    <n v="2"/>
    <x v="12"/>
    <x v="1"/>
  </r>
  <r>
    <n v="52172646"/>
    <x v="36"/>
    <x v="1"/>
    <s v="Divorced"/>
    <x v="1"/>
    <n v="0"/>
    <x v="2"/>
    <x v="1"/>
    <n v="2"/>
    <n v="1"/>
    <s v="Other"/>
    <n v="4"/>
    <n v="3"/>
    <x v="1305"/>
    <x v="1"/>
    <n v="6"/>
    <n v="2"/>
    <x v="4"/>
    <x v="2"/>
  </r>
  <r>
    <n v="43081151"/>
    <x v="40"/>
    <x v="1"/>
    <s v="Single"/>
    <x v="1"/>
    <n v="0"/>
    <x v="4"/>
    <x v="1"/>
    <n v="25"/>
    <n v="3"/>
    <s v="Medical"/>
    <n v="1"/>
    <n v="3"/>
    <x v="1306"/>
    <x v="0"/>
    <n v="2"/>
    <n v="3"/>
    <x v="18"/>
    <x v="5"/>
  </r>
  <r>
    <n v="17809385"/>
    <x v="3"/>
    <x v="1"/>
    <s v="Divorced"/>
    <x v="1"/>
    <n v="0"/>
    <x v="2"/>
    <x v="1"/>
    <n v="1"/>
    <n v="2"/>
    <s v="Medical"/>
    <n v="2"/>
    <n v="3"/>
    <x v="641"/>
    <x v="1"/>
    <n v="1"/>
    <n v="2"/>
    <x v="6"/>
    <x v="2"/>
  </r>
  <r>
    <n v="85257032"/>
    <x v="8"/>
    <x v="1"/>
    <s v="Married"/>
    <x v="1"/>
    <n v="0"/>
    <x v="0"/>
    <x v="0"/>
    <n v="1"/>
    <n v="4"/>
    <s v="Life Sciences"/>
    <n v="4"/>
    <n v="2"/>
    <x v="1299"/>
    <x v="1"/>
    <n v="0"/>
    <n v="3"/>
    <x v="15"/>
    <x v="5"/>
  </r>
  <r>
    <n v="67630734"/>
    <x v="12"/>
    <x v="1"/>
    <s v="Married"/>
    <x v="1"/>
    <n v="0"/>
    <x v="6"/>
    <x v="0"/>
    <n v="2"/>
    <n v="2"/>
    <s v="Life Sciences"/>
    <n v="1"/>
    <n v="3"/>
    <x v="1307"/>
    <x v="1"/>
    <n v="0"/>
    <n v="3"/>
    <x v="4"/>
    <x v="2"/>
  </r>
  <r>
    <n v="54067781"/>
    <x v="8"/>
    <x v="1"/>
    <s v="Married"/>
    <x v="1"/>
    <n v="0"/>
    <x v="3"/>
    <x v="1"/>
    <n v="6"/>
    <n v="4"/>
    <s v="Life Sciences"/>
    <n v="1"/>
    <n v="3"/>
    <x v="1308"/>
    <x v="0"/>
    <n v="2"/>
    <n v="3"/>
    <x v="3"/>
    <x v="0"/>
  </r>
  <r>
    <n v="72785308"/>
    <x v="19"/>
    <x v="1"/>
    <s v="Divorced"/>
    <x v="1"/>
    <n v="0"/>
    <x v="1"/>
    <x v="1"/>
    <n v="18"/>
    <n v="4"/>
    <s v="Life Sciences"/>
    <n v="4"/>
    <n v="1"/>
    <x v="874"/>
    <x v="0"/>
    <n v="6"/>
    <n v="2"/>
    <x v="9"/>
    <x v="2"/>
  </r>
  <r>
    <n v="65571186"/>
    <x v="0"/>
    <x v="1"/>
    <s v="Married"/>
    <x v="1"/>
    <n v="0"/>
    <x v="1"/>
    <x v="1"/>
    <n v="1"/>
    <n v="3"/>
    <s v="Life Sciences"/>
    <n v="4"/>
    <n v="4"/>
    <x v="553"/>
    <x v="1"/>
    <n v="3"/>
    <n v="3"/>
    <x v="8"/>
    <x v="0"/>
  </r>
  <r>
    <n v="52643316"/>
    <x v="40"/>
    <x v="0"/>
    <s v="Married"/>
    <x v="1"/>
    <n v="0"/>
    <x v="7"/>
    <x v="1"/>
    <n v="1"/>
    <n v="1"/>
    <s v="Medical"/>
    <n v="3"/>
    <n v="2"/>
    <x v="1309"/>
    <x v="2"/>
    <n v="0"/>
    <n v="1"/>
    <x v="20"/>
    <x v="1"/>
  </r>
  <r>
    <n v="80450632"/>
    <x v="10"/>
    <x v="1"/>
    <s v="Married"/>
    <x v="1"/>
    <n v="0"/>
    <x v="2"/>
    <x v="1"/>
    <n v="11"/>
    <n v="4"/>
    <s v="Medical"/>
    <n v="4"/>
    <n v="3"/>
    <x v="1310"/>
    <x v="1"/>
    <n v="7"/>
    <n v="3"/>
    <x v="4"/>
    <x v="2"/>
  </r>
  <r>
    <n v="66451302"/>
    <x v="15"/>
    <x v="1"/>
    <s v="Single"/>
    <x v="1"/>
    <n v="0"/>
    <x v="1"/>
    <x v="1"/>
    <n v="1"/>
    <n v="2"/>
    <s v="Life Sciences"/>
    <n v="4"/>
    <n v="3"/>
    <x v="1311"/>
    <x v="1"/>
    <n v="0"/>
    <n v="4"/>
    <x v="11"/>
    <x v="2"/>
  </r>
  <r>
    <n v="72806237"/>
    <x v="10"/>
    <x v="1"/>
    <s v="Single"/>
    <x v="1"/>
    <n v="0"/>
    <x v="1"/>
    <x v="1"/>
    <n v="9"/>
    <n v="4"/>
    <s v="Medical"/>
    <n v="2"/>
    <n v="3"/>
    <x v="1312"/>
    <x v="0"/>
    <n v="1"/>
    <n v="3"/>
    <x v="1"/>
    <x v="1"/>
  </r>
  <r>
    <n v="74877224"/>
    <x v="3"/>
    <x v="0"/>
    <s v="Married"/>
    <x v="1"/>
    <n v="0"/>
    <x v="4"/>
    <x v="1"/>
    <n v="15"/>
    <n v="2"/>
    <s v="Medical"/>
    <n v="2"/>
    <n v="4"/>
    <x v="1313"/>
    <x v="1"/>
    <n v="0"/>
    <n v="3"/>
    <x v="7"/>
    <x v="0"/>
  </r>
  <r>
    <n v="44201791"/>
    <x v="5"/>
    <x v="0"/>
    <s v="Single"/>
    <x v="1"/>
    <n v="0"/>
    <x v="2"/>
    <x v="1"/>
    <n v="29"/>
    <n v="4"/>
    <s v="Life Sciences"/>
    <n v="3"/>
    <n v="2"/>
    <x v="1314"/>
    <x v="1"/>
    <n v="1"/>
    <n v="3"/>
    <x v="0"/>
    <x v="0"/>
  </r>
  <r>
    <n v="46103377"/>
    <x v="32"/>
    <x v="1"/>
    <s v="Married"/>
    <x v="1"/>
    <n v="0"/>
    <x v="2"/>
    <x v="1"/>
    <n v="1"/>
    <n v="4"/>
    <s v="Life Sciences"/>
    <n v="1"/>
    <n v="4"/>
    <x v="58"/>
    <x v="1"/>
    <n v="8"/>
    <n v="2"/>
    <x v="6"/>
    <x v="2"/>
  </r>
  <r>
    <n v="62986319"/>
    <x v="5"/>
    <x v="1"/>
    <s v="Married"/>
    <x v="1"/>
    <n v="0"/>
    <x v="6"/>
    <x v="0"/>
    <n v="1"/>
    <n v="4"/>
    <s v="Medical"/>
    <n v="2"/>
    <n v="2"/>
    <x v="47"/>
    <x v="1"/>
    <n v="0"/>
    <n v="3"/>
    <x v="4"/>
    <x v="2"/>
  </r>
  <r>
    <n v="68845240"/>
    <x v="22"/>
    <x v="1"/>
    <s v="Single"/>
    <x v="1"/>
    <n v="0"/>
    <x v="1"/>
    <x v="1"/>
    <n v="24"/>
    <n v="1"/>
    <s v="Life Sciences"/>
    <n v="1"/>
    <n v="4"/>
    <x v="1315"/>
    <x v="1"/>
    <n v="7"/>
    <n v="3"/>
    <x v="5"/>
    <x v="0"/>
  </r>
  <r>
    <n v="75712380"/>
    <x v="8"/>
    <x v="0"/>
    <s v="Married"/>
    <x v="1"/>
    <n v="0"/>
    <x v="7"/>
    <x v="1"/>
    <n v="10"/>
    <n v="3"/>
    <s v="Medical"/>
    <n v="2"/>
    <n v="3"/>
    <x v="1316"/>
    <x v="3"/>
    <n v="3"/>
    <n v="3"/>
    <x v="29"/>
    <x v="5"/>
  </r>
  <r>
    <n v="82272685"/>
    <x v="5"/>
    <x v="0"/>
    <s v="Married"/>
    <x v="1"/>
    <n v="0"/>
    <x v="0"/>
    <x v="0"/>
    <n v="1"/>
    <n v="4"/>
    <s v="Marketing"/>
    <n v="3"/>
    <n v="4"/>
    <x v="1317"/>
    <x v="2"/>
    <n v="1"/>
    <n v="3"/>
    <x v="13"/>
    <x v="1"/>
  </r>
  <r>
    <n v="46641607"/>
    <x v="2"/>
    <x v="0"/>
    <s v="Married"/>
    <x v="1"/>
    <n v="0"/>
    <x v="7"/>
    <x v="1"/>
    <n v="10"/>
    <n v="3"/>
    <s v="Life Sciences"/>
    <n v="3"/>
    <n v="4"/>
    <x v="1318"/>
    <x v="3"/>
    <n v="1"/>
    <n v="3"/>
    <x v="22"/>
    <x v="5"/>
  </r>
  <r>
    <n v="32880032"/>
    <x v="36"/>
    <x v="0"/>
    <s v="Divorced"/>
    <x v="1"/>
    <n v="0"/>
    <x v="0"/>
    <x v="0"/>
    <n v="8"/>
    <n v="2"/>
    <s v="Other"/>
    <n v="1"/>
    <n v="3"/>
    <x v="274"/>
    <x v="1"/>
    <n v="0"/>
    <n v="2"/>
    <x v="8"/>
    <x v="0"/>
  </r>
  <r>
    <n v="41664992"/>
    <x v="39"/>
    <x v="1"/>
    <s v="Divorced"/>
    <x v="1"/>
    <n v="0"/>
    <x v="6"/>
    <x v="0"/>
    <n v="29"/>
    <n v="4"/>
    <s v="Life Sciences"/>
    <n v="1"/>
    <n v="4"/>
    <x v="1319"/>
    <x v="1"/>
    <n v="2"/>
    <n v="2"/>
    <x v="7"/>
    <x v="0"/>
  </r>
  <r>
    <n v="59266555"/>
    <x v="20"/>
    <x v="1"/>
    <s v="Single"/>
    <x v="1"/>
    <n v="0"/>
    <x v="1"/>
    <x v="1"/>
    <n v="1"/>
    <n v="3"/>
    <s v="Medical"/>
    <n v="2"/>
    <n v="4"/>
    <x v="230"/>
    <x v="1"/>
    <n v="6"/>
    <n v="3"/>
    <x v="9"/>
    <x v="2"/>
  </r>
  <r>
    <n v="41026239"/>
    <x v="18"/>
    <x v="1"/>
    <s v="Single"/>
    <x v="1"/>
    <n v="0"/>
    <x v="6"/>
    <x v="0"/>
    <n v="5"/>
    <n v="1"/>
    <s v="Medical"/>
    <n v="3"/>
    <n v="1"/>
    <x v="631"/>
    <x v="1"/>
    <n v="1"/>
    <n v="3"/>
    <x v="4"/>
    <x v="2"/>
  </r>
  <r>
    <n v="83233459"/>
    <x v="22"/>
    <x v="1"/>
    <s v="Single"/>
    <x v="1"/>
    <n v="0"/>
    <x v="5"/>
    <x v="1"/>
    <n v="9"/>
    <n v="3"/>
    <s v="Life Sciences"/>
    <n v="4"/>
    <n v="4"/>
    <x v="1320"/>
    <x v="4"/>
    <n v="2"/>
    <n v="2"/>
    <x v="0"/>
    <x v="0"/>
  </r>
  <r>
    <n v="76460510"/>
    <x v="30"/>
    <x v="1"/>
    <s v="Married"/>
    <x v="0"/>
    <n v="1"/>
    <x v="6"/>
    <x v="0"/>
    <n v="9"/>
    <n v="3"/>
    <s v="Marketing"/>
    <n v="4"/>
    <n v="1"/>
    <x v="1321"/>
    <x v="1"/>
    <n v="1"/>
    <n v="2"/>
    <x v="6"/>
    <x v="2"/>
  </r>
  <r>
    <n v="77621102"/>
    <x v="9"/>
    <x v="0"/>
    <s v="Married"/>
    <x v="1"/>
    <n v="0"/>
    <x v="0"/>
    <x v="0"/>
    <n v="3"/>
    <n v="3"/>
    <s v="Medical"/>
    <n v="1"/>
    <n v="4"/>
    <x v="1322"/>
    <x v="0"/>
    <n v="0"/>
    <n v="3"/>
    <x v="7"/>
    <x v="0"/>
  </r>
  <r>
    <n v="52415918"/>
    <x v="9"/>
    <x v="0"/>
    <s v="Divorced"/>
    <x v="1"/>
    <n v="0"/>
    <x v="3"/>
    <x v="1"/>
    <n v="4"/>
    <n v="2"/>
    <s v="Life Sciences"/>
    <n v="4"/>
    <n v="2"/>
    <x v="1323"/>
    <x v="0"/>
    <n v="7"/>
    <n v="3"/>
    <x v="9"/>
    <x v="2"/>
  </r>
  <r>
    <n v="19648099"/>
    <x v="29"/>
    <x v="1"/>
    <s v="Divorced"/>
    <x v="1"/>
    <n v="0"/>
    <x v="4"/>
    <x v="1"/>
    <n v="1"/>
    <n v="4"/>
    <s v="Life Sciences"/>
    <n v="3"/>
    <n v="3"/>
    <x v="1324"/>
    <x v="0"/>
    <n v="1"/>
    <n v="2"/>
    <x v="20"/>
    <x v="1"/>
  </r>
  <r>
    <n v="51004972"/>
    <x v="11"/>
    <x v="1"/>
    <s v="Married"/>
    <x v="0"/>
    <n v="1"/>
    <x v="1"/>
    <x v="1"/>
    <n v="1"/>
    <n v="4"/>
    <s v="Medical"/>
    <n v="1"/>
    <n v="4"/>
    <x v="1325"/>
    <x v="1"/>
    <n v="9"/>
    <n v="4"/>
    <x v="4"/>
    <x v="2"/>
  </r>
  <r>
    <n v="59951280"/>
    <x v="19"/>
    <x v="1"/>
    <s v="Married"/>
    <x v="1"/>
    <n v="0"/>
    <x v="5"/>
    <x v="1"/>
    <n v="2"/>
    <n v="3"/>
    <s v="Life Sciences"/>
    <n v="1"/>
    <n v="3"/>
    <x v="1326"/>
    <x v="4"/>
    <n v="5"/>
    <n v="2"/>
    <x v="14"/>
    <x v="4"/>
  </r>
  <r>
    <n v="38836656"/>
    <x v="29"/>
    <x v="1"/>
    <s v="Married"/>
    <x v="0"/>
    <n v="1"/>
    <x v="2"/>
    <x v="1"/>
    <n v="7"/>
    <n v="2"/>
    <s v="Technical Degree"/>
    <n v="4"/>
    <n v="3"/>
    <x v="1327"/>
    <x v="1"/>
    <n v="8"/>
    <n v="1"/>
    <x v="1"/>
    <x v="1"/>
  </r>
  <r>
    <n v="30113382"/>
    <x v="0"/>
    <x v="0"/>
    <s v="Married"/>
    <x v="1"/>
    <n v="0"/>
    <x v="3"/>
    <x v="1"/>
    <n v="28"/>
    <n v="4"/>
    <s v="Life Sciences"/>
    <n v="1"/>
    <n v="2"/>
    <x v="1328"/>
    <x v="3"/>
    <n v="0"/>
    <n v="3"/>
    <x v="23"/>
    <x v="4"/>
  </r>
  <r>
    <n v="65763778"/>
    <x v="13"/>
    <x v="0"/>
    <s v="Married"/>
    <x v="1"/>
    <n v="0"/>
    <x v="0"/>
    <x v="0"/>
    <n v="28"/>
    <n v="3"/>
    <s v="Marketing"/>
    <n v="4"/>
    <n v="3"/>
    <x v="1329"/>
    <x v="0"/>
    <n v="1"/>
    <n v="3"/>
    <x v="3"/>
    <x v="0"/>
  </r>
  <r>
    <n v="50985619"/>
    <x v="9"/>
    <x v="1"/>
    <s v="Divorced"/>
    <x v="1"/>
    <n v="0"/>
    <x v="0"/>
    <x v="0"/>
    <n v="15"/>
    <n v="4"/>
    <s v="Marketing"/>
    <n v="4"/>
    <n v="4"/>
    <x v="1330"/>
    <x v="0"/>
    <n v="1"/>
    <n v="2"/>
    <x v="15"/>
    <x v="5"/>
  </r>
  <r>
    <n v="57155950"/>
    <x v="0"/>
    <x v="1"/>
    <s v="Divorced"/>
    <x v="1"/>
    <n v="0"/>
    <x v="0"/>
    <x v="0"/>
    <n v="3"/>
    <n v="3"/>
    <s v="Life Sciences"/>
    <n v="3"/>
    <n v="2"/>
    <x v="1331"/>
    <x v="0"/>
    <n v="2"/>
    <n v="3"/>
    <x v="8"/>
    <x v="0"/>
  </r>
  <r>
    <n v="86869357"/>
    <x v="5"/>
    <x v="1"/>
    <s v="Single"/>
    <x v="1"/>
    <n v="0"/>
    <x v="1"/>
    <x v="1"/>
    <n v="2"/>
    <n v="3"/>
    <s v="Technical Degree"/>
    <n v="4"/>
    <n v="1"/>
    <x v="1234"/>
    <x v="1"/>
    <n v="1"/>
    <n v="3"/>
    <x v="9"/>
    <x v="2"/>
  </r>
  <r>
    <n v="89848154"/>
    <x v="10"/>
    <x v="0"/>
    <s v="Single"/>
    <x v="1"/>
    <n v="0"/>
    <x v="8"/>
    <x v="2"/>
    <n v="26"/>
    <n v="4"/>
    <s v="Life Sciences"/>
    <n v="3"/>
    <n v="4"/>
    <x v="1332"/>
    <x v="0"/>
    <n v="1"/>
    <n v="3"/>
    <x v="7"/>
    <x v="0"/>
  </r>
  <r>
    <n v="36839571"/>
    <x v="8"/>
    <x v="0"/>
    <s v="Married"/>
    <x v="1"/>
    <n v="0"/>
    <x v="0"/>
    <x v="0"/>
    <n v="10"/>
    <n v="2"/>
    <s v="Life Sciences"/>
    <n v="1"/>
    <n v="4"/>
    <x v="798"/>
    <x v="0"/>
    <n v="1"/>
    <n v="3"/>
    <x v="1"/>
    <x v="1"/>
  </r>
  <r>
    <n v="33223911"/>
    <x v="24"/>
    <x v="1"/>
    <s v="Divorced"/>
    <x v="0"/>
    <n v="1"/>
    <x v="0"/>
    <x v="0"/>
    <n v="1"/>
    <n v="4"/>
    <s v="Life Sciences"/>
    <n v="2"/>
    <n v="3"/>
    <x v="1333"/>
    <x v="0"/>
    <n v="7"/>
    <n v="3"/>
    <x v="0"/>
    <x v="0"/>
  </r>
  <r>
    <n v="14985445"/>
    <x v="9"/>
    <x v="0"/>
    <s v="Married"/>
    <x v="1"/>
    <n v="0"/>
    <x v="0"/>
    <x v="0"/>
    <n v="11"/>
    <n v="4"/>
    <s v="Marketing"/>
    <n v="2"/>
    <n v="4"/>
    <x v="1334"/>
    <x v="0"/>
    <n v="4"/>
    <n v="2"/>
    <x v="0"/>
    <x v="0"/>
  </r>
  <r>
    <n v="23363262"/>
    <x v="28"/>
    <x v="0"/>
    <s v="Single"/>
    <x v="1"/>
    <n v="0"/>
    <x v="0"/>
    <x v="0"/>
    <n v="20"/>
    <n v="3"/>
    <s v="Life Sciences"/>
    <n v="4"/>
    <n v="3"/>
    <x v="1335"/>
    <x v="1"/>
    <n v="8"/>
    <n v="3"/>
    <x v="8"/>
    <x v="0"/>
  </r>
  <r>
    <n v="81727647"/>
    <x v="32"/>
    <x v="1"/>
    <s v="Single"/>
    <x v="1"/>
    <n v="0"/>
    <x v="1"/>
    <x v="1"/>
    <n v="2"/>
    <n v="4"/>
    <s v="Life Sciences"/>
    <n v="3"/>
    <n v="3"/>
    <x v="1336"/>
    <x v="1"/>
    <n v="2"/>
    <n v="3"/>
    <x v="4"/>
    <x v="2"/>
  </r>
  <r>
    <n v="75459303"/>
    <x v="10"/>
    <x v="1"/>
    <s v="Married"/>
    <x v="1"/>
    <n v="0"/>
    <x v="4"/>
    <x v="1"/>
    <n v="18"/>
    <n v="4"/>
    <s v="Life Sciences"/>
    <n v="3"/>
    <n v="3"/>
    <x v="1337"/>
    <x v="0"/>
    <n v="1"/>
    <n v="4"/>
    <x v="1"/>
    <x v="1"/>
  </r>
  <r>
    <n v="39330684"/>
    <x v="32"/>
    <x v="0"/>
    <s v="Married"/>
    <x v="1"/>
    <n v="0"/>
    <x v="1"/>
    <x v="1"/>
    <n v="2"/>
    <n v="4"/>
    <s v="Medical"/>
    <n v="3"/>
    <n v="3"/>
    <x v="1338"/>
    <x v="1"/>
    <n v="2"/>
    <n v="3"/>
    <x v="8"/>
    <x v="0"/>
  </r>
  <r>
    <n v="48345801"/>
    <x v="10"/>
    <x v="0"/>
    <s v="Married"/>
    <x v="1"/>
    <n v="0"/>
    <x v="1"/>
    <x v="1"/>
    <n v="1"/>
    <n v="4"/>
    <s v="Life Sciences"/>
    <n v="3"/>
    <n v="4"/>
    <x v="1339"/>
    <x v="1"/>
    <n v="1"/>
    <n v="3"/>
    <x v="9"/>
    <x v="2"/>
  </r>
  <r>
    <n v="25956610"/>
    <x v="11"/>
    <x v="1"/>
    <s v="Married"/>
    <x v="1"/>
    <n v="0"/>
    <x v="2"/>
    <x v="1"/>
    <n v="13"/>
    <n v="2"/>
    <s v="Other"/>
    <n v="4"/>
    <n v="2"/>
    <x v="717"/>
    <x v="1"/>
    <n v="4"/>
    <n v="3"/>
    <x v="9"/>
    <x v="2"/>
  </r>
  <r>
    <n v="11926037"/>
    <x v="11"/>
    <x v="0"/>
    <s v="Single"/>
    <x v="1"/>
    <n v="0"/>
    <x v="1"/>
    <x v="1"/>
    <n v="28"/>
    <n v="4"/>
    <s v="Medical"/>
    <n v="4"/>
    <n v="1"/>
    <x v="1340"/>
    <x v="1"/>
    <n v="1"/>
    <n v="1"/>
    <x v="8"/>
    <x v="0"/>
  </r>
  <r>
    <n v="25715481"/>
    <x v="24"/>
    <x v="1"/>
    <s v="Divorced"/>
    <x v="0"/>
    <n v="1"/>
    <x v="0"/>
    <x v="0"/>
    <n v="28"/>
    <n v="3"/>
    <s v="Marketing"/>
    <n v="4"/>
    <n v="1"/>
    <x v="1341"/>
    <x v="2"/>
    <n v="4"/>
    <n v="3"/>
    <x v="11"/>
    <x v="2"/>
  </r>
  <r>
    <n v="87798001"/>
    <x v="22"/>
    <x v="0"/>
    <s v="Married"/>
    <x v="1"/>
    <n v="0"/>
    <x v="0"/>
    <x v="0"/>
    <n v="24"/>
    <n v="1"/>
    <s v="Marketing"/>
    <n v="2"/>
    <n v="4"/>
    <x v="1342"/>
    <x v="2"/>
    <n v="0"/>
    <n v="2"/>
    <x v="23"/>
    <x v="4"/>
  </r>
  <r>
    <n v="40324466"/>
    <x v="12"/>
    <x v="1"/>
    <s v="Single"/>
    <x v="1"/>
    <n v="0"/>
    <x v="3"/>
    <x v="1"/>
    <n v="5"/>
    <n v="3"/>
    <s v="Medical"/>
    <n v="2"/>
    <n v="1"/>
    <x v="1343"/>
    <x v="2"/>
    <n v="0"/>
    <n v="3"/>
    <x v="7"/>
    <x v="0"/>
  </r>
  <r>
    <n v="49365366"/>
    <x v="25"/>
    <x v="0"/>
    <s v="Single"/>
    <x v="1"/>
    <n v="0"/>
    <x v="6"/>
    <x v="0"/>
    <n v="5"/>
    <n v="3"/>
    <s v="Other"/>
    <n v="4"/>
    <n v="3"/>
    <x v="1344"/>
    <x v="1"/>
    <n v="0"/>
    <n v="3"/>
    <x v="9"/>
    <x v="2"/>
  </r>
  <r>
    <n v="88378585"/>
    <x v="9"/>
    <x v="1"/>
    <s v="Married"/>
    <x v="1"/>
    <n v="0"/>
    <x v="2"/>
    <x v="1"/>
    <n v="23"/>
    <n v="2"/>
    <s v="Medical"/>
    <n v="3"/>
    <n v="4"/>
    <x v="1345"/>
    <x v="1"/>
    <n v="4"/>
    <n v="3"/>
    <x v="8"/>
    <x v="0"/>
  </r>
  <r>
    <n v="61623424"/>
    <x v="22"/>
    <x v="1"/>
    <s v="Married"/>
    <x v="1"/>
    <n v="0"/>
    <x v="4"/>
    <x v="1"/>
    <n v="6"/>
    <n v="1"/>
    <s v="Medical"/>
    <n v="4"/>
    <n v="1"/>
    <x v="1346"/>
    <x v="2"/>
    <n v="4"/>
    <n v="3"/>
    <x v="5"/>
    <x v="0"/>
  </r>
  <r>
    <n v="81472308"/>
    <x v="4"/>
    <x v="1"/>
    <s v="Married"/>
    <x v="1"/>
    <n v="0"/>
    <x v="3"/>
    <x v="1"/>
    <n v="4"/>
    <n v="3"/>
    <s v="Life Sciences"/>
    <n v="2"/>
    <n v="2"/>
    <x v="528"/>
    <x v="0"/>
    <n v="1"/>
    <n v="3"/>
    <x v="0"/>
    <x v="0"/>
  </r>
  <r>
    <n v="77079853"/>
    <x v="1"/>
    <x v="1"/>
    <s v="Married"/>
    <x v="1"/>
    <n v="0"/>
    <x v="0"/>
    <x v="0"/>
    <n v="2"/>
    <n v="3"/>
    <s v="Medical"/>
    <n v="4"/>
    <n v="2"/>
    <x v="1347"/>
    <x v="0"/>
    <n v="2"/>
    <n v="2"/>
    <x v="7"/>
    <x v="0"/>
  </r>
  <r>
    <n v="65371512"/>
    <x v="13"/>
    <x v="1"/>
    <s v="Married"/>
    <x v="1"/>
    <n v="0"/>
    <x v="2"/>
    <x v="1"/>
    <n v="8"/>
    <n v="3"/>
    <s v="Medical"/>
    <n v="2"/>
    <n v="3"/>
    <x v="1348"/>
    <x v="1"/>
    <n v="2"/>
    <n v="4"/>
    <x v="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A0BC9F-FB01-4427-9682-50A334B994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0:B16" firstHeaderRow="1" firstDataRow="1" firstDataCol="1"/>
  <pivotFields count="19">
    <pivotField showAll="0"/>
    <pivotField showAll="0"/>
    <pivotField showAll="0">
      <items count="3">
        <item x="0"/>
        <item x="1"/>
        <item t="default"/>
      </items>
    </pivotField>
    <pivotField showAll="0"/>
    <pivotField showAll="0"/>
    <pivotField dataField="1" showAll="0"/>
    <pivotField showAll="0">
      <items count="10">
        <item x="4"/>
        <item x="8"/>
        <item x="2"/>
        <item x="5"/>
        <item x="3"/>
        <item x="7"/>
        <item x="1"/>
        <item x="0"/>
        <item x="6"/>
        <item t="default"/>
      </items>
    </pivotField>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sortType="descending">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axis="axisRow" showAll="0">
      <items count="6">
        <item x="1"/>
        <item x="0"/>
        <item x="2"/>
        <item x="3"/>
        <item x="4"/>
        <item t="default"/>
      </items>
    </pivotField>
    <pivotField showAll="0"/>
    <pivotField showAll="0"/>
    <pivotField showAll="0">
      <items count="11">
        <item x="0"/>
        <item x="1"/>
        <item x="2"/>
        <item x="3"/>
        <item x="4"/>
        <item x="5"/>
        <item x="6"/>
        <item x="7"/>
        <item x="8"/>
        <item x="9"/>
        <item t="default"/>
      </items>
    </pivotField>
    <pivotField showAll="0">
      <items count="10">
        <item x="2"/>
        <item x="1"/>
        <item x="5"/>
        <item x="4"/>
        <item x="3"/>
        <item x="8"/>
        <item x="6"/>
        <item x="7"/>
        <item x="0"/>
        <item t="default"/>
      </items>
    </pivotField>
  </pivotFields>
  <rowFields count="1">
    <field x="14"/>
  </rowFields>
  <rowItems count="6">
    <i>
      <x/>
    </i>
    <i>
      <x v="1"/>
    </i>
    <i>
      <x v="2"/>
    </i>
    <i>
      <x v="3"/>
    </i>
    <i>
      <x v="4"/>
    </i>
    <i t="grand">
      <x/>
    </i>
  </rowItems>
  <colItems count="1">
    <i/>
  </colItems>
  <dataFields count="1">
    <dataField name="Sum of AttritionFlag" fld="5" baseField="0" baseItem="0"/>
  </dataFields>
  <chartFormats count="4">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483342-CA62-40AB-B8BA-21206F8613E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6:E26" firstHeaderRow="1" firstDataRow="1" firstDataCol="1"/>
  <pivotFields count="19">
    <pivotField showAll="0"/>
    <pivotField showAll="0"/>
    <pivotField showAll="0">
      <items count="3">
        <item x="0"/>
        <item x="1"/>
        <item t="default"/>
      </items>
    </pivotField>
    <pivotField showAll="0"/>
    <pivotField showAll="0"/>
    <pivotField dataField="1"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items count="10">
        <item x="0"/>
        <item x="1"/>
        <item x="2"/>
        <item x="3"/>
        <item x="4"/>
        <item x="5"/>
        <item x="6"/>
        <item x="7"/>
        <item x="8"/>
        <item t="default"/>
      </items>
    </pivotField>
    <pivotField showAll="0">
      <items count="6">
        <item x="1"/>
        <item x="3"/>
        <item x="4"/>
        <item x="0"/>
        <item x="2"/>
        <item t="default"/>
      </items>
    </pivotField>
    <pivotField showAll="0"/>
    <pivotField showAll="0"/>
    <pivotField showAll="0">
      <items count="11">
        <item x="0"/>
        <item x="1"/>
        <item x="2"/>
        <item x="3"/>
        <item x="4"/>
        <item x="5"/>
        <item x="6"/>
        <item x="7"/>
        <item x="8"/>
        <item x="9"/>
        <item t="default"/>
      </items>
    </pivotField>
    <pivotField showAll="0">
      <items count="10">
        <item x="2"/>
        <item x="1"/>
        <item x="5"/>
        <item x="4"/>
        <item x="3"/>
        <item x="8"/>
        <item x="6"/>
        <item x="7"/>
        <item x="0"/>
        <item t="default"/>
      </items>
    </pivotField>
  </pivotFields>
  <rowFields count="1">
    <field x="6"/>
  </rowFields>
  <rowItems count="10">
    <i>
      <x v="2"/>
    </i>
    <i>
      <x v="7"/>
    </i>
    <i>
      <x v="6"/>
    </i>
    <i>
      <x v="8"/>
    </i>
    <i>
      <x v="1"/>
    </i>
    <i>
      <x v="4"/>
    </i>
    <i>
      <x/>
    </i>
    <i>
      <x v="3"/>
    </i>
    <i>
      <x v="5"/>
    </i>
    <i t="grand">
      <x/>
    </i>
  </rowItems>
  <colItems count="1">
    <i/>
  </colItems>
  <dataFields count="1">
    <dataField name="Sum of AttritionFlag"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E1E486-0F69-4622-8D00-C975809814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13" firstHeaderRow="1" firstDataRow="1" firstDataCol="1"/>
  <pivotFields count="19">
    <pivotField showAll="0"/>
    <pivotField showAll="0"/>
    <pivotField showAll="0">
      <items count="3">
        <item x="0"/>
        <item x="1"/>
        <item t="default"/>
      </items>
    </pivotField>
    <pivotField showAll="0"/>
    <pivotField showAll="0"/>
    <pivotField dataField="1" showAll="0"/>
    <pivotField showAll="0">
      <items count="10">
        <item x="4"/>
        <item x="8"/>
        <item x="2"/>
        <item x="5"/>
        <item x="3"/>
        <item x="7"/>
        <item x="1"/>
        <item x="0"/>
        <item x="6"/>
        <item t="default"/>
      </items>
    </pivotField>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sortType="descending">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showAll="0">
      <items count="6">
        <item x="1"/>
        <item x="3"/>
        <item x="4"/>
        <item x="0"/>
        <item x="2"/>
        <item t="default"/>
      </items>
    </pivotField>
    <pivotField showAll="0"/>
    <pivotField showAll="0"/>
    <pivotField showAll="0">
      <items count="11">
        <item x="0"/>
        <item x="1"/>
        <item x="2"/>
        <item x="3"/>
        <item x="4"/>
        <item x="5"/>
        <item x="6"/>
        <item x="7"/>
        <item x="8"/>
        <item x="9"/>
        <item t="default"/>
      </items>
    </pivotField>
    <pivotField axis="axisRow" showAll="0">
      <items count="10">
        <item x="2"/>
        <item x="0"/>
        <item x="1"/>
        <item x="5"/>
        <item x="4"/>
        <item x="3"/>
        <item x="8"/>
        <item x="6"/>
        <item x="7"/>
        <item t="default"/>
      </items>
    </pivotField>
  </pivotFields>
  <rowFields count="1">
    <field x="18"/>
  </rowFields>
  <rowItems count="10">
    <i>
      <x/>
    </i>
    <i>
      <x v="1"/>
    </i>
    <i>
      <x v="2"/>
    </i>
    <i>
      <x v="3"/>
    </i>
    <i>
      <x v="4"/>
    </i>
    <i>
      <x v="5"/>
    </i>
    <i>
      <x v="6"/>
    </i>
    <i>
      <x v="7"/>
    </i>
    <i>
      <x v="8"/>
    </i>
    <i t="grand">
      <x/>
    </i>
  </rowItems>
  <colItems count="1">
    <i/>
  </colItems>
  <dataFields count="1">
    <dataField name="Sum of AttritionFlag" fld="5" baseField="0" baseItem="0"/>
  </dataFields>
  <chartFormats count="4">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646907-DF0B-4081-88CD-6847A14F69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19">
    <pivotField showAll="0"/>
    <pivotField showAll="0"/>
    <pivotField showAll="0">
      <items count="3">
        <item x="0"/>
        <item x="1"/>
        <item t="default"/>
      </items>
    </pivotField>
    <pivotField showAll="0"/>
    <pivotField showAll="0"/>
    <pivotField dataField="1" showAll="0"/>
    <pivotField showAll="0">
      <items count="10">
        <item x="4"/>
        <item x="8"/>
        <item x="2"/>
        <item x="5"/>
        <item x="3"/>
        <item x="7"/>
        <item x="1"/>
        <item x="0"/>
        <item x="6"/>
        <item t="default"/>
      </items>
    </pivotField>
    <pivotField axis="axisRow" showAll="0" sortType="ascending">
      <items count="4">
        <item x="2"/>
        <item x="1"/>
        <item x="0"/>
        <item t="default"/>
      </items>
    </pivotField>
    <pivotField showAll="0"/>
    <pivotField showAll="0"/>
    <pivotField showAll="0"/>
    <pivotField showAll="0"/>
    <pivotField showAll="0"/>
    <pivotField numFmtId="164" showAll="0">
      <items count="10">
        <item x="0"/>
        <item x="1"/>
        <item x="2"/>
        <item x="3"/>
        <item x="4"/>
        <item x="5"/>
        <item x="6"/>
        <item x="7"/>
        <item x="8"/>
        <item t="default"/>
      </items>
    </pivotField>
    <pivotField showAll="0">
      <items count="6">
        <item x="1"/>
        <item x="3"/>
        <item x="4"/>
        <item x="0"/>
        <item x="2"/>
        <item t="default"/>
      </items>
    </pivotField>
    <pivotField showAll="0"/>
    <pivotField showAll="0"/>
    <pivotField showAll="0">
      <items count="11">
        <item x="0"/>
        <item x="1"/>
        <item x="2"/>
        <item x="3"/>
        <item x="4"/>
        <item x="5"/>
        <item x="6"/>
        <item x="7"/>
        <item x="8"/>
        <item x="9"/>
        <item t="default"/>
      </items>
    </pivotField>
    <pivotField showAll="0">
      <items count="10">
        <item x="2"/>
        <item x="1"/>
        <item x="5"/>
        <item x="4"/>
        <item x="3"/>
        <item x="8"/>
        <item x="6"/>
        <item x="7"/>
        <item x="0"/>
        <item t="default"/>
      </items>
    </pivotField>
  </pivotFields>
  <rowFields count="1">
    <field x="7"/>
  </rowFields>
  <rowItems count="4">
    <i>
      <x/>
    </i>
    <i>
      <x v="1"/>
    </i>
    <i>
      <x v="2"/>
    </i>
    <i t="grand">
      <x/>
    </i>
  </rowItems>
  <colItems count="1">
    <i/>
  </colItems>
  <dataFields count="1">
    <dataField name="Sum of AttritionFlag" fld="5"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84E159-4CFD-4E1D-BD3C-2C89664CFC7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I6" firstHeaderRow="0" firstDataRow="1" firstDataCol="1"/>
  <pivotFields count="19">
    <pivotField dataField="1" showAll="0"/>
    <pivotField showAll="0"/>
    <pivotField showAll="0">
      <items count="3">
        <item x="0"/>
        <item x="1"/>
        <item t="default"/>
      </items>
    </pivotField>
    <pivotField showAll="0"/>
    <pivotField axis="axisRow" showAll="0">
      <items count="3">
        <item x="0"/>
        <item x="1"/>
        <item t="default"/>
      </items>
    </pivotField>
    <pivotField showAll="0"/>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numFmtId="164" showAll="0">
      <items count="10">
        <item x="0"/>
        <item x="1"/>
        <item x="2"/>
        <item x="3"/>
        <item x="4"/>
        <item x="5"/>
        <item x="6"/>
        <item x="7"/>
        <item x="8"/>
        <item t="default"/>
      </items>
    </pivotField>
    <pivotField showAll="0">
      <items count="6">
        <item x="1"/>
        <item x="3"/>
        <item x="4"/>
        <item x="0"/>
        <item x="2"/>
        <item t="default"/>
      </items>
    </pivotField>
    <pivotField showAll="0"/>
    <pivotField showAll="0"/>
    <pivotField showAll="0">
      <items count="11">
        <item x="0"/>
        <item x="1"/>
        <item x="2"/>
        <item x="3"/>
        <item x="4"/>
        <item x="5"/>
        <item x="6"/>
        <item x="7"/>
        <item x="8"/>
        <item x="9"/>
        <item t="default"/>
      </items>
    </pivotField>
    <pivotField showAll="0">
      <items count="10">
        <item x="2"/>
        <item x="1"/>
        <item x="5"/>
        <item x="4"/>
        <item x="3"/>
        <item x="8"/>
        <item x="6"/>
        <item x="7"/>
        <item x="0"/>
        <item t="default"/>
      </items>
    </pivotField>
  </pivotFields>
  <rowFields count="1">
    <field x="4"/>
  </rowFields>
  <rowItems count="3">
    <i>
      <x/>
    </i>
    <i>
      <x v="1"/>
    </i>
    <i t="grand">
      <x/>
    </i>
  </rowItems>
  <colFields count="1">
    <field x="-2"/>
  </colFields>
  <colItems count="2">
    <i>
      <x/>
    </i>
    <i i="1">
      <x v="1"/>
    </i>
  </colItems>
  <dataFields count="2">
    <dataField name="Count of EmployeeID" fld="0" subtotal="count" baseField="0" baseItem="0"/>
    <dataField name="Count of EmployeeID2" fld="0" subtotal="count" showDataAs="percentOfTotal" baseField="0" baseItem="0" numFmtId="10"/>
  </dataFields>
  <chartFormats count="12">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4" count="1" selected="0">
            <x v="0"/>
          </reference>
        </references>
      </pivotArea>
    </chartFormat>
    <chartFormat chart="6" format="16">
      <pivotArea type="data" outline="0" fieldPosition="0">
        <references count="2">
          <reference field="4294967294" count="1" selected="0">
            <x v="0"/>
          </reference>
          <reference field="4" count="1" selected="0">
            <x v="1"/>
          </reference>
        </references>
      </pivotArea>
    </chartFormat>
    <chartFormat chart="6" format="17" series="1">
      <pivotArea type="data" outline="0" fieldPosition="0">
        <references count="1">
          <reference field="4294967294" count="1" selected="0">
            <x v="1"/>
          </reference>
        </references>
      </pivotArea>
    </chartFormat>
    <chartFormat chart="6" format="18">
      <pivotArea type="data" outline="0" fieldPosition="0">
        <references count="2">
          <reference field="4294967294" count="1" selected="0">
            <x v="1"/>
          </reference>
          <reference field="4" count="1" selected="0">
            <x v="0"/>
          </reference>
        </references>
      </pivotArea>
    </chartFormat>
    <chartFormat chart="6" format="19">
      <pivotArea type="data" outline="0" fieldPosition="0">
        <references count="2">
          <reference field="4294967294" count="1" selected="0">
            <x v="1"/>
          </reference>
          <reference field="4" count="1" selected="0">
            <x v="1"/>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4" count="1" selected="0">
            <x v="0"/>
          </reference>
        </references>
      </pivotArea>
    </chartFormat>
    <chartFormat chart="9" format="22">
      <pivotArea type="data" outline="0" fieldPosition="0">
        <references count="2">
          <reference field="4294967294" count="1" selected="0">
            <x v="0"/>
          </reference>
          <reference field="4" count="1" selected="0">
            <x v="1"/>
          </reference>
        </references>
      </pivotArea>
    </chartFormat>
    <chartFormat chart="9" format="23" series="1">
      <pivotArea type="data" outline="0" fieldPosition="0">
        <references count="1">
          <reference field="4294967294" count="1" selected="0">
            <x v="1"/>
          </reference>
        </references>
      </pivotArea>
    </chartFormat>
    <chartFormat chart="9" format="24">
      <pivotArea type="data" outline="0" fieldPosition="0">
        <references count="2">
          <reference field="4294967294" count="1" selected="0">
            <x v="1"/>
          </reference>
          <reference field="4" count="1" selected="0">
            <x v="0"/>
          </reference>
        </references>
      </pivotArea>
    </chartFormat>
    <chartFormat chart="9" format="25">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0CE2F02-7B54-4592-8BDC-05E5ADDC1278}" sourceName="Department">
  <pivotTables>
    <pivotTable tabId="11" name="PivotTable2"/>
    <pivotTable tabId="11" name="PivotTable10"/>
    <pivotTable tabId="11" name="PivotTable14"/>
    <pivotTable tabId="11" name="PivotTable1"/>
    <pivotTable tabId="11" name="PivotTable3"/>
  </pivotTables>
  <data>
    <tabular pivotCacheId="25637332" crossFilter="showItemsWithNoData">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1D7046C-CBB5-46EE-8423-1F0C5766DF56}" sourceName="Gender">
  <pivotTables>
    <pivotTable tabId="11" name="PivotTable10"/>
    <pivotTable tabId="11" name="PivotTable1"/>
    <pivotTable tabId="11" name="PivotTable14"/>
    <pivotTable tabId="11" name="PivotTable2"/>
    <pivotTable tabId="11" name="PivotTable3"/>
  </pivotTables>
  <data>
    <tabular pivotCacheId="25637332" sortOrder="descending" crossFilter="showItemsWithNoData">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F1C30A7C-447E-4EA9-976A-97F698481C57}" sourceName="JobRole">
  <pivotTables>
    <pivotTable tabId="11" name="PivotTable10"/>
    <pivotTable tabId="11" name="PivotTable1"/>
    <pivotTable tabId="11" name="PivotTable14"/>
    <pivotTable tabId="11" name="PivotTable2"/>
    <pivotTable tabId="11" name="PivotTable3"/>
  </pivotTables>
  <data>
    <tabular pivotCacheId="25637332" crossFilter="showItemsWithNoData">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A586E37-2742-4859-A6F0-F877BBDBBE98}" cache="Slicer_Department" caption="Department" rowHeight="241300"/>
  <slicer name="Gender 1" xr10:uid="{D27F455F-B479-438B-A866-FF707FCE7E47}" cache="Slicer_Gender" caption="Gender" rowHeight="241300"/>
  <slicer name="JobRole 1" xr10:uid="{EB9CA37A-1D9F-405A-9E86-1DDF4B379D2E}" cache="Slicer_JobRole" caption="Job Ro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D3FAAE-F780-44E5-914A-67649C4AC939}" name="Table2" displayName="Table2" ref="A1:S1471" totalsRowShown="0">
  <autoFilter ref="A1:S1471" xr:uid="{B1D3FAAE-F780-44E5-914A-67649C4AC939}"/>
  <tableColumns count="19">
    <tableColumn id="1" xr3:uid="{CD93D368-DB2A-48DA-9686-6D50A28F9BA3}" name="EmployeeID"/>
    <tableColumn id="2" xr3:uid="{93BEFC7E-411E-4C58-AAF7-5799349B2101}" name="Age"/>
    <tableColumn id="3" xr3:uid="{8482930E-076D-43F2-8E17-D45A6AEA89B2}" name="Gender"/>
    <tableColumn id="4" xr3:uid="{07AFCDB1-C234-47E6-8B8E-1C32FBAFEB8B}" name="MaritalStatus"/>
    <tableColumn id="5" xr3:uid="{3C1BB247-FFF9-4CF2-8696-3BAF11D77587}" name="Attrition"/>
    <tableColumn id="18" xr3:uid="{62A7859D-DC85-46DA-94EC-2995832A6B26}" name="AttritionFlag"/>
    <tableColumn id="6" xr3:uid="{B2158ED4-AA97-43BF-86BB-11335346D778}" name="JobRole"/>
    <tableColumn id="7" xr3:uid="{50E77A81-B8E9-4F4A-8C54-8DD47AE71EF1}" name="Department"/>
    <tableColumn id="8" xr3:uid="{048E8629-78CC-4BEA-B26F-BB2CC9B3412C}" name="DistanceFromHome"/>
    <tableColumn id="9" xr3:uid="{34372AF0-10D1-4F10-9216-48BB30257EEF}" name="Education"/>
    <tableColumn id="10" xr3:uid="{05D5AAD1-B898-4D67-853F-44943C879451}" name="EducationField"/>
    <tableColumn id="11" xr3:uid="{8EEDEF9B-65A7-4CBB-8807-389CA66D49F5}" name="EnvironmentSatisfaction"/>
    <tableColumn id="12" xr3:uid="{978A14F4-71B8-4B7F-98A4-702800146F0B}" name="JobSatisfaction"/>
    <tableColumn id="13" xr3:uid="{4F31CFDB-775C-4DB9-AC74-EA38A16FBFAF}" name="MonthlyIncome" dataDxfId="2"/>
    <tableColumn id="19" xr3:uid="{F989512A-C846-4484-A989-63385484BCEE}" name="MonthlyIncomeGroup" dataDxfId="1">
      <calculatedColumnFormula>IF(Table2[[#This Row],[MonthlyIncome]]&lt;=5000, "$1001 - $5000", IF(Table2[[#This Row],[MonthlyIncome]]&lt;=9000, "$5001 - $9000", IF(Table2[[#This Row],[MonthlyIncome]]&lt;=13000, "$9001 - $13000", IF(Table2[[#This Row],[MonthlyIncome]]&lt;=17000, "$13001 - $17000", IF(Table2[[#This Row],[MonthlyIncome]]&lt;=21000, "$17001 - $21000")))))</calculatedColumnFormula>
    </tableColumn>
    <tableColumn id="14" xr3:uid="{0DB5BE60-AC0E-40D3-B356-88BDAD11C645}" name="NumCompaniesWorked"/>
    <tableColumn id="15" xr3:uid="{8D8EC4CB-3D20-476A-8D41-5EC5E68B3724}" name="WorkLifeBalance"/>
    <tableColumn id="16" xr3:uid="{654A4151-08BB-4CB8-91D2-FE4F002E8446}" name="YearsAtCompany"/>
    <tableColumn id="21" xr3:uid="{906E1434-8466-4726-A774-AC84E7782198}" name="YearsAtCompanyGroup" dataDxfId="0">
      <calculatedColumnFormula>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View">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E87B5-4BB4-40C6-9F09-3A61422B5739}">
  <dimension ref="A1:A9"/>
  <sheetViews>
    <sheetView workbookViewId="0">
      <selection activeCell="A4" sqref="A4"/>
    </sheetView>
  </sheetViews>
  <sheetFormatPr defaultRowHeight="14.25" x14ac:dyDescent="0.2"/>
  <sheetData>
    <row r="1" spans="1:1" ht="18.75" x14ac:dyDescent="0.2">
      <c r="A1" s="9" t="s">
        <v>53</v>
      </c>
    </row>
    <row r="2" spans="1:1" ht="15" x14ac:dyDescent="0.2">
      <c r="A2" s="10"/>
    </row>
    <row r="3" spans="1:1" ht="15" x14ac:dyDescent="0.2">
      <c r="A3" s="10" t="s">
        <v>54</v>
      </c>
    </row>
    <row r="4" spans="1:1" x14ac:dyDescent="0.2">
      <c r="A4" s="8" t="s">
        <v>55</v>
      </c>
    </row>
    <row r="5" spans="1:1" x14ac:dyDescent="0.2">
      <c r="A5" s="8"/>
    </row>
    <row r="6" spans="1:1" x14ac:dyDescent="0.2">
      <c r="A6" s="8" t="s">
        <v>56</v>
      </c>
    </row>
    <row r="7" spans="1:1" x14ac:dyDescent="0.2">
      <c r="A7" s="11" t="s">
        <v>74</v>
      </c>
    </row>
    <row r="8" spans="1:1" x14ac:dyDescent="0.2">
      <c r="A8" s="11" t="s">
        <v>75</v>
      </c>
    </row>
    <row r="9" spans="1:1" x14ac:dyDescent="0.2">
      <c r="A9" s="11"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349EC-2639-4CF2-B2B6-13D60A809C19}">
  <dimension ref="A1:P1471"/>
  <sheetViews>
    <sheetView workbookViewId="0"/>
  </sheetViews>
  <sheetFormatPr defaultRowHeight="15" x14ac:dyDescent="0.2"/>
  <sheetData>
    <row r="1" spans="1:16" ht="14.25"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ht="14.25" x14ac:dyDescent="0.2">
      <c r="A2">
        <v>41</v>
      </c>
      <c r="B2" t="s">
        <v>16</v>
      </c>
      <c r="C2" t="s">
        <v>17</v>
      </c>
      <c r="D2">
        <v>1</v>
      </c>
      <c r="E2">
        <v>2</v>
      </c>
      <c r="F2" t="s">
        <v>18</v>
      </c>
      <c r="G2">
        <v>2</v>
      </c>
      <c r="H2">
        <v>4</v>
      </c>
      <c r="I2" t="s">
        <v>19</v>
      </c>
      <c r="J2">
        <v>5993</v>
      </c>
      <c r="K2">
        <v>8</v>
      </c>
      <c r="L2">
        <v>1</v>
      </c>
      <c r="M2">
        <v>6</v>
      </c>
      <c r="N2" t="s">
        <v>20</v>
      </c>
      <c r="O2" t="s">
        <v>21</v>
      </c>
      <c r="P2">
        <v>10969592</v>
      </c>
    </row>
    <row r="3" spans="1:16" ht="14.25" x14ac:dyDescent="0.2">
      <c r="A3">
        <v>49</v>
      </c>
      <c r="B3" t="s">
        <v>22</v>
      </c>
      <c r="C3" t="s">
        <v>23</v>
      </c>
      <c r="D3">
        <v>8</v>
      </c>
      <c r="E3">
        <v>1</v>
      </c>
      <c r="F3" t="s">
        <v>18</v>
      </c>
      <c r="G3">
        <v>3</v>
      </c>
      <c r="H3">
        <v>2</v>
      </c>
      <c r="I3" t="s">
        <v>24</v>
      </c>
      <c r="J3">
        <v>5130</v>
      </c>
      <c r="K3">
        <v>1</v>
      </c>
      <c r="L3">
        <v>3</v>
      </c>
      <c r="M3">
        <v>10</v>
      </c>
      <c r="N3" t="s">
        <v>25</v>
      </c>
      <c r="O3" t="s">
        <v>26</v>
      </c>
      <c r="P3">
        <v>42652422</v>
      </c>
    </row>
    <row r="4" spans="1:16" ht="14.25" x14ac:dyDescent="0.2">
      <c r="A4">
        <v>37</v>
      </c>
      <c r="B4" t="s">
        <v>16</v>
      </c>
      <c r="C4" t="s">
        <v>23</v>
      </c>
      <c r="D4">
        <v>2</v>
      </c>
      <c r="E4">
        <v>2</v>
      </c>
      <c r="F4" t="s">
        <v>27</v>
      </c>
      <c r="G4">
        <v>4</v>
      </c>
      <c r="H4">
        <v>3</v>
      </c>
      <c r="I4" t="s">
        <v>19</v>
      </c>
      <c r="J4">
        <v>2090</v>
      </c>
      <c r="K4">
        <v>6</v>
      </c>
      <c r="L4">
        <v>3</v>
      </c>
      <c r="M4">
        <v>0</v>
      </c>
      <c r="N4" t="s">
        <v>25</v>
      </c>
      <c r="O4" t="s">
        <v>28</v>
      </c>
      <c r="P4">
        <v>83476539</v>
      </c>
    </row>
    <row r="5" spans="1:16" ht="14.25" x14ac:dyDescent="0.2">
      <c r="A5">
        <v>33</v>
      </c>
      <c r="B5" t="s">
        <v>22</v>
      </c>
      <c r="C5" t="s">
        <v>23</v>
      </c>
      <c r="D5">
        <v>3</v>
      </c>
      <c r="E5">
        <v>4</v>
      </c>
      <c r="F5" t="s">
        <v>18</v>
      </c>
      <c r="G5">
        <v>4</v>
      </c>
      <c r="H5">
        <v>3</v>
      </c>
      <c r="I5" t="s">
        <v>24</v>
      </c>
      <c r="J5">
        <v>2909</v>
      </c>
      <c r="K5">
        <v>1</v>
      </c>
      <c r="L5">
        <v>3</v>
      </c>
      <c r="M5">
        <v>8</v>
      </c>
      <c r="N5" t="s">
        <v>20</v>
      </c>
      <c r="O5" t="s">
        <v>26</v>
      </c>
      <c r="P5">
        <v>16114404</v>
      </c>
    </row>
    <row r="6" spans="1:16" ht="14.25" x14ac:dyDescent="0.2">
      <c r="A6">
        <v>27</v>
      </c>
      <c r="B6" t="s">
        <v>22</v>
      </c>
      <c r="C6" t="s">
        <v>23</v>
      </c>
      <c r="D6">
        <v>2</v>
      </c>
      <c r="E6">
        <v>1</v>
      </c>
      <c r="F6" t="s">
        <v>29</v>
      </c>
      <c r="G6">
        <v>1</v>
      </c>
      <c r="H6">
        <v>2</v>
      </c>
      <c r="I6" t="s">
        <v>24</v>
      </c>
      <c r="J6">
        <v>3468</v>
      </c>
      <c r="K6">
        <v>9</v>
      </c>
      <c r="L6">
        <v>3</v>
      </c>
      <c r="M6">
        <v>2</v>
      </c>
      <c r="N6" t="s">
        <v>25</v>
      </c>
      <c r="O6" t="s">
        <v>28</v>
      </c>
      <c r="P6">
        <v>47388211</v>
      </c>
    </row>
    <row r="7" spans="1:16" ht="14.25" x14ac:dyDescent="0.2">
      <c r="A7">
        <v>32</v>
      </c>
      <c r="B7" t="s">
        <v>22</v>
      </c>
      <c r="C7" t="s">
        <v>23</v>
      </c>
      <c r="D7">
        <v>2</v>
      </c>
      <c r="E7">
        <v>2</v>
      </c>
      <c r="F7" t="s">
        <v>18</v>
      </c>
      <c r="G7">
        <v>4</v>
      </c>
      <c r="H7">
        <v>4</v>
      </c>
      <c r="I7" t="s">
        <v>19</v>
      </c>
      <c r="J7">
        <v>3068</v>
      </c>
      <c r="K7">
        <v>0</v>
      </c>
      <c r="L7">
        <v>2</v>
      </c>
      <c r="M7">
        <v>7</v>
      </c>
      <c r="N7" t="s">
        <v>25</v>
      </c>
      <c r="O7" t="s">
        <v>28</v>
      </c>
      <c r="P7">
        <v>53321192</v>
      </c>
    </row>
    <row r="8" spans="1:16" ht="14.25" x14ac:dyDescent="0.2">
      <c r="A8">
        <v>59</v>
      </c>
      <c r="B8" t="s">
        <v>22</v>
      </c>
      <c r="C8" t="s">
        <v>23</v>
      </c>
      <c r="D8">
        <v>3</v>
      </c>
      <c r="E8">
        <v>3</v>
      </c>
      <c r="F8" t="s">
        <v>29</v>
      </c>
      <c r="G8">
        <v>3</v>
      </c>
      <c r="H8">
        <v>1</v>
      </c>
      <c r="I8" t="s">
        <v>24</v>
      </c>
      <c r="J8">
        <v>2670</v>
      </c>
      <c r="K8">
        <v>4</v>
      </c>
      <c r="L8">
        <v>2</v>
      </c>
      <c r="M8">
        <v>1</v>
      </c>
      <c r="N8" t="s">
        <v>20</v>
      </c>
      <c r="O8" t="s">
        <v>28</v>
      </c>
      <c r="P8">
        <v>54216927</v>
      </c>
    </row>
    <row r="9" spans="1:16" ht="14.25" x14ac:dyDescent="0.2">
      <c r="A9">
        <v>30</v>
      </c>
      <c r="B9" t="s">
        <v>22</v>
      </c>
      <c r="C9" t="s">
        <v>23</v>
      </c>
      <c r="D9">
        <v>24</v>
      </c>
      <c r="E9">
        <v>1</v>
      </c>
      <c r="F9" t="s">
        <v>18</v>
      </c>
      <c r="G9">
        <v>4</v>
      </c>
      <c r="H9">
        <v>3</v>
      </c>
      <c r="I9" t="s">
        <v>30</v>
      </c>
      <c r="J9">
        <v>2693</v>
      </c>
      <c r="K9">
        <v>1</v>
      </c>
      <c r="L9">
        <v>3</v>
      </c>
      <c r="M9">
        <v>1</v>
      </c>
      <c r="N9" t="s">
        <v>25</v>
      </c>
      <c r="O9" t="s">
        <v>28</v>
      </c>
      <c r="P9">
        <v>52208262</v>
      </c>
    </row>
    <row r="10" spans="1:16" ht="14.25" x14ac:dyDescent="0.2">
      <c r="A10">
        <v>38</v>
      </c>
      <c r="B10" t="s">
        <v>22</v>
      </c>
      <c r="C10" t="s">
        <v>23</v>
      </c>
      <c r="D10">
        <v>23</v>
      </c>
      <c r="E10">
        <v>3</v>
      </c>
      <c r="F10" t="s">
        <v>18</v>
      </c>
      <c r="G10">
        <v>4</v>
      </c>
      <c r="H10">
        <v>3</v>
      </c>
      <c r="I10" t="s">
        <v>19</v>
      </c>
      <c r="J10">
        <v>9526</v>
      </c>
      <c r="K10">
        <v>0</v>
      </c>
      <c r="L10">
        <v>3</v>
      </c>
      <c r="M10">
        <v>9</v>
      </c>
      <c r="N10" t="s">
        <v>25</v>
      </c>
      <c r="O10" t="s">
        <v>31</v>
      </c>
      <c r="P10">
        <v>59009022</v>
      </c>
    </row>
    <row r="11" spans="1:16" ht="14.25" x14ac:dyDescent="0.2">
      <c r="A11">
        <v>36</v>
      </c>
      <c r="B11" t="s">
        <v>22</v>
      </c>
      <c r="C11" t="s">
        <v>23</v>
      </c>
      <c r="D11">
        <v>27</v>
      </c>
      <c r="E11">
        <v>3</v>
      </c>
      <c r="F11" t="s">
        <v>29</v>
      </c>
      <c r="G11">
        <v>3</v>
      </c>
      <c r="H11">
        <v>3</v>
      </c>
      <c r="I11" t="s">
        <v>24</v>
      </c>
      <c r="J11">
        <v>5237</v>
      </c>
      <c r="K11">
        <v>6</v>
      </c>
      <c r="L11">
        <v>2</v>
      </c>
      <c r="M11">
        <v>7</v>
      </c>
      <c r="N11" t="s">
        <v>25</v>
      </c>
      <c r="O11" t="s">
        <v>32</v>
      </c>
      <c r="P11">
        <v>59640268</v>
      </c>
    </row>
    <row r="12" spans="1:16" ht="14.25" x14ac:dyDescent="0.2">
      <c r="A12">
        <v>35</v>
      </c>
      <c r="B12" t="s">
        <v>22</v>
      </c>
      <c r="C12" t="s">
        <v>23</v>
      </c>
      <c r="D12">
        <v>16</v>
      </c>
      <c r="E12">
        <v>3</v>
      </c>
      <c r="F12" t="s">
        <v>29</v>
      </c>
      <c r="G12">
        <v>1</v>
      </c>
      <c r="H12">
        <v>2</v>
      </c>
      <c r="I12" t="s">
        <v>24</v>
      </c>
      <c r="J12">
        <v>2426</v>
      </c>
      <c r="K12">
        <v>0</v>
      </c>
      <c r="L12">
        <v>3</v>
      </c>
      <c r="M12">
        <v>5</v>
      </c>
      <c r="N12" t="s">
        <v>25</v>
      </c>
      <c r="O12" t="s">
        <v>28</v>
      </c>
      <c r="P12">
        <v>71400736</v>
      </c>
    </row>
    <row r="13" spans="1:16" ht="14.25" x14ac:dyDescent="0.2">
      <c r="A13">
        <v>29</v>
      </c>
      <c r="B13" t="s">
        <v>22</v>
      </c>
      <c r="C13" t="s">
        <v>23</v>
      </c>
      <c r="D13">
        <v>15</v>
      </c>
      <c r="E13">
        <v>2</v>
      </c>
      <c r="F13" t="s">
        <v>18</v>
      </c>
      <c r="G13">
        <v>4</v>
      </c>
      <c r="H13">
        <v>3</v>
      </c>
      <c r="I13" t="s">
        <v>19</v>
      </c>
      <c r="J13">
        <v>4193</v>
      </c>
      <c r="K13">
        <v>0</v>
      </c>
      <c r="L13">
        <v>3</v>
      </c>
      <c r="M13">
        <v>9</v>
      </c>
      <c r="N13" t="s">
        <v>20</v>
      </c>
      <c r="O13" t="s">
        <v>28</v>
      </c>
      <c r="P13">
        <v>50018440</v>
      </c>
    </row>
    <row r="14" spans="1:16" ht="14.25" x14ac:dyDescent="0.2">
      <c r="A14">
        <v>31</v>
      </c>
      <c r="B14" t="s">
        <v>22</v>
      </c>
      <c r="C14" t="s">
        <v>23</v>
      </c>
      <c r="D14">
        <v>26</v>
      </c>
      <c r="E14">
        <v>1</v>
      </c>
      <c r="F14" t="s">
        <v>18</v>
      </c>
      <c r="G14">
        <v>1</v>
      </c>
      <c r="H14">
        <v>3</v>
      </c>
      <c r="I14" t="s">
        <v>30</v>
      </c>
      <c r="J14">
        <v>2911</v>
      </c>
      <c r="K14">
        <v>1</v>
      </c>
      <c r="L14">
        <v>2</v>
      </c>
      <c r="M14">
        <v>5</v>
      </c>
      <c r="N14" t="s">
        <v>25</v>
      </c>
      <c r="O14" t="s">
        <v>26</v>
      </c>
      <c r="P14">
        <v>13501715</v>
      </c>
    </row>
    <row r="15" spans="1:16" ht="14.25" x14ac:dyDescent="0.2">
      <c r="A15">
        <v>34</v>
      </c>
      <c r="B15" t="s">
        <v>22</v>
      </c>
      <c r="C15" t="s">
        <v>23</v>
      </c>
      <c r="D15">
        <v>19</v>
      </c>
      <c r="E15">
        <v>2</v>
      </c>
      <c r="F15" t="s">
        <v>29</v>
      </c>
      <c r="G15">
        <v>2</v>
      </c>
      <c r="H15">
        <v>4</v>
      </c>
      <c r="I15" t="s">
        <v>30</v>
      </c>
      <c r="J15">
        <v>2661</v>
      </c>
      <c r="K15">
        <v>0</v>
      </c>
      <c r="L15">
        <v>3</v>
      </c>
      <c r="M15">
        <v>2</v>
      </c>
      <c r="N15" t="s">
        <v>25</v>
      </c>
      <c r="O15" t="s">
        <v>28</v>
      </c>
      <c r="P15">
        <v>89870835</v>
      </c>
    </row>
    <row r="16" spans="1:16" ht="14.25" x14ac:dyDescent="0.2">
      <c r="A16">
        <v>28</v>
      </c>
      <c r="B16" t="s">
        <v>16</v>
      </c>
      <c r="C16" t="s">
        <v>23</v>
      </c>
      <c r="D16">
        <v>24</v>
      </c>
      <c r="E16">
        <v>3</v>
      </c>
      <c r="F16" t="s">
        <v>18</v>
      </c>
      <c r="G16">
        <v>3</v>
      </c>
      <c r="H16">
        <v>3</v>
      </c>
      <c r="I16" t="s">
        <v>19</v>
      </c>
      <c r="J16">
        <v>2028</v>
      </c>
      <c r="K16">
        <v>5</v>
      </c>
      <c r="L16">
        <v>3</v>
      </c>
      <c r="M16">
        <v>4</v>
      </c>
      <c r="N16" t="s">
        <v>25</v>
      </c>
      <c r="O16" t="s">
        <v>28</v>
      </c>
      <c r="P16">
        <v>49334147</v>
      </c>
    </row>
    <row r="17" spans="1:16" ht="14.25" x14ac:dyDescent="0.2">
      <c r="A17">
        <v>29</v>
      </c>
      <c r="B17" t="s">
        <v>22</v>
      </c>
      <c r="C17" t="s">
        <v>23</v>
      </c>
      <c r="D17">
        <v>21</v>
      </c>
      <c r="E17">
        <v>4</v>
      </c>
      <c r="F17" t="s">
        <v>18</v>
      </c>
      <c r="G17">
        <v>2</v>
      </c>
      <c r="H17">
        <v>1</v>
      </c>
      <c r="I17" t="s">
        <v>30</v>
      </c>
      <c r="J17">
        <v>9980</v>
      </c>
      <c r="K17">
        <v>1</v>
      </c>
      <c r="L17">
        <v>3</v>
      </c>
      <c r="M17">
        <v>10</v>
      </c>
      <c r="N17" t="s">
        <v>20</v>
      </c>
      <c r="O17" t="s">
        <v>31</v>
      </c>
      <c r="P17">
        <v>58384894</v>
      </c>
    </row>
    <row r="18" spans="1:16" ht="14.25" x14ac:dyDescent="0.2">
      <c r="A18">
        <v>32</v>
      </c>
      <c r="B18" t="s">
        <v>22</v>
      </c>
      <c r="C18" t="s">
        <v>23</v>
      </c>
      <c r="D18">
        <v>5</v>
      </c>
      <c r="E18">
        <v>2</v>
      </c>
      <c r="F18" t="s">
        <v>18</v>
      </c>
      <c r="G18">
        <v>1</v>
      </c>
      <c r="H18">
        <v>2</v>
      </c>
      <c r="I18" t="s">
        <v>30</v>
      </c>
      <c r="J18">
        <v>3298</v>
      </c>
      <c r="K18">
        <v>0</v>
      </c>
      <c r="L18">
        <v>2</v>
      </c>
      <c r="M18">
        <v>6</v>
      </c>
      <c r="N18" t="s">
        <v>25</v>
      </c>
      <c r="O18" t="s">
        <v>26</v>
      </c>
      <c r="P18">
        <v>34744758</v>
      </c>
    </row>
    <row r="19" spans="1:16" ht="14.25" x14ac:dyDescent="0.2">
      <c r="A19">
        <v>22</v>
      </c>
      <c r="B19" t="s">
        <v>22</v>
      </c>
      <c r="C19" t="s">
        <v>23</v>
      </c>
      <c r="D19">
        <v>16</v>
      </c>
      <c r="E19">
        <v>2</v>
      </c>
      <c r="F19" t="s">
        <v>29</v>
      </c>
      <c r="G19">
        <v>4</v>
      </c>
      <c r="H19">
        <v>4</v>
      </c>
      <c r="I19" t="s">
        <v>30</v>
      </c>
      <c r="J19">
        <v>2935</v>
      </c>
      <c r="K19">
        <v>1</v>
      </c>
      <c r="L19">
        <v>2</v>
      </c>
      <c r="M19">
        <v>1</v>
      </c>
      <c r="N19" t="s">
        <v>25</v>
      </c>
      <c r="O19" t="s">
        <v>28</v>
      </c>
      <c r="P19">
        <v>44353582</v>
      </c>
    </row>
    <row r="20" spans="1:16" ht="14.25" x14ac:dyDescent="0.2">
      <c r="A20">
        <v>53</v>
      </c>
      <c r="B20" t="s">
        <v>22</v>
      </c>
      <c r="C20" t="s">
        <v>17</v>
      </c>
      <c r="D20">
        <v>2</v>
      </c>
      <c r="E20">
        <v>4</v>
      </c>
      <c r="F20" t="s">
        <v>18</v>
      </c>
      <c r="G20">
        <v>1</v>
      </c>
      <c r="H20">
        <v>4</v>
      </c>
      <c r="I20" t="s">
        <v>24</v>
      </c>
      <c r="J20">
        <v>15427</v>
      </c>
      <c r="K20">
        <v>2</v>
      </c>
      <c r="L20">
        <v>3</v>
      </c>
      <c r="M20">
        <v>25</v>
      </c>
      <c r="N20" t="s">
        <v>20</v>
      </c>
      <c r="O20" t="s">
        <v>33</v>
      </c>
      <c r="P20">
        <v>34548606</v>
      </c>
    </row>
    <row r="21" spans="1:16" ht="14.25" x14ac:dyDescent="0.2">
      <c r="A21">
        <v>38</v>
      </c>
      <c r="B21" t="s">
        <v>22</v>
      </c>
      <c r="C21" t="s">
        <v>23</v>
      </c>
      <c r="D21">
        <v>2</v>
      </c>
      <c r="E21">
        <v>3</v>
      </c>
      <c r="F21" t="s">
        <v>18</v>
      </c>
      <c r="G21">
        <v>4</v>
      </c>
      <c r="H21">
        <v>4</v>
      </c>
      <c r="I21" t="s">
        <v>19</v>
      </c>
      <c r="J21">
        <v>3944</v>
      </c>
      <c r="K21">
        <v>5</v>
      </c>
      <c r="L21">
        <v>3</v>
      </c>
      <c r="M21">
        <v>3</v>
      </c>
      <c r="N21" t="s">
        <v>25</v>
      </c>
      <c r="O21" t="s">
        <v>26</v>
      </c>
      <c r="P21">
        <v>10822994</v>
      </c>
    </row>
    <row r="22" spans="1:16" ht="14.25" x14ac:dyDescent="0.2">
      <c r="A22">
        <v>24</v>
      </c>
      <c r="B22" t="s">
        <v>22</v>
      </c>
      <c r="C22" t="s">
        <v>23</v>
      </c>
      <c r="D22">
        <v>11</v>
      </c>
      <c r="E22">
        <v>2</v>
      </c>
      <c r="F22" t="s">
        <v>27</v>
      </c>
      <c r="G22">
        <v>1</v>
      </c>
      <c r="H22">
        <v>3</v>
      </c>
      <c r="I22" t="s">
        <v>30</v>
      </c>
      <c r="J22">
        <v>4011</v>
      </c>
      <c r="K22">
        <v>0</v>
      </c>
      <c r="L22">
        <v>2</v>
      </c>
      <c r="M22">
        <v>4</v>
      </c>
      <c r="N22" t="s">
        <v>20</v>
      </c>
      <c r="O22" t="s">
        <v>31</v>
      </c>
      <c r="P22">
        <v>28343940</v>
      </c>
    </row>
    <row r="23" spans="1:16" ht="14.25" x14ac:dyDescent="0.2">
      <c r="A23">
        <v>36</v>
      </c>
      <c r="B23" t="s">
        <v>16</v>
      </c>
      <c r="C23" t="s">
        <v>17</v>
      </c>
      <c r="D23">
        <v>9</v>
      </c>
      <c r="E23">
        <v>4</v>
      </c>
      <c r="F23" t="s">
        <v>18</v>
      </c>
      <c r="G23">
        <v>3</v>
      </c>
      <c r="H23">
        <v>1</v>
      </c>
      <c r="I23" t="s">
        <v>19</v>
      </c>
      <c r="J23">
        <v>3407</v>
      </c>
      <c r="K23">
        <v>7</v>
      </c>
      <c r="L23">
        <v>3</v>
      </c>
      <c r="M23">
        <v>5</v>
      </c>
      <c r="N23" t="s">
        <v>25</v>
      </c>
      <c r="O23" t="s">
        <v>34</v>
      </c>
      <c r="P23">
        <v>85073438</v>
      </c>
    </row>
    <row r="24" spans="1:16" ht="14.25" x14ac:dyDescent="0.2">
      <c r="A24">
        <v>34</v>
      </c>
      <c r="B24" t="s">
        <v>22</v>
      </c>
      <c r="C24" t="s">
        <v>23</v>
      </c>
      <c r="D24">
        <v>7</v>
      </c>
      <c r="E24">
        <v>4</v>
      </c>
      <c r="F24" t="s">
        <v>18</v>
      </c>
      <c r="G24">
        <v>1</v>
      </c>
      <c r="H24">
        <v>2</v>
      </c>
      <c r="I24" t="s">
        <v>19</v>
      </c>
      <c r="J24">
        <v>11994</v>
      </c>
      <c r="K24">
        <v>0</v>
      </c>
      <c r="L24">
        <v>3</v>
      </c>
      <c r="M24">
        <v>12</v>
      </c>
      <c r="N24" t="s">
        <v>20</v>
      </c>
      <c r="O24" t="s">
        <v>35</v>
      </c>
      <c r="P24">
        <v>77328218</v>
      </c>
    </row>
    <row r="25" spans="1:16" ht="14.25" x14ac:dyDescent="0.2">
      <c r="A25">
        <v>21</v>
      </c>
      <c r="B25" t="s">
        <v>22</v>
      </c>
      <c r="C25" t="s">
        <v>23</v>
      </c>
      <c r="D25">
        <v>15</v>
      </c>
      <c r="E25">
        <v>2</v>
      </c>
      <c r="F25" t="s">
        <v>18</v>
      </c>
      <c r="G25">
        <v>3</v>
      </c>
      <c r="H25">
        <v>4</v>
      </c>
      <c r="I25" t="s">
        <v>19</v>
      </c>
      <c r="J25">
        <v>1232</v>
      </c>
      <c r="K25">
        <v>1</v>
      </c>
      <c r="L25">
        <v>3</v>
      </c>
      <c r="M25">
        <v>0</v>
      </c>
      <c r="N25" t="s">
        <v>25</v>
      </c>
      <c r="O25" t="s">
        <v>26</v>
      </c>
      <c r="P25">
        <v>31809771</v>
      </c>
    </row>
    <row r="26" spans="1:16" ht="14.25" x14ac:dyDescent="0.2">
      <c r="A26">
        <v>34</v>
      </c>
      <c r="B26" t="s">
        <v>16</v>
      </c>
      <c r="C26" t="s">
        <v>23</v>
      </c>
      <c r="D26">
        <v>6</v>
      </c>
      <c r="E26">
        <v>1</v>
      </c>
      <c r="F26" t="s">
        <v>29</v>
      </c>
      <c r="G26">
        <v>2</v>
      </c>
      <c r="H26">
        <v>1</v>
      </c>
      <c r="I26" t="s">
        <v>19</v>
      </c>
      <c r="J26">
        <v>2960</v>
      </c>
      <c r="K26">
        <v>2</v>
      </c>
      <c r="L26">
        <v>3</v>
      </c>
      <c r="M26">
        <v>4</v>
      </c>
      <c r="N26" t="s">
        <v>25</v>
      </c>
      <c r="O26" t="s">
        <v>26</v>
      </c>
      <c r="P26">
        <v>19540912</v>
      </c>
    </row>
    <row r="27" spans="1:16" ht="14.25" x14ac:dyDescent="0.2">
      <c r="A27">
        <v>53</v>
      </c>
      <c r="B27" t="s">
        <v>22</v>
      </c>
      <c r="C27" t="s">
        <v>23</v>
      </c>
      <c r="D27">
        <v>5</v>
      </c>
      <c r="E27">
        <v>3</v>
      </c>
      <c r="F27" t="s">
        <v>27</v>
      </c>
      <c r="G27">
        <v>3</v>
      </c>
      <c r="H27">
        <v>3</v>
      </c>
      <c r="I27" t="s">
        <v>30</v>
      </c>
      <c r="J27">
        <v>19094</v>
      </c>
      <c r="K27">
        <v>4</v>
      </c>
      <c r="L27">
        <v>2</v>
      </c>
      <c r="M27">
        <v>14</v>
      </c>
      <c r="N27" t="s">
        <v>20</v>
      </c>
      <c r="O27" t="s">
        <v>33</v>
      </c>
      <c r="P27">
        <v>22563839</v>
      </c>
    </row>
    <row r="28" spans="1:16" ht="14.25" x14ac:dyDescent="0.2">
      <c r="A28">
        <v>32</v>
      </c>
      <c r="B28" t="s">
        <v>16</v>
      </c>
      <c r="C28" t="s">
        <v>23</v>
      </c>
      <c r="D28">
        <v>16</v>
      </c>
      <c r="E28">
        <v>1</v>
      </c>
      <c r="F28" t="s">
        <v>18</v>
      </c>
      <c r="G28">
        <v>2</v>
      </c>
      <c r="H28">
        <v>1</v>
      </c>
      <c r="I28" t="s">
        <v>19</v>
      </c>
      <c r="J28">
        <v>3919</v>
      </c>
      <c r="K28">
        <v>1</v>
      </c>
      <c r="L28">
        <v>3</v>
      </c>
      <c r="M28">
        <v>10</v>
      </c>
      <c r="N28" t="s">
        <v>20</v>
      </c>
      <c r="O28" t="s">
        <v>26</v>
      </c>
      <c r="P28">
        <v>63449761</v>
      </c>
    </row>
    <row r="29" spans="1:16" ht="14.25" x14ac:dyDescent="0.2">
      <c r="A29">
        <v>42</v>
      </c>
      <c r="B29" t="s">
        <v>22</v>
      </c>
      <c r="C29" t="s">
        <v>17</v>
      </c>
      <c r="D29">
        <v>8</v>
      </c>
      <c r="E29">
        <v>4</v>
      </c>
      <c r="F29" t="s">
        <v>36</v>
      </c>
      <c r="G29">
        <v>3</v>
      </c>
      <c r="H29">
        <v>2</v>
      </c>
      <c r="I29" t="s">
        <v>24</v>
      </c>
      <c r="J29">
        <v>6825</v>
      </c>
      <c r="K29">
        <v>0</v>
      </c>
      <c r="L29">
        <v>3</v>
      </c>
      <c r="M29">
        <v>9</v>
      </c>
      <c r="N29" t="s">
        <v>25</v>
      </c>
      <c r="O29" t="s">
        <v>21</v>
      </c>
      <c r="P29">
        <v>68162395</v>
      </c>
    </row>
    <row r="30" spans="1:16" ht="14.25" x14ac:dyDescent="0.2">
      <c r="A30">
        <v>44</v>
      </c>
      <c r="B30" t="s">
        <v>22</v>
      </c>
      <c r="C30" t="s">
        <v>23</v>
      </c>
      <c r="D30">
        <v>7</v>
      </c>
      <c r="E30">
        <v>4</v>
      </c>
      <c r="F30" t="s">
        <v>29</v>
      </c>
      <c r="G30">
        <v>1</v>
      </c>
      <c r="H30">
        <v>4</v>
      </c>
      <c r="I30" t="s">
        <v>24</v>
      </c>
      <c r="J30">
        <v>10248</v>
      </c>
      <c r="K30">
        <v>3</v>
      </c>
      <c r="L30">
        <v>3</v>
      </c>
      <c r="M30">
        <v>22</v>
      </c>
      <c r="N30" t="s">
        <v>20</v>
      </c>
      <c r="O30" t="s">
        <v>32</v>
      </c>
      <c r="P30">
        <v>41225497</v>
      </c>
    </row>
    <row r="31" spans="1:16" ht="14.25" x14ac:dyDescent="0.2">
      <c r="A31">
        <v>46</v>
      </c>
      <c r="B31" t="s">
        <v>22</v>
      </c>
      <c r="C31" t="s">
        <v>17</v>
      </c>
      <c r="D31">
        <v>2</v>
      </c>
      <c r="E31">
        <v>4</v>
      </c>
      <c r="F31" t="s">
        <v>36</v>
      </c>
      <c r="G31">
        <v>2</v>
      </c>
      <c r="H31">
        <v>1</v>
      </c>
      <c r="I31" t="s">
        <v>19</v>
      </c>
      <c r="J31">
        <v>18947</v>
      </c>
      <c r="K31">
        <v>3</v>
      </c>
      <c r="L31">
        <v>2</v>
      </c>
      <c r="M31">
        <v>2</v>
      </c>
      <c r="N31" t="s">
        <v>20</v>
      </c>
      <c r="O31" t="s">
        <v>33</v>
      </c>
      <c r="P31">
        <v>12900289</v>
      </c>
    </row>
    <row r="32" spans="1:16" ht="14.25" x14ac:dyDescent="0.2">
      <c r="A32">
        <v>33</v>
      </c>
      <c r="B32" t="s">
        <v>22</v>
      </c>
      <c r="C32" t="s">
        <v>23</v>
      </c>
      <c r="D32">
        <v>2</v>
      </c>
      <c r="E32">
        <v>3</v>
      </c>
      <c r="F32" t="s">
        <v>29</v>
      </c>
      <c r="G32">
        <v>3</v>
      </c>
      <c r="H32">
        <v>4</v>
      </c>
      <c r="I32" t="s">
        <v>19</v>
      </c>
      <c r="J32">
        <v>2496</v>
      </c>
      <c r="K32">
        <v>4</v>
      </c>
      <c r="L32">
        <v>3</v>
      </c>
      <c r="M32">
        <v>1</v>
      </c>
      <c r="N32" t="s">
        <v>25</v>
      </c>
      <c r="O32" t="s">
        <v>28</v>
      </c>
      <c r="P32">
        <v>24528727</v>
      </c>
    </row>
    <row r="33" spans="1:16" ht="14.25" x14ac:dyDescent="0.2">
      <c r="A33">
        <v>44</v>
      </c>
      <c r="B33" t="s">
        <v>22</v>
      </c>
      <c r="C33" t="s">
        <v>23</v>
      </c>
      <c r="D33">
        <v>10</v>
      </c>
      <c r="E33">
        <v>4</v>
      </c>
      <c r="F33" t="s">
        <v>27</v>
      </c>
      <c r="G33">
        <v>4</v>
      </c>
      <c r="H33">
        <v>4</v>
      </c>
      <c r="I33" t="s">
        <v>24</v>
      </c>
      <c r="J33">
        <v>6465</v>
      </c>
      <c r="K33">
        <v>2</v>
      </c>
      <c r="L33">
        <v>4</v>
      </c>
      <c r="M33">
        <v>4</v>
      </c>
      <c r="N33" t="s">
        <v>25</v>
      </c>
      <c r="O33" t="s">
        <v>32</v>
      </c>
      <c r="P33">
        <v>33122893</v>
      </c>
    </row>
    <row r="34" spans="1:16" ht="14.25" x14ac:dyDescent="0.2">
      <c r="A34">
        <v>30</v>
      </c>
      <c r="B34" t="s">
        <v>22</v>
      </c>
      <c r="C34" t="s">
        <v>23</v>
      </c>
      <c r="D34">
        <v>9</v>
      </c>
      <c r="E34">
        <v>2</v>
      </c>
      <c r="F34" t="s">
        <v>29</v>
      </c>
      <c r="G34">
        <v>4</v>
      </c>
      <c r="H34">
        <v>3</v>
      </c>
      <c r="I34" t="s">
        <v>19</v>
      </c>
      <c r="J34">
        <v>2206</v>
      </c>
      <c r="K34">
        <v>1</v>
      </c>
      <c r="L34">
        <v>3</v>
      </c>
      <c r="M34">
        <v>10</v>
      </c>
      <c r="N34" t="s">
        <v>25</v>
      </c>
      <c r="O34" t="s">
        <v>28</v>
      </c>
      <c r="P34">
        <v>23769257</v>
      </c>
    </row>
    <row r="35" spans="1:16" ht="14.25" x14ac:dyDescent="0.2">
      <c r="A35">
        <v>39</v>
      </c>
      <c r="B35" t="s">
        <v>16</v>
      </c>
      <c r="C35" t="s">
        <v>17</v>
      </c>
      <c r="D35">
        <v>5</v>
      </c>
      <c r="E35">
        <v>3</v>
      </c>
      <c r="F35" t="s">
        <v>37</v>
      </c>
      <c r="G35">
        <v>4</v>
      </c>
      <c r="H35">
        <v>4</v>
      </c>
      <c r="I35" t="s">
        <v>24</v>
      </c>
      <c r="J35">
        <v>2086</v>
      </c>
      <c r="K35">
        <v>3</v>
      </c>
      <c r="L35">
        <v>4</v>
      </c>
      <c r="M35">
        <v>1</v>
      </c>
      <c r="N35" t="s">
        <v>25</v>
      </c>
      <c r="O35" t="s">
        <v>34</v>
      </c>
      <c r="P35">
        <v>14060586</v>
      </c>
    </row>
    <row r="36" spans="1:16" ht="14.25" x14ac:dyDescent="0.2">
      <c r="A36">
        <v>24</v>
      </c>
      <c r="B36" t="s">
        <v>16</v>
      </c>
      <c r="C36" t="s">
        <v>23</v>
      </c>
      <c r="D36">
        <v>1</v>
      </c>
      <c r="E36">
        <v>3</v>
      </c>
      <c r="F36" t="s">
        <v>29</v>
      </c>
      <c r="G36">
        <v>2</v>
      </c>
      <c r="H36">
        <v>4</v>
      </c>
      <c r="I36" t="s">
        <v>24</v>
      </c>
      <c r="J36">
        <v>2293</v>
      </c>
      <c r="K36">
        <v>2</v>
      </c>
      <c r="L36">
        <v>2</v>
      </c>
      <c r="M36">
        <v>2</v>
      </c>
      <c r="N36" t="s">
        <v>25</v>
      </c>
      <c r="O36" t="s">
        <v>26</v>
      </c>
      <c r="P36">
        <v>80493699</v>
      </c>
    </row>
    <row r="37" spans="1:16" ht="14.25" x14ac:dyDescent="0.2">
      <c r="A37">
        <v>43</v>
      </c>
      <c r="B37" t="s">
        <v>22</v>
      </c>
      <c r="C37" t="s">
        <v>23</v>
      </c>
      <c r="D37">
        <v>2</v>
      </c>
      <c r="E37">
        <v>2</v>
      </c>
      <c r="F37" t="s">
        <v>29</v>
      </c>
      <c r="G37">
        <v>4</v>
      </c>
      <c r="H37">
        <v>3</v>
      </c>
      <c r="I37" t="s">
        <v>30</v>
      </c>
      <c r="J37">
        <v>2645</v>
      </c>
      <c r="K37">
        <v>1</v>
      </c>
      <c r="L37">
        <v>2</v>
      </c>
      <c r="M37">
        <v>5</v>
      </c>
      <c r="N37" t="s">
        <v>20</v>
      </c>
      <c r="O37" t="s">
        <v>26</v>
      </c>
      <c r="P37">
        <v>36663195</v>
      </c>
    </row>
    <row r="38" spans="1:16" ht="14.25" x14ac:dyDescent="0.2">
      <c r="A38">
        <v>50</v>
      </c>
      <c r="B38" t="s">
        <v>16</v>
      </c>
      <c r="C38" t="s">
        <v>17</v>
      </c>
      <c r="D38">
        <v>3</v>
      </c>
      <c r="E38">
        <v>2</v>
      </c>
      <c r="F38" t="s">
        <v>36</v>
      </c>
      <c r="G38">
        <v>1</v>
      </c>
      <c r="H38">
        <v>3</v>
      </c>
      <c r="I38" t="s">
        <v>24</v>
      </c>
      <c r="J38">
        <v>2683</v>
      </c>
      <c r="K38">
        <v>1</v>
      </c>
      <c r="L38">
        <v>3</v>
      </c>
      <c r="M38">
        <v>3</v>
      </c>
      <c r="N38" t="s">
        <v>25</v>
      </c>
      <c r="O38" t="s">
        <v>34</v>
      </c>
      <c r="P38">
        <v>24560198</v>
      </c>
    </row>
    <row r="39" spans="1:16" ht="14.25" x14ac:dyDescent="0.2">
      <c r="A39">
        <v>35</v>
      </c>
      <c r="B39" t="s">
        <v>22</v>
      </c>
      <c r="C39" t="s">
        <v>17</v>
      </c>
      <c r="D39">
        <v>2</v>
      </c>
      <c r="E39">
        <v>3</v>
      </c>
      <c r="F39" t="s">
        <v>36</v>
      </c>
      <c r="G39">
        <v>4</v>
      </c>
      <c r="H39">
        <v>4</v>
      </c>
      <c r="I39" t="s">
        <v>24</v>
      </c>
      <c r="J39">
        <v>2014</v>
      </c>
      <c r="K39">
        <v>1</v>
      </c>
      <c r="L39">
        <v>3</v>
      </c>
      <c r="M39">
        <v>2</v>
      </c>
      <c r="N39" t="s">
        <v>20</v>
      </c>
      <c r="O39" t="s">
        <v>34</v>
      </c>
      <c r="P39">
        <v>64007458</v>
      </c>
    </row>
    <row r="40" spans="1:16" ht="14.25" x14ac:dyDescent="0.2">
      <c r="A40">
        <v>36</v>
      </c>
      <c r="B40" t="s">
        <v>22</v>
      </c>
      <c r="C40" t="s">
        <v>23</v>
      </c>
      <c r="D40">
        <v>5</v>
      </c>
      <c r="E40">
        <v>4</v>
      </c>
      <c r="F40" t="s">
        <v>18</v>
      </c>
      <c r="G40">
        <v>2</v>
      </c>
      <c r="H40">
        <v>1</v>
      </c>
      <c r="I40" t="s">
        <v>24</v>
      </c>
      <c r="J40">
        <v>3419</v>
      </c>
      <c r="K40">
        <v>9</v>
      </c>
      <c r="L40">
        <v>4</v>
      </c>
      <c r="M40">
        <v>1</v>
      </c>
      <c r="N40" t="s">
        <v>20</v>
      </c>
      <c r="O40" t="s">
        <v>26</v>
      </c>
      <c r="P40">
        <v>30939375</v>
      </c>
    </row>
    <row r="41" spans="1:16" ht="14.25" x14ac:dyDescent="0.2">
      <c r="A41">
        <v>33</v>
      </c>
      <c r="B41" t="s">
        <v>22</v>
      </c>
      <c r="C41" t="s">
        <v>17</v>
      </c>
      <c r="D41">
        <v>1</v>
      </c>
      <c r="E41">
        <v>3</v>
      </c>
      <c r="F41" t="s">
        <v>18</v>
      </c>
      <c r="G41">
        <v>3</v>
      </c>
      <c r="H41">
        <v>1</v>
      </c>
      <c r="I41" t="s">
        <v>24</v>
      </c>
      <c r="J41">
        <v>5376</v>
      </c>
      <c r="K41">
        <v>2</v>
      </c>
      <c r="L41">
        <v>3</v>
      </c>
      <c r="M41">
        <v>5</v>
      </c>
      <c r="N41" t="s">
        <v>20</v>
      </c>
      <c r="O41" t="s">
        <v>21</v>
      </c>
      <c r="P41">
        <v>51323548</v>
      </c>
    </row>
    <row r="42" spans="1:16" ht="14.25" x14ac:dyDescent="0.2">
      <c r="A42">
        <v>35</v>
      </c>
      <c r="B42" t="s">
        <v>22</v>
      </c>
      <c r="C42" t="s">
        <v>23</v>
      </c>
      <c r="D42">
        <v>4</v>
      </c>
      <c r="E42">
        <v>2</v>
      </c>
      <c r="F42" t="s">
        <v>27</v>
      </c>
      <c r="G42">
        <v>3</v>
      </c>
      <c r="H42">
        <v>4</v>
      </c>
      <c r="I42" t="s">
        <v>30</v>
      </c>
      <c r="J42">
        <v>1951</v>
      </c>
      <c r="K42">
        <v>1</v>
      </c>
      <c r="L42">
        <v>3</v>
      </c>
      <c r="M42">
        <v>1</v>
      </c>
      <c r="N42" t="s">
        <v>25</v>
      </c>
      <c r="O42" t="s">
        <v>28</v>
      </c>
      <c r="P42">
        <v>55057357</v>
      </c>
    </row>
    <row r="43" spans="1:16" ht="14.25" x14ac:dyDescent="0.2">
      <c r="A43">
        <v>27</v>
      </c>
      <c r="B43" t="s">
        <v>22</v>
      </c>
      <c r="C43" t="s">
        <v>23</v>
      </c>
      <c r="D43">
        <v>2</v>
      </c>
      <c r="E43">
        <v>4</v>
      </c>
      <c r="F43" t="s">
        <v>18</v>
      </c>
      <c r="G43">
        <v>4</v>
      </c>
      <c r="H43">
        <v>1</v>
      </c>
      <c r="I43" t="s">
        <v>30</v>
      </c>
      <c r="J43">
        <v>2341</v>
      </c>
      <c r="K43">
        <v>1</v>
      </c>
      <c r="L43">
        <v>3</v>
      </c>
      <c r="M43">
        <v>1</v>
      </c>
      <c r="N43" t="s">
        <v>20</v>
      </c>
      <c r="O43" t="s">
        <v>28</v>
      </c>
      <c r="P43">
        <v>16986920</v>
      </c>
    </row>
    <row r="44" spans="1:16" ht="14.25" x14ac:dyDescent="0.2">
      <c r="A44">
        <v>26</v>
      </c>
      <c r="B44" t="s">
        <v>16</v>
      </c>
      <c r="C44" t="s">
        <v>23</v>
      </c>
      <c r="D44">
        <v>25</v>
      </c>
      <c r="E44">
        <v>3</v>
      </c>
      <c r="F44" t="s">
        <v>18</v>
      </c>
      <c r="G44">
        <v>1</v>
      </c>
      <c r="H44">
        <v>3</v>
      </c>
      <c r="I44" t="s">
        <v>19</v>
      </c>
      <c r="J44">
        <v>2293</v>
      </c>
      <c r="K44">
        <v>1</v>
      </c>
      <c r="L44">
        <v>2</v>
      </c>
      <c r="M44">
        <v>1</v>
      </c>
      <c r="N44" t="s">
        <v>25</v>
      </c>
      <c r="O44" t="s">
        <v>28</v>
      </c>
      <c r="P44">
        <v>88807851</v>
      </c>
    </row>
    <row r="45" spans="1:16" ht="14.25" x14ac:dyDescent="0.2">
      <c r="A45">
        <v>27</v>
      </c>
      <c r="B45" t="s">
        <v>22</v>
      </c>
      <c r="C45" t="s">
        <v>17</v>
      </c>
      <c r="D45">
        <v>8</v>
      </c>
      <c r="E45">
        <v>3</v>
      </c>
      <c r="F45" t="s">
        <v>18</v>
      </c>
      <c r="G45">
        <v>4</v>
      </c>
      <c r="H45">
        <v>3</v>
      </c>
      <c r="I45" t="s">
        <v>19</v>
      </c>
      <c r="J45">
        <v>8726</v>
      </c>
      <c r="K45">
        <v>1</v>
      </c>
      <c r="L45">
        <v>3</v>
      </c>
      <c r="M45">
        <v>9</v>
      </c>
      <c r="N45" t="s">
        <v>25</v>
      </c>
      <c r="O45" t="s">
        <v>21</v>
      </c>
      <c r="P45">
        <v>16039287</v>
      </c>
    </row>
    <row r="46" spans="1:16" ht="14.25" x14ac:dyDescent="0.2">
      <c r="A46">
        <v>30</v>
      </c>
      <c r="B46" t="s">
        <v>22</v>
      </c>
      <c r="C46" t="s">
        <v>23</v>
      </c>
      <c r="D46">
        <v>1</v>
      </c>
      <c r="E46">
        <v>2</v>
      </c>
      <c r="F46" t="s">
        <v>29</v>
      </c>
      <c r="G46">
        <v>3</v>
      </c>
      <c r="H46">
        <v>4</v>
      </c>
      <c r="I46" t="s">
        <v>19</v>
      </c>
      <c r="J46">
        <v>4011</v>
      </c>
      <c r="K46">
        <v>1</v>
      </c>
      <c r="L46">
        <v>3</v>
      </c>
      <c r="M46">
        <v>12</v>
      </c>
      <c r="N46" t="s">
        <v>20</v>
      </c>
      <c r="O46" t="s">
        <v>28</v>
      </c>
      <c r="P46">
        <v>29303442</v>
      </c>
    </row>
    <row r="47" spans="1:16" ht="14.25" x14ac:dyDescent="0.2">
      <c r="A47">
        <v>41</v>
      </c>
      <c r="B47" t="s">
        <v>16</v>
      </c>
      <c r="C47" t="s">
        <v>23</v>
      </c>
      <c r="D47">
        <v>12</v>
      </c>
      <c r="E47">
        <v>3</v>
      </c>
      <c r="F47" t="s">
        <v>37</v>
      </c>
      <c r="G47">
        <v>2</v>
      </c>
      <c r="H47">
        <v>3</v>
      </c>
      <c r="I47" t="s">
        <v>24</v>
      </c>
      <c r="J47">
        <v>19545</v>
      </c>
      <c r="K47">
        <v>1</v>
      </c>
      <c r="L47">
        <v>3</v>
      </c>
      <c r="M47">
        <v>22</v>
      </c>
      <c r="N47" t="s">
        <v>20</v>
      </c>
      <c r="O47" t="s">
        <v>35</v>
      </c>
      <c r="P47">
        <v>16844141</v>
      </c>
    </row>
    <row r="48" spans="1:16" ht="14.25" x14ac:dyDescent="0.2">
      <c r="A48">
        <v>34</v>
      </c>
      <c r="B48" t="s">
        <v>22</v>
      </c>
      <c r="C48" t="s">
        <v>17</v>
      </c>
      <c r="D48">
        <v>23</v>
      </c>
      <c r="E48">
        <v>4</v>
      </c>
      <c r="F48" t="s">
        <v>36</v>
      </c>
      <c r="G48">
        <v>2</v>
      </c>
      <c r="H48">
        <v>3</v>
      </c>
      <c r="I48" t="s">
        <v>19</v>
      </c>
      <c r="J48">
        <v>4568</v>
      </c>
      <c r="K48">
        <v>0</v>
      </c>
      <c r="L48">
        <v>3</v>
      </c>
      <c r="M48">
        <v>9</v>
      </c>
      <c r="N48" t="s">
        <v>25</v>
      </c>
      <c r="O48" t="s">
        <v>21</v>
      </c>
      <c r="P48">
        <v>26976359</v>
      </c>
    </row>
    <row r="49" spans="1:16" ht="14.25" x14ac:dyDescent="0.2">
      <c r="A49">
        <v>37</v>
      </c>
      <c r="B49" t="s">
        <v>22</v>
      </c>
      <c r="C49" t="s">
        <v>23</v>
      </c>
      <c r="D49">
        <v>19</v>
      </c>
      <c r="E49">
        <v>2</v>
      </c>
      <c r="F49" t="s">
        <v>18</v>
      </c>
      <c r="G49">
        <v>2</v>
      </c>
      <c r="H49">
        <v>2</v>
      </c>
      <c r="I49" t="s">
        <v>24</v>
      </c>
      <c r="J49">
        <v>3022</v>
      </c>
      <c r="K49">
        <v>4</v>
      </c>
      <c r="L49">
        <v>3</v>
      </c>
      <c r="M49">
        <v>1</v>
      </c>
      <c r="N49" t="s">
        <v>25</v>
      </c>
      <c r="O49" t="s">
        <v>26</v>
      </c>
      <c r="P49">
        <v>65370780</v>
      </c>
    </row>
    <row r="50" spans="1:16" ht="14.25" x14ac:dyDescent="0.2">
      <c r="A50">
        <v>46</v>
      </c>
      <c r="B50" t="s">
        <v>22</v>
      </c>
      <c r="C50" t="s">
        <v>17</v>
      </c>
      <c r="D50">
        <v>5</v>
      </c>
      <c r="E50">
        <v>4</v>
      </c>
      <c r="F50" t="s">
        <v>36</v>
      </c>
      <c r="G50">
        <v>1</v>
      </c>
      <c r="H50">
        <v>4</v>
      </c>
      <c r="I50" t="s">
        <v>19</v>
      </c>
      <c r="J50">
        <v>5772</v>
      </c>
      <c r="K50">
        <v>4</v>
      </c>
      <c r="L50">
        <v>3</v>
      </c>
      <c r="M50">
        <v>9</v>
      </c>
      <c r="N50" t="s">
        <v>25</v>
      </c>
      <c r="O50" t="s">
        <v>21</v>
      </c>
      <c r="P50">
        <v>47467991</v>
      </c>
    </row>
    <row r="51" spans="1:16" ht="14.25" x14ac:dyDescent="0.2">
      <c r="A51">
        <v>35</v>
      </c>
      <c r="B51" t="s">
        <v>22</v>
      </c>
      <c r="C51" t="s">
        <v>23</v>
      </c>
      <c r="D51">
        <v>8</v>
      </c>
      <c r="E51">
        <v>1</v>
      </c>
      <c r="F51" t="s">
        <v>18</v>
      </c>
      <c r="G51">
        <v>4</v>
      </c>
      <c r="H51">
        <v>4</v>
      </c>
      <c r="I51" t="s">
        <v>24</v>
      </c>
      <c r="J51">
        <v>2269</v>
      </c>
      <c r="K51">
        <v>1</v>
      </c>
      <c r="L51">
        <v>3</v>
      </c>
      <c r="M51">
        <v>1</v>
      </c>
      <c r="N51" t="s">
        <v>25</v>
      </c>
      <c r="O51" t="s">
        <v>28</v>
      </c>
      <c r="P51">
        <v>10041098</v>
      </c>
    </row>
    <row r="52" spans="1:16" ht="14.25" x14ac:dyDescent="0.2">
      <c r="A52">
        <v>48</v>
      </c>
      <c r="B52" t="s">
        <v>16</v>
      </c>
      <c r="C52" t="s">
        <v>23</v>
      </c>
      <c r="D52">
        <v>1</v>
      </c>
      <c r="E52">
        <v>2</v>
      </c>
      <c r="F52" t="s">
        <v>18</v>
      </c>
      <c r="G52">
        <v>1</v>
      </c>
      <c r="H52">
        <v>3</v>
      </c>
      <c r="I52" t="s">
        <v>19</v>
      </c>
      <c r="J52">
        <v>5381</v>
      </c>
      <c r="K52">
        <v>9</v>
      </c>
      <c r="L52">
        <v>3</v>
      </c>
      <c r="M52">
        <v>1</v>
      </c>
      <c r="N52" t="s">
        <v>25</v>
      </c>
      <c r="O52" t="s">
        <v>28</v>
      </c>
      <c r="P52">
        <v>54798524</v>
      </c>
    </row>
    <row r="53" spans="1:16" ht="14.25" x14ac:dyDescent="0.2">
      <c r="A53">
        <v>28</v>
      </c>
      <c r="B53" t="s">
        <v>16</v>
      </c>
      <c r="C53" t="s">
        <v>23</v>
      </c>
      <c r="D53">
        <v>5</v>
      </c>
      <c r="E53">
        <v>4</v>
      </c>
      <c r="F53" t="s">
        <v>37</v>
      </c>
      <c r="G53">
        <v>3</v>
      </c>
      <c r="H53">
        <v>3</v>
      </c>
      <c r="I53" t="s">
        <v>19</v>
      </c>
      <c r="J53">
        <v>3441</v>
      </c>
      <c r="K53">
        <v>1</v>
      </c>
      <c r="L53">
        <v>2</v>
      </c>
      <c r="M53">
        <v>2</v>
      </c>
      <c r="N53" t="s">
        <v>25</v>
      </c>
      <c r="O53" t="s">
        <v>28</v>
      </c>
      <c r="P53">
        <v>82129368</v>
      </c>
    </row>
    <row r="54" spans="1:16" ht="14.25" x14ac:dyDescent="0.2">
      <c r="A54">
        <v>44</v>
      </c>
      <c r="B54" t="s">
        <v>22</v>
      </c>
      <c r="C54" t="s">
        <v>17</v>
      </c>
      <c r="D54">
        <v>1</v>
      </c>
      <c r="E54">
        <v>5</v>
      </c>
      <c r="F54" t="s">
        <v>36</v>
      </c>
      <c r="G54">
        <v>2</v>
      </c>
      <c r="H54">
        <v>1</v>
      </c>
      <c r="I54" t="s">
        <v>30</v>
      </c>
      <c r="J54">
        <v>5454</v>
      </c>
      <c r="K54">
        <v>5</v>
      </c>
      <c r="L54">
        <v>2</v>
      </c>
      <c r="M54">
        <v>4</v>
      </c>
      <c r="N54" t="s">
        <v>20</v>
      </c>
      <c r="O54" t="s">
        <v>21</v>
      </c>
      <c r="P54">
        <v>79887047</v>
      </c>
    </row>
    <row r="55" spans="1:16" ht="14.25" x14ac:dyDescent="0.2">
      <c r="A55">
        <v>35</v>
      </c>
      <c r="B55" t="s">
        <v>22</v>
      </c>
      <c r="C55" t="s">
        <v>23</v>
      </c>
      <c r="D55">
        <v>11</v>
      </c>
      <c r="E55">
        <v>2</v>
      </c>
      <c r="F55" t="s">
        <v>29</v>
      </c>
      <c r="G55">
        <v>3</v>
      </c>
      <c r="H55">
        <v>1</v>
      </c>
      <c r="I55" t="s">
        <v>24</v>
      </c>
      <c r="J55">
        <v>9884</v>
      </c>
      <c r="K55">
        <v>2</v>
      </c>
      <c r="L55">
        <v>3</v>
      </c>
      <c r="M55">
        <v>4</v>
      </c>
      <c r="N55" t="s">
        <v>25</v>
      </c>
      <c r="O55" t="s">
        <v>32</v>
      </c>
      <c r="P55">
        <v>35902546</v>
      </c>
    </row>
    <row r="56" spans="1:16" ht="14.25" x14ac:dyDescent="0.2">
      <c r="A56">
        <v>26</v>
      </c>
      <c r="B56" t="s">
        <v>22</v>
      </c>
      <c r="C56" t="s">
        <v>17</v>
      </c>
      <c r="D56">
        <v>23</v>
      </c>
      <c r="E56">
        <v>3</v>
      </c>
      <c r="F56" t="s">
        <v>36</v>
      </c>
      <c r="G56">
        <v>3</v>
      </c>
      <c r="H56">
        <v>4</v>
      </c>
      <c r="I56" t="s">
        <v>24</v>
      </c>
      <c r="J56">
        <v>4157</v>
      </c>
      <c r="K56">
        <v>7</v>
      </c>
      <c r="L56">
        <v>2</v>
      </c>
      <c r="M56">
        <v>2</v>
      </c>
      <c r="N56" t="s">
        <v>20</v>
      </c>
      <c r="O56" t="s">
        <v>21</v>
      </c>
      <c r="P56">
        <v>36731955</v>
      </c>
    </row>
    <row r="57" spans="1:16" ht="14.25" x14ac:dyDescent="0.2">
      <c r="A57">
        <v>33</v>
      </c>
      <c r="B57" t="s">
        <v>22</v>
      </c>
      <c r="C57" t="s">
        <v>23</v>
      </c>
      <c r="D57">
        <v>1</v>
      </c>
      <c r="E57">
        <v>2</v>
      </c>
      <c r="F57" t="s">
        <v>18</v>
      </c>
      <c r="G57">
        <v>1</v>
      </c>
      <c r="H57">
        <v>4</v>
      </c>
      <c r="I57" t="s">
        <v>19</v>
      </c>
      <c r="J57">
        <v>13458</v>
      </c>
      <c r="K57">
        <v>1</v>
      </c>
      <c r="L57">
        <v>3</v>
      </c>
      <c r="M57">
        <v>15</v>
      </c>
      <c r="N57" t="s">
        <v>20</v>
      </c>
      <c r="O57" t="s">
        <v>35</v>
      </c>
      <c r="P57">
        <v>45224123</v>
      </c>
    </row>
    <row r="58" spans="1:16" ht="14.25" x14ac:dyDescent="0.2">
      <c r="A58">
        <v>35</v>
      </c>
      <c r="B58" t="s">
        <v>22</v>
      </c>
      <c r="C58" t="s">
        <v>17</v>
      </c>
      <c r="D58">
        <v>18</v>
      </c>
      <c r="E58">
        <v>5</v>
      </c>
      <c r="F58" t="s">
        <v>18</v>
      </c>
      <c r="G58">
        <v>2</v>
      </c>
      <c r="H58">
        <v>1</v>
      </c>
      <c r="I58" t="s">
        <v>24</v>
      </c>
      <c r="J58">
        <v>9069</v>
      </c>
      <c r="K58">
        <v>1</v>
      </c>
      <c r="L58">
        <v>2</v>
      </c>
      <c r="M58">
        <v>9</v>
      </c>
      <c r="N58" t="s">
        <v>25</v>
      </c>
      <c r="O58" t="s">
        <v>21</v>
      </c>
      <c r="P58">
        <v>31281075</v>
      </c>
    </row>
    <row r="59" spans="1:16" ht="14.25" x14ac:dyDescent="0.2">
      <c r="A59">
        <v>35</v>
      </c>
      <c r="B59" t="s">
        <v>22</v>
      </c>
      <c r="C59" t="s">
        <v>23</v>
      </c>
      <c r="D59">
        <v>23</v>
      </c>
      <c r="E59">
        <v>4</v>
      </c>
      <c r="F59" t="s">
        <v>29</v>
      </c>
      <c r="G59">
        <v>3</v>
      </c>
      <c r="H59">
        <v>1</v>
      </c>
      <c r="I59" t="s">
        <v>24</v>
      </c>
      <c r="J59">
        <v>4014</v>
      </c>
      <c r="K59">
        <v>3</v>
      </c>
      <c r="L59">
        <v>3</v>
      </c>
      <c r="M59">
        <v>2</v>
      </c>
      <c r="N59" t="s">
        <v>20</v>
      </c>
      <c r="O59" t="s">
        <v>28</v>
      </c>
      <c r="P59">
        <v>32086156</v>
      </c>
    </row>
    <row r="60" spans="1:16" ht="14.25" x14ac:dyDescent="0.2">
      <c r="A60">
        <v>31</v>
      </c>
      <c r="B60" t="s">
        <v>22</v>
      </c>
      <c r="C60" t="s">
        <v>23</v>
      </c>
      <c r="D60">
        <v>7</v>
      </c>
      <c r="E60">
        <v>4</v>
      </c>
      <c r="F60" t="s">
        <v>18</v>
      </c>
      <c r="G60">
        <v>4</v>
      </c>
      <c r="H60">
        <v>4</v>
      </c>
      <c r="I60" t="s">
        <v>30</v>
      </c>
      <c r="J60">
        <v>5915</v>
      </c>
      <c r="K60">
        <v>3</v>
      </c>
      <c r="L60">
        <v>2</v>
      </c>
      <c r="M60">
        <v>7</v>
      </c>
      <c r="N60" t="s">
        <v>25</v>
      </c>
      <c r="O60" t="s">
        <v>28</v>
      </c>
      <c r="P60">
        <v>36680747</v>
      </c>
    </row>
    <row r="61" spans="1:16" ht="14.25" x14ac:dyDescent="0.2">
      <c r="A61">
        <v>37</v>
      </c>
      <c r="B61" t="s">
        <v>22</v>
      </c>
      <c r="C61" t="s">
        <v>23</v>
      </c>
      <c r="D61">
        <v>1</v>
      </c>
      <c r="E61">
        <v>4</v>
      </c>
      <c r="F61" t="s">
        <v>18</v>
      </c>
      <c r="G61">
        <v>1</v>
      </c>
      <c r="H61">
        <v>3</v>
      </c>
      <c r="I61" t="s">
        <v>30</v>
      </c>
      <c r="J61">
        <v>5993</v>
      </c>
      <c r="K61">
        <v>1</v>
      </c>
      <c r="L61">
        <v>4</v>
      </c>
      <c r="M61">
        <v>7</v>
      </c>
      <c r="N61" t="s">
        <v>25</v>
      </c>
      <c r="O61" t="s">
        <v>31</v>
      </c>
      <c r="P61">
        <v>48950818</v>
      </c>
    </row>
    <row r="62" spans="1:16" ht="14.25" x14ac:dyDescent="0.2">
      <c r="A62">
        <v>32</v>
      </c>
      <c r="B62" t="s">
        <v>22</v>
      </c>
      <c r="C62" t="s">
        <v>23</v>
      </c>
      <c r="D62">
        <v>1</v>
      </c>
      <c r="E62">
        <v>3</v>
      </c>
      <c r="F62" t="s">
        <v>29</v>
      </c>
      <c r="G62">
        <v>1</v>
      </c>
      <c r="H62">
        <v>4</v>
      </c>
      <c r="I62" t="s">
        <v>24</v>
      </c>
      <c r="J62">
        <v>6162</v>
      </c>
      <c r="K62">
        <v>1</v>
      </c>
      <c r="L62">
        <v>3</v>
      </c>
      <c r="M62">
        <v>9</v>
      </c>
      <c r="N62" t="s">
        <v>25</v>
      </c>
      <c r="O62" t="s">
        <v>31</v>
      </c>
      <c r="P62">
        <v>49713929</v>
      </c>
    </row>
    <row r="63" spans="1:16" ht="14.25" x14ac:dyDescent="0.2">
      <c r="A63">
        <v>38</v>
      </c>
      <c r="B63" t="s">
        <v>22</v>
      </c>
      <c r="C63" t="s">
        <v>23</v>
      </c>
      <c r="D63">
        <v>29</v>
      </c>
      <c r="E63">
        <v>5</v>
      </c>
      <c r="F63" t="s">
        <v>18</v>
      </c>
      <c r="G63">
        <v>4</v>
      </c>
      <c r="H63">
        <v>4</v>
      </c>
      <c r="I63" t="s">
        <v>19</v>
      </c>
      <c r="J63">
        <v>2406</v>
      </c>
      <c r="K63">
        <v>1</v>
      </c>
      <c r="L63">
        <v>3</v>
      </c>
      <c r="M63">
        <v>10</v>
      </c>
      <c r="N63" t="s">
        <v>20</v>
      </c>
      <c r="O63" t="s">
        <v>28</v>
      </c>
      <c r="P63">
        <v>52055487</v>
      </c>
    </row>
    <row r="64" spans="1:16" ht="14.25" x14ac:dyDescent="0.2">
      <c r="A64">
        <v>50</v>
      </c>
      <c r="B64" t="s">
        <v>22</v>
      </c>
      <c r="C64" t="s">
        <v>23</v>
      </c>
      <c r="D64">
        <v>7</v>
      </c>
      <c r="E64">
        <v>2</v>
      </c>
      <c r="F64" t="s">
        <v>29</v>
      </c>
      <c r="G64">
        <v>2</v>
      </c>
      <c r="H64">
        <v>3</v>
      </c>
      <c r="I64" t="s">
        <v>30</v>
      </c>
      <c r="J64">
        <v>18740</v>
      </c>
      <c r="K64">
        <v>5</v>
      </c>
      <c r="L64">
        <v>2</v>
      </c>
      <c r="M64">
        <v>27</v>
      </c>
      <c r="N64" t="s">
        <v>20</v>
      </c>
      <c r="O64" t="s">
        <v>35</v>
      </c>
      <c r="P64">
        <v>67483153</v>
      </c>
    </row>
    <row r="65" spans="1:16" ht="14.25" x14ac:dyDescent="0.2">
      <c r="A65">
        <v>59</v>
      </c>
      <c r="B65" t="s">
        <v>22</v>
      </c>
      <c r="C65" t="s">
        <v>17</v>
      </c>
      <c r="D65">
        <v>25</v>
      </c>
      <c r="E65">
        <v>3</v>
      </c>
      <c r="F65" t="s">
        <v>18</v>
      </c>
      <c r="G65">
        <v>1</v>
      </c>
      <c r="H65">
        <v>1</v>
      </c>
      <c r="I65" t="s">
        <v>19</v>
      </c>
      <c r="J65">
        <v>7637</v>
      </c>
      <c r="K65">
        <v>7</v>
      </c>
      <c r="L65">
        <v>2</v>
      </c>
      <c r="M65">
        <v>21</v>
      </c>
      <c r="N65" t="s">
        <v>20</v>
      </c>
      <c r="O65" t="s">
        <v>21</v>
      </c>
      <c r="P65">
        <v>44378664</v>
      </c>
    </row>
    <row r="66" spans="1:16" ht="14.25" x14ac:dyDescent="0.2">
      <c r="A66">
        <v>36</v>
      </c>
      <c r="B66" t="s">
        <v>22</v>
      </c>
      <c r="C66" t="s">
        <v>23</v>
      </c>
      <c r="D66">
        <v>8</v>
      </c>
      <c r="E66">
        <v>3</v>
      </c>
      <c r="F66" t="s">
        <v>37</v>
      </c>
      <c r="G66">
        <v>3</v>
      </c>
      <c r="H66">
        <v>3</v>
      </c>
      <c r="I66" t="s">
        <v>30</v>
      </c>
      <c r="J66">
        <v>10096</v>
      </c>
      <c r="K66">
        <v>1</v>
      </c>
      <c r="L66">
        <v>3</v>
      </c>
      <c r="M66">
        <v>17</v>
      </c>
      <c r="N66" t="s">
        <v>20</v>
      </c>
      <c r="O66" t="s">
        <v>32</v>
      </c>
      <c r="P66">
        <v>37851200</v>
      </c>
    </row>
    <row r="67" spans="1:16" ht="14.25" x14ac:dyDescent="0.2">
      <c r="A67">
        <v>55</v>
      </c>
      <c r="B67" t="s">
        <v>22</v>
      </c>
      <c r="C67" t="s">
        <v>23</v>
      </c>
      <c r="D67">
        <v>8</v>
      </c>
      <c r="E67">
        <v>3</v>
      </c>
      <c r="F67" t="s">
        <v>29</v>
      </c>
      <c r="G67">
        <v>4</v>
      </c>
      <c r="H67">
        <v>3</v>
      </c>
      <c r="I67" t="s">
        <v>30</v>
      </c>
      <c r="J67">
        <v>14756</v>
      </c>
      <c r="K67">
        <v>2</v>
      </c>
      <c r="L67">
        <v>3</v>
      </c>
      <c r="M67">
        <v>5</v>
      </c>
      <c r="N67" t="s">
        <v>20</v>
      </c>
      <c r="O67" t="s">
        <v>33</v>
      </c>
      <c r="P67">
        <v>81609955</v>
      </c>
    </row>
    <row r="68" spans="1:16" ht="14.25" x14ac:dyDescent="0.2">
      <c r="A68">
        <v>36</v>
      </c>
      <c r="B68" t="s">
        <v>22</v>
      </c>
      <c r="C68" t="s">
        <v>23</v>
      </c>
      <c r="D68">
        <v>11</v>
      </c>
      <c r="E68">
        <v>3</v>
      </c>
      <c r="F68" t="s">
        <v>18</v>
      </c>
      <c r="G68">
        <v>2</v>
      </c>
      <c r="H68">
        <v>2</v>
      </c>
      <c r="I68" t="s">
        <v>19</v>
      </c>
      <c r="J68">
        <v>6499</v>
      </c>
      <c r="K68">
        <v>1</v>
      </c>
      <c r="L68">
        <v>3</v>
      </c>
      <c r="M68">
        <v>6</v>
      </c>
      <c r="N68" t="s">
        <v>25</v>
      </c>
      <c r="O68" t="s">
        <v>31</v>
      </c>
      <c r="P68">
        <v>73780446</v>
      </c>
    </row>
    <row r="69" spans="1:16" ht="14.25" x14ac:dyDescent="0.2">
      <c r="A69">
        <v>45</v>
      </c>
      <c r="B69" t="s">
        <v>22</v>
      </c>
      <c r="C69" t="s">
        <v>23</v>
      </c>
      <c r="D69">
        <v>7</v>
      </c>
      <c r="E69">
        <v>3</v>
      </c>
      <c r="F69" t="s">
        <v>18</v>
      </c>
      <c r="G69">
        <v>2</v>
      </c>
      <c r="H69">
        <v>1</v>
      </c>
      <c r="I69" t="s">
        <v>30</v>
      </c>
      <c r="J69">
        <v>9724</v>
      </c>
      <c r="K69">
        <v>2</v>
      </c>
      <c r="L69">
        <v>3</v>
      </c>
      <c r="M69">
        <v>1</v>
      </c>
      <c r="N69" t="s">
        <v>25</v>
      </c>
      <c r="O69" t="s">
        <v>26</v>
      </c>
      <c r="P69">
        <v>14316835</v>
      </c>
    </row>
    <row r="70" spans="1:16" ht="14.25" x14ac:dyDescent="0.2">
      <c r="A70">
        <v>35</v>
      </c>
      <c r="B70" t="s">
        <v>22</v>
      </c>
      <c r="C70" t="s">
        <v>23</v>
      </c>
      <c r="D70">
        <v>1</v>
      </c>
      <c r="E70">
        <v>3</v>
      </c>
      <c r="F70" t="s">
        <v>29</v>
      </c>
      <c r="G70">
        <v>2</v>
      </c>
      <c r="H70">
        <v>1</v>
      </c>
      <c r="I70" t="s">
        <v>24</v>
      </c>
      <c r="J70">
        <v>2194</v>
      </c>
      <c r="K70">
        <v>4</v>
      </c>
      <c r="L70">
        <v>2</v>
      </c>
      <c r="M70">
        <v>3</v>
      </c>
      <c r="N70" t="s">
        <v>25</v>
      </c>
      <c r="O70" t="s">
        <v>26</v>
      </c>
      <c r="P70">
        <v>86321277</v>
      </c>
    </row>
    <row r="71" spans="1:16" ht="14.25" x14ac:dyDescent="0.2">
      <c r="A71">
        <v>36</v>
      </c>
      <c r="B71" t="s">
        <v>16</v>
      </c>
      <c r="C71" t="s">
        <v>23</v>
      </c>
      <c r="D71">
        <v>9</v>
      </c>
      <c r="E71">
        <v>3</v>
      </c>
      <c r="F71" t="s">
        <v>29</v>
      </c>
      <c r="G71">
        <v>4</v>
      </c>
      <c r="H71">
        <v>3</v>
      </c>
      <c r="I71" t="s">
        <v>24</v>
      </c>
      <c r="J71">
        <v>3388</v>
      </c>
      <c r="K71">
        <v>0</v>
      </c>
      <c r="L71">
        <v>2</v>
      </c>
      <c r="M71">
        <v>1</v>
      </c>
      <c r="N71" t="s">
        <v>25</v>
      </c>
      <c r="O71" t="s">
        <v>26</v>
      </c>
      <c r="P71">
        <v>64519051</v>
      </c>
    </row>
    <row r="72" spans="1:16" ht="14.25" x14ac:dyDescent="0.2">
      <c r="A72">
        <v>59</v>
      </c>
      <c r="B72" t="s">
        <v>22</v>
      </c>
      <c r="C72" t="s">
        <v>17</v>
      </c>
      <c r="D72">
        <v>1</v>
      </c>
      <c r="E72">
        <v>1</v>
      </c>
      <c r="F72" t="s">
        <v>18</v>
      </c>
      <c r="G72">
        <v>1</v>
      </c>
      <c r="H72">
        <v>3</v>
      </c>
      <c r="I72" t="s">
        <v>19</v>
      </c>
      <c r="J72">
        <v>5473</v>
      </c>
      <c r="K72">
        <v>7</v>
      </c>
      <c r="L72">
        <v>2</v>
      </c>
      <c r="M72">
        <v>4</v>
      </c>
      <c r="N72" t="s">
        <v>20</v>
      </c>
      <c r="O72" t="s">
        <v>21</v>
      </c>
      <c r="P72">
        <v>36060947</v>
      </c>
    </row>
    <row r="73" spans="1:16" ht="14.25" x14ac:dyDescent="0.2">
      <c r="A73">
        <v>29</v>
      </c>
      <c r="B73" t="s">
        <v>22</v>
      </c>
      <c r="C73" t="s">
        <v>23</v>
      </c>
      <c r="D73">
        <v>2</v>
      </c>
      <c r="E73">
        <v>3</v>
      </c>
      <c r="F73" t="s">
        <v>18</v>
      </c>
      <c r="G73">
        <v>3</v>
      </c>
      <c r="H73">
        <v>2</v>
      </c>
      <c r="I73" t="s">
        <v>24</v>
      </c>
      <c r="J73">
        <v>2703</v>
      </c>
      <c r="K73">
        <v>0</v>
      </c>
      <c r="L73">
        <v>3</v>
      </c>
      <c r="M73">
        <v>5</v>
      </c>
      <c r="N73" t="s">
        <v>25</v>
      </c>
      <c r="O73" t="s">
        <v>26</v>
      </c>
      <c r="P73">
        <v>18134134</v>
      </c>
    </row>
    <row r="74" spans="1:16" ht="14.25" x14ac:dyDescent="0.2">
      <c r="A74">
        <v>31</v>
      </c>
      <c r="B74" t="s">
        <v>22</v>
      </c>
      <c r="C74" t="s">
        <v>23</v>
      </c>
      <c r="D74">
        <v>1</v>
      </c>
      <c r="E74">
        <v>4</v>
      </c>
      <c r="F74" t="s">
        <v>29</v>
      </c>
      <c r="G74">
        <v>3</v>
      </c>
      <c r="H74">
        <v>2</v>
      </c>
      <c r="I74" t="s">
        <v>19</v>
      </c>
      <c r="J74">
        <v>2501</v>
      </c>
      <c r="K74">
        <v>1</v>
      </c>
      <c r="L74">
        <v>3</v>
      </c>
      <c r="M74">
        <v>1</v>
      </c>
      <c r="N74" t="s">
        <v>25</v>
      </c>
      <c r="O74" t="s">
        <v>26</v>
      </c>
      <c r="P74">
        <v>32968032</v>
      </c>
    </row>
    <row r="75" spans="1:16" ht="14.25" x14ac:dyDescent="0.2">
      <c r="A75">
        <v>32</v>
      </c>
      <c r="B75" t="s">
        <v>22</v>
      </c>
      <c r="C75" t="s">
        <v>23</v>
      </c>
      <c r="D75">
        <v>1</v>
      </c>
      <c r="E75">
        <v>3</v>
      </c>
      <c r="F75" t="s">
        <v>18</v>
      </c>
      <c r="G75">
        <v>2</v>
      </c>
      <c r="H75">
        <v>2</v>
      </c>
      <c r="I75" t="s">
        <v>24</v>
      </c>
      <c r="J75">
        <v>6220</v>
      </c>
      <c r="K75">
        <v>1</v>
      </c>
      <c r="L75">
        <v>3</v>
      </c>
      <c r="M75">
        <v>10</v>
      </c>
      <c r="N75" t="s">
        <v>25</v>
      </c>
      <c r="O75" t="s">
        <v>26</v>
      </c>
      <c r="P75">
        <v>55568284</v>
      </c>
    </row>
    <row r="76" spans="1:16" ht="14.25" x14ac:dyDescent="0.2">
      <c r="A76">
        <v>36</v>
      </c>
      <c r="B76" t="s">
        <v>22</v>
      </c>
      <c r="C76" t="s">
        <v>23</v>
      </c>
      <c r="D76">
        <v>6</v>
      </c>
      <c r="E76">
        <v>3</v>
      </c>
      <c r="F76" t="s">
        <v>18</v>
      </c>
      <c r="G76">
        <v>2</v>
      </c>
      <c r="H76">
        <v>4</v>
      </c>
      <c r="I76" t="s">
        <v>24</v>
      </c>
      <c r="J76">
        <v>3038</v>
      </c>
      <c r="K76">
        <v>3</v>
      </c>
      <c r="L76">
        <v>3</v>
      </c>
      <c r="M76">
        <v>1</v>
      </c>
      <c r="N76" t="s">
        <v>20</v>
      </c>
      <c r="O76" t="s">
        <v>28</v>
      </c>
      <c r="P76">
        <v>79437038</v>
      </c>
    </row>
    <row r="77" spans="1:16" ht="14.25" x14ac:dyDescent="0.2">
      <c r="A77">
        <v>31</v>
      </c>
      <c r="B77" t="s">
        <v>22</v>
      </c>
      <c r="C77" t="s">
        <v>23</v>
      </c>
      <c r="D77">
        <v>8</v>
      </c>
      <c r="E77">
        <v>4</v>
      </c>
      <c r="F77" t="s">
        <v>18</v>
      </c>
      <c r="G77">
        <v>3</v>
      </c>
      <c r="H77">
        <v>4</v>
      </c>
      <c r="I77" t="s">
        <v>19</v>
      </c>
      <c r="J77">
        <v>4424</v>
      </c>
      <c r="K77">
        <v>1</v>
      </c>
      <c r="L77">
        <v>3</v>
      </c>
      <c r="M77">
        <v>11</v>
      </c>
      <c r="N77" t="s">
        <v>20</v>
      </c>
      <c r="O77" t="s">
        <v>31</v>
      </c>
      <c r="P77">
        <v>88408940</v>
      </c>
    </row>
    <row r="78" spans="1:16" ht="14.25" x14ac:dyDescent="0.2">
      <c r="A78">
        <v>35</v>
      </c>
      <c r="B78" t="s">
        <v>22</v>
      </c>
      <c r="C78" t="s">
        <v>17</v>
      </c>
      <c r="D78">
        <v>1</v>
      </c>
      <c r="E78">
        <v>4</v>
      </c>
      <c r="F78" t="s">
        <v>36</v>
      </c>
      <c r="G78">
        <v>3</v>
      </c>
      <c r="H78">
        <v>1</v>
      </c>
      <c r="I78" t="s">
        <v>19</v>
      </c>
      <c r="J78">
        <v>4312</v>
      </c>
      <c r="K78">
        <v>0</v>
      </c>
      <c r="L78">
        <v>3</v>
      </c>
      <c r="M78">
        <v>15</v>
      </c>
      <c r="N78" t="s">
        <v>25</v>
      </c>
      <c r="O78" t="s">
        <v>21</v>
      </c>
      <c r="P78">
        <v>88167069</v>
      </c>
    </row>
    <row r="79" spans="1:16" ht="14.25" x14ac:dyDescent="0.2">
      <c r="A79">
        <v>45</v>
      </c>
      <c r="B79" t="s">
        <v>22</v>
      </c>
      <c r="C79" t="s">
        <v>23</v>
      </c>
      <c r="D79">
        <v>6</v>
      </c>
      <c r="E79">
        <v>4</v>
      </c>
      <c r="F79" t="s">
        <v>27</v>
      </c>
      <c r="G79">
        <v>4</v>
      </c>
      <c r="H79">
        <v>1</v>
      </c>
      <c r="I79" t="s">
        <v>24</v>
      </c>
      <c r="J79">
        <v>13245</v>
      </c>
      <c r="K79">
        <v>4</v>
      </c>
      <c r="L79">
        <v>4</v>
      </c>
      <c r="M79">
        <v>0</v>
      </c>
      <c r="N79" t="s">
        <v>25</v>
      </c>
      <c r="O79" t="s">
        <v>35</v>
      </c>
      <c r="P79">
        <v>51195072</v>
      </c>
    </row>
    <row r="80" spans="1:16" ht="14.25" x14ac:dyDescent="0.2">
      <c r="A80">
        <v>37</v>
      </c>
      <c r="B80" t="s">
        <v>22</v>
      </c>
      <c r="C80" t="s">
        <v>23</v>
      </c>
      <c r="D80">
        <v>7</v>
      </c>
      <c r="E80">
        <v>4</v>
      </c>
      <c r="F80" t="s">
        <v>29</v>
      </c>
      <c r="G80">
        <v>1</v>
      </c>
      <c r="H80">
        <v>3</v>
      </c>
      <c r="I80" t="s">
        <v>19</v>
      </c>
      <c r="J80">
        <v>13664</v>
      </c>
      <c r="K80">
        <v>4</v>
      </c>
      <c r="L80">
        <v>4</v>
      </c>
      <c r="M80">
        <v>5</v>
      </c>
      <c r="N80" t="s">
        <v>25</v>
      </c>
      <c r="O80" t="s">
        <v>35</v>
      </c>
      <c r="P80">
        <v>61456560</v>
      </c>
    </row>
    <row r="81" spans="1:16" ht="14.25" x14ac:dyDescent="0.2">
      <c r="A81">
        <v>46</v>
      </c>
      <c r="B81" t="s">
        <v>22</v>
      </c>
      <c r="C81" t="s">
        <v>38</v>
      </c>
      <c r="D81">
        <v>5</v>
      </c>
      <c r="E81">
        <v>2</v>
      </c>
      <c r="F81" t="s">
        <v>29</v>
      </c>
      <c r="G81">
        <v>2</v>
      </c>
      <c r="H81">
        <v>2</v>
      </c>
      <c r="I81" t="s">
        <v>30</v>
      </c>
      <c r="J81">
        <v>5021</v>
      </c>
      <c r="K81">
        <v>8</v>
      </c>
      <c r="L81">
        <v>3</v>
      </c>
      <c r="M81">
        <v>4</v>
      </c>
      <c r="N81" t="s">
        <v>25</v>
      </c>
      <c r="O81" t="s">
        <v>38</v>
      </c>
      <c r="P81">
        <v>87024060</v>
      </c>
    </row>
    <row r="82" spans="1:16" ht="14.25" x14ac:dyDescent="0.2">
      <c r="A82">
        <v>30</v>
      </c>
      <c r="B82" t="s">
        <v>22</v>
      </c>
      <c r="C82" t="s">
        <v>23</v>
      </c>
      <c r="D82">
        <v>1</v>
      </c>
      <c r="E82">
        <v>1</v>
      </c>
      <c r="F82" t="s">
        <v>18</v>
      </c>
      <c r="G82">
        <v>4</v>
      </c>
      <c r="H82">
        <v>4</v>
      </c>
      <c r="I82" t="s">
        <v>24</v>
      </c>
      <c r="J82">
        <v>5126</v>
      </c>
      <c r="K82">
        <v>1</v>
      </c>
      <c r="L82">
        <v>2</v>
      </c>
      <c r="M82">
        <v>10</v>
      </c>
      <c r="N82" t="s">
        <v>25</v>
      </c>
      <c r="O82" t="s">
        <v>28</v>
      </c>
      <c r="P82">
        <v>75028314</v>
      </c>
    </row>
    <row r="83" spans="1:16" ht="14.25" x14ac:dyDescent="0.2">
      <c r="A83">
        <v>35</v>
      </c>
      <c r="B83" t="s">
        <v>22</v>
      </c>
      <c r="C83" t="s">
        <v>23</v>
      </c>
      <c r="D83">
        <v>1</v>
      </c>
      <c r="E83">
        <v>3</v>
      </c>
      <c r="F83" t="s">
        <v>29</v>
      </c>
      <c r="G83">
        <v>2</v>
      </c>
      <c r="H83">
        <v>3</v>
      </c>
      <c r="I83" t="s">
        <v>19</v>
      </c>
      <c r="J83">
        <v>2859</v>
      </c>
      <c r="K83">
        <v>1</v>
      </c>
      <c r="L83">
        <v>3</v>
      </c>
      <c r="M83">
        <v>6</v>
      </c>
      <c r="N83" t="s">
        <v>25</v>
      </c>
      <c r="O83" t="s">
        <v>26</v>
      </c>
      <c r="P83">
        <v>83683952</v>
      </c>
    </row>
    <row r="84" spans="1:16" ht="14.25" x14ac:dyDescent="0.2">
      <c r="A84">
        <v>55</v>
      </c>
      <c r="B84" t="s">
        <v>22</v>
      </c>
      <c r="C84" t="s">
        <v>17</v>
      </c>
      <c r="D84">
        <v>1</v>
      </c>
      <c r="E84">
        <v>2</v>
      </c>
      <c r="F84" t="s">
        <v>18</v>
      </c>
      <c r="G84">
        <v>1</v>
      </c>
      <c r="H84">
        <v>4</v>
      </c>
      <c r="I84" t="s">
        <v>24</v>
      </c>
      <c r="J84">
        <v>10239</v>
      </c>
      <c r="K84">
        <v>3</v>
      </c>
      <c r="L84">
        <v>3</v>
      </c>
      <c r="M84">
        <v>1</v>
      </c>
      <c r="N84" t="s">
        <v>25</v>
      </c>
      <c r="O84" t="s">
        <v>21</v>
      </c>
      <c r="P84">
        <v>81039627</v>
      </c>
    </row>
    <row r="85" spans="1:16" ht="14.25" x14ac:dyDescent="0.2">
      <c r="A85">
        <v>38</v>
      </c>
      <c r="B85" t="s">
        <v>22</v>
      </c>
      <c r="C85" t="s">
        <v>23</v>
      </c>
      <c r="D85">
        <v>6</v>
      </c>
      <c r="E85">
        <v>3</v>
      </c>
      <c r="F85" t="s">
        <v>29</v>
      </c>
      <c r="G85">
        <v>2</v>
      </c>
      <c r="H85">
        <v>4</v>
      </c>
      <c r="I85" t="s">
        <v>30</v>
      </c>
      <c r="J85">
        <v>5329</v>
      </c>
      <c r="K85">
        <v>7</v>
      </c>
      <c r="L85">
        <v>3</v>
      </c>
      <c r="M85">
        <v>13</v>
      </c>
      <c r="N85" t="s">
        <v>20</v>
      </c>
      <c r="O85" t="s">
        <v>26</v>
      </c>
      <c r="P85">
        <v>22375312</v>
      </c>
    </row>
    <row r="86" spans="1:16" ht="14.25" x14ac:dyDescent="0.2">
      <c r="A86">
        <v>34</v>
      </c>
      <c r="B86" t="s">
        <v>22</v>
      </c>
      <c r="C86" t="s">
        <v>23</v>
      </c>
      <c r="D86">
        <v>1</v>
      </c>
      <c r="E86">
        <v>2</v>
      </c>
      <c r="F86" t="s">
        <v>29</v>
      </c>
      <c r="G86">
        <v>1</v>
      </c>
      <c r="H86">
        <v>2</v>
      </c>
      <c r="I86" t="s">
        <v>24</v>
      </c>
      <c r="J86">
        <v>4325</v>
      </c>
      <c r="K86">
        <v>1</v>
      </c>
      <c r="L86">
        <v>3</v>
      </c>
      <c r="M86">
        <v>5</v>
      </c>
      <c r="N86" t="s">
        <v>25</v>
      </c>
      <c r="O86" t="s">
        <v>31</v>
      </c>
      <c r="P86">
        <v>84076849</v>
      </c>
    </row>
    <row r="87" spans="1:16" ht="14.25" x14ac:dyDescent="0.2">
      <c r="A87">
        <v>56</v>
      </c>
      <c r="B87" t="s">
        <v>22</v>
      </c>
      <c r="C87" t="s">
        <v>23</v>
      </c>
      <c r="D87">
        <v>7</v>
      </c>
      <c r="E87">
        <v>3</v>
      </c>
      <c r="F87" t="s">
        <v>18</v>
      </c>
      <c r="G87">
        <v>4</v>
      </c>
      <c r="H87">
        <v>4</v>
      </c>
      <c r="I87" t="s">
        <v>19</v>
      </c>
      <c r="J87">
        <v>7260</v>
      </c>
      <c r="K87">
        <v>4</v>
      </c>
      <c r="L87">
        <v>2</v>
      </c>
      <c r="M87">
        <v>6</v>
      </c>
      <c r="N87" t="s">
        <v>25</v>
      </c>
      <c r="O87" t="s">
        <v>31</v>
      </c>
      <c r="P87">
        <v>10873520</v>
      </c>
    </row>
    <row r="88" spans="1:16" ht="14.25" x14ac:dyDescent="0.2">
      <c r="A88">
        <v>23</v>
      </c>
      <c r="B88" t="s">
        <v>22</v>
      </c>
      <c r="C88" t="s">
        <v>17</v>
      </c>
      <c r="D88">
        <v>2</v>
      </c>
      <c r="E88">
        <v>1</v>
      </c>
      <c r="F88" t="s">
        <v>37</v>
      </c>
      <c r="G88">
        <v>3</v>
      </c>
      <c r="H88">
        <v>1</v>
      </c>
      <c r="I88" t="s">
        <v>30</v>
      </c>
      <c r="J88">
        <v>2322</v>
      </c>
      <c r="K88">
        <v>3</v>
      </c>
      <c r="L88">
        <v>3</v>
      </c>
      <c r="M88">
        <v>0</v>
      </c>
      <c r="N88" t="s">
        <v>25</v>
      </c>
      <c r="O88" t="s">
        <v>34</v>
      </c>
      <c r="P88">
        <v>11630681</v>
      </c>
    </row>
    <row r="89" spans="1:16" ht="14.25" x14ac:dyDescent="0.2">
      <c r="A89">
        <v>51</v>
      </c>
      <c r="B89" t="s">
        <v>22</v>
      </c>
      <c r="C89" t="s">
        <v>23</v>
      </c>
      <c r="D89">
        <v>9</v>
      </c>
      <c r="E89">
        <v>4</v>
      </c>
      <c r="F89" t="s">
        <v>18</v>
      </c>
      <c r="G89">
        <v>4</v>
      </c>
      <c r="H89">
        <v>4</v>
      </c>
      <c r="I89" t="s">
        <v>24</v>
      </c>
      <c r="J89">
        <v>2075</v>
      </c>
      <c r="K89">
        <v>3</v>
      </c>
      <c r="L89">
        <v>3</v>
      </c>
      <c r="M89">
        <v>4</v>
      </c>
      <c r="N89" t="s">
        <v>25</v>
      </c>
      <c r="O89" t="s">
        <v>28</v>
      </c>
      <c r="P89">
        <v>25816239</v>
      </c>
    </row>
    <row r="90" spans="1:16" ht="14.25" x14ac:dyDescent="0.2">
      <c r="A90">
        <v>30</v>
      </c>
      <c r="B90" t="s">
        <v>22</v>
      </c>
      <c r="C90" t="s">
        <v>23</v>
      </c>
      <c r="D90">
        <v>2</v>
      </c>
      <c r="E90">
        <v>3</v>
      </c>
      <c r="F90" t="s">
        <v>18</v>
      </c>
      <c r="G90">
        <v>3</v>
      </c>
      <c r="H90">
        <v>4</v>
      </c>
      <c r="I90" t="s">
        <v>24</v>
      </c>
      <c r="J90">
        <v>4152</v>
      </c>
      <c r="K90">
        <v>1</v>
      </c>
      <c r="L90">
        <v>3</v>
      </c>
      <c r="M90">
        <v>11</v>
      </c>
      <c r="N90" t="s">
        <v>25</v>
      </c>
      <c r="O90" t="s">
        <v>32</v>
      </c>
      <c r="P90">
        <v>51450626</v>
      </c>
    </row>
    <row r="91" spans="1:16" ht="14.25" x14ac:dyDescent="0.2">
      <c r="A91">
        <v>46</v>
      </c>
      <c r="B91" t="s">
        <v>16</v>
      </c>
      <c r="C91" t="s">
        <v>17</v>
      </c>
      <c r="D91">
        <v>9</v>
      </c>
      <c r="E91">
        <v>2</v>
      </c>
      <c r="F91" t="s">
        <v>29</v>
      </c>
      <c r="G91">
        <v>3</v>
      </c>
      <c r="H91">
        <v>4</v>
      </c>
      <c r="I91" t="s">
        <v>19</v>
      </c>
      <c r="J91">
        <v>9619</v>
      </c>
      <c r="K91">
        <v>1</v>
      </c>
      <c r="L91">
        <v>3</v>
      </c>
      <c r="M91">
        <v>9</v>
      </c>
      <c r="N91" t="s">
        <v>25</v>
      </c>
      <c r="O91" t="s">
        <v>21</v>
      </c>
      <c r="P91">
        <v>69155608</v>
      </c>
    </row>
    <row r="92" spans="1:16" ht="14.25" x14ac:dyDescent="0.2">
      <c r="A92">
        <v>40</v>
      </c>
      <c r="B92" t="s">
        <v>22</v>
      </c>
      <c r="C92" t="s">
        <v>23</v>
      </c>
      <c r="D92">
        <v>1</v>
      </c>
      <c r="E92">
        <v>4</v>
      </c>
      <c r="F92" t="s">
        <v>18</v>
      </c>
      <c r="G92">
        <v>3</v>
      </c>
      <c r="H92">
        <v>2</v>
      </c>
      <c r="I92" t="s">
        <v>24</v>
      </c>
      <c r="J92">
        <v>13503</v>
      </c>
      <c r="K92">
        <v>1</v>
      </c>
      <c r="L92">
        <v>2</v>
      </c>
      <c r="M92">
        <v>22</v>
      </c>
      <c r="N92" t="s">
        <v>25</v>
      </c>
      <c r="O92" t="s">
        <v>32</v>
      </c>
      <c r="P92">
        <v>19165405</v>
      </c>
    </row>
    <row r="93" spans="1:16" ht="14.25" x14ac:dyDescent="0.2">
      <c r="A93">
        <v>51</v>
      </c>
      <c r="B93" t="s">
        <v>22</v>
      </c>
      <c r="C93" t="s">
        <v>17</v>
      </c>
      <c r="D93">
        <v>21</v>
      </c>
      <c r="E93">
        <v>4</v>
      </c>
      <c r="F93" t="s">
        <v>36</v>
      </c>
      <c r="G93">
        <v>3</v>
      </c>
      <c r="H93">
        <v>4</v>
      </c>
      <c r="I93" t="s">
        <v>19</v>
      </c>
      <c r="J93">
        <v>5441</v>
      </c>
      <c r="K93">
        <v>0</v>
      </c>
      <c r="L93">
        <v>1</v>
      </c>
      <c r="M93">
        <v>10</v>
      </c>
      <c r="N93" t="s">
        <v>25</v>
      </c>
      <c r="O93" t="s">
        <v>21</v>
      </c>
      <c r="P93">
        <v>42346992</v>
      </c>
    </row>
    <row r="94" spans="1:16" ht="14.25" x14ac:dyDescent="0.2">
      <c r="A94">
        <v>30</v>
      </c>
      <c r="B94" t="s">
        <v>22</v>
      </c>
      <c r="C94" t="s">
        <v>17</v>
      </c>
      <c r="D94">
        <v>4</v>
      </c>
      <c r="E94">
        <v>2</v>
      </c>
      <c r="F94" t="s">
        <v>29</v>
      </c>
      <c r="G94">
        <v>3</v>
      </c>
      <c r="H94">
        <v>2</v>
      </c>
      <c r="I94" t="s">
        <v>30</v>
      </c>
      <c r="J94">
        <v>5209</v>
      </c>
      <c r="K94">
        <v>1</v>
      </c>
      <c r="L94">
        <v>2</v>
      </c>
      <c r="M94">
        <v>11</v>
      </c>
      <c r="N94" t="s">
        <v>20</v>
      </c>
      <c r="O94" t="s">
        <v>21</v>
      </c>
      <c r="P94">
        <v>80771594</v>
      </c>
    </row>
    <row r="95" spans="1:16" ht="14.25" x14ac:dyDescent="0.2">
      <c r="A95">
        <v>46</v>
      </c>
      <c r="B95" t="s">
        <v>22</v>
      </c>
      <c r="C95" t="s">
        <v>23</v>
      </c>
      <c r="D95">
        <v>1</v>
      </c>
      <c r="E95">
        <v>3</v>
      </c>
      <c r="F95" t="s">
        <v>29</v>
      </c>
      <c r="G95">
        <v>3</v>
      </c>
      <c r="H95">
        <v>1</v>
      </c>
      <c r="I95" t="s">
        <v>24</v>
      </c>
      <c r="J95">
        <v>10673</v>
      </c>
      <c r="K95">
        <v>2</v>
      </c>
      <c r="L95">
        <v>2</v>
      </c>
      <c r="M95">
        <v>10</v>
      </c>
      <c r="N95" t="s">
        <v>25</v>
      </c>
      <c r="O95" t="s">
        <v>32</v>
      </c>
      <c r="P95">
        <v>22094162</v>
      </c>
    </row>
    <row r="96" spans="1:16" ht="14.25" x14ac:dyDescent="0.2">
      <c r="A96">
        <v>32</v>
      </c>
      <c r="B96" t="s">
        <v>22</v>
      </c>
      <c r="C96" t="s">
        <v>17</v>
      </c>
      <c r="D96">
        <v>6</v>
      </c>
      <c r="E96">
        <v>4</v>
      </c>
      <c r="F96" t="s">
        <v>29</v>
      </c>
      <c r="G96">
        <v>2</v>
      </c>
      <c r="H96">
        <v>3</v>
      </c>
      <c r="I96" t="s">
        <v>19</v>
      </c>
      <c r="J96">
        <v>5010</v>
      </c>
      <c r="K96">
        <v>1</v>
      </c>
      <c r="L96">
        <v>3</v>
      </c>
      <c r="M96">
        <v>11</v>
      </c>
      <c r="N96" t="s">
        <v>25</v>
      </c>
      <c r="O96" t="s">
        <v>21</v>
      </c>
      <c r="P96">
        <v>69323830</v>
      </c>
    </row>
    <row r="97" spans="1:16" ht="14.25" x14ac:dyDescent="0.2">
      <c r="A97">
        <v>54</v>
      </c>
      <c r="B97" t="s">
        <v>22</v>
      </c>
      <c r="C97" t="s">
        <v>23</v>
      </c>
      <c r="D97">
        <v>2</v>
      </c>
      <c r="E97">
        <v>4</v>
      </c>
      <c r="F97" t="s">
        <v>37</v>
      </c>
      <c r="G97">
        <v>1</v>
      </c>
      <c r="H97">
        <v>3</v>
      </c>
      <c r="I97" t="s">
        <v>24</v>
      </c>
      <c r="J97">
        <v>13549</v>
      </c>
      <c r="K97">
        <v>9</v>
      </c>
      <c r="L97">
        <v>1</v>
      </c>
      <c r="M97">
        <v>4</v>
      </c>
      <c r="N97" t="s">
        <v>20</v>
      </c>
      <c r="O97" t="s">
        <v>35</v>
      </c>
      <c r="P97">
        <v>54286298</v>
      </c>
    </row>
    <row r="98" spans="1:16" ht="14.25" x14ac:dyDescent="0.2">
      <c r="A98">
        <v>24</v>
      </c>
      <c r="B98" t="s">
        <v>22</v>
      </c>
      <c r="C98" t="s">
        <v>17</v>
      </c>
      <c r="D98">
        <v>3</v>
      </c>
      <c r="E98">
        <v>2</v>
      </c>
      <c r="F98" t="s">
        <v>27</v>
      </c>
      <c r="G98">
        <v>1</v>
      </c>
      <c r="H98">
        <v>3</v>
      </c>
      <c r="I98" t="s">
        <v>24</v>
      </c>
      <c r="J98">
        <v>4999</v>
      </c>
      <c r="K98">
        <v>0</v>
      </c>
      <c r="L98">
        <v>2</v>
      </c>
      <c r="M98">
        <v>3</v>
      </c>
      <c r="N98" t="s">
        <v>20</v>
      </c>
      <c r="O98" t="s">
        <v>21</v>
      </c>
      <c r="P98">
        <v>31449445</v>
      </c>
    </row>
    <row r="99" spans="1:16" ht="14.25" x14ac:dyDescent="0.2">
      <c r="A99">
        <v>28</v>
      </c>
      <c r="B99" t="s">
        <v>22</v>
      </c>
      <c r="C99" t="s">
        <v>17</v>
      </c>
      <c r="D99">
        <v>4</v>
      </c>
      <c r="E99">
        <v>3</v>
      </c>
      <c r="F99" t="s">
        <v>29</v>
      </c>
      <c r="G99">
        <v>2</v>
      </c>
      <c r="H99">
        <v>3</v>
      </c>
      <c r="I99" t="s">
        <v>24</v>
      </c>
      <c r="J99">
        <v>4221</v>
      </c>
      <c r="K99">
        <v>1</v>
      </c>
      <c r="L99">
        <v>4</v>
      </c>
      <c r="M99">
        <v>5</v>
      </c>
      <c r="N99" t="s">
        <v>25</v>
      </c>
      <c r="O99" t="s">
        <v>21</v>
      </c>
      <c r="P99">
        <v>27558200</v>
      </c>
    </row>
    <row r="100" spans="1:16" ht="14.25" x14ac:dyDescent="0.2">
      <c r="A100">
        <v>58</v>
      </c>
      <c r="B100" t="s">
        <v>22</v>
      </c>
      <c r="C100" t="s">
        <v>17</v>
      </c>
      <c r="D100">
        <v>10</v>
      </c>
      <c r="E100">
        <v>4</v>
      </c>
      <c r="F100" t="s">
        <v>29</v>
      </c>
      <c r="G100">
        <v>4</v>
      </c>
      <c r="H100">
        <v>3</v>
      </c>
      <c r="I100" t="s">
        <v>19</v>
      </c>
      <c r="J100">
        <v>13872</v>
      </c>
      <c r="K100">
        <v>0</v>
      </c>
      <c r="L100">
        <v>2</v>
      </c>
      <c r="M100">
        <v>37</v>
      </c>
      <c r="N100" t="s">
        <v>25</v>
      </c>
      <c r="O100" t="s">
        <v>21</v>
      </c>
      <c r="P100">
        <v>72219796</v>
      </c>
    </row>
    <row r="101" spans="1:16" ht="14.25" x14ac:dyDescent="0.2">
      <c r="A101">
        <v>44</v>
      </c>
      <c r="B101" t="s">
        <v>22</v>
      </c>
      <c r="C101" t="s">
        <v>23</v>
      </c>
      <c r="D101">
        <v>23</v>
      </c>
      <c r="E101">
        <v>3</v>
      </c>
      <c r="F101" t="s">
        <v>29</v>
      </c>
      <c r="G101">
        <v>2</v>
      </c>
      <c r="H101">
        <v>2</v>
      </c>
      <c r="I101" t="s">
        <v>24</v>
      </c>
      <c r="J101">
        <v>2042</v>
      </c>
      <c r="K101">
        <v>4</v>
      </c>
      <c r="L101">
        <v>4</v>
      </c>
      <c r="M101">
        <v>3</v>
      </c>
      <c r="N101" t="s">
        <v>25</v>
      </c>
      <c r="O101" t="s">
        <v>28</v>
      </c>
      <c r="P101">
        <v>83610273</v>
      </c>
    </row>
    <row r="102" spans="1:16" ht="14.25" x14ac:dyDescent="0.2">
      <c r="A102">
        <v>37</v>
      </c>
      <c r="B102" t="s">
        <v>16</v>
      </c>
      <c r="C102" t="s">
        <v>38</v>
      </c>
      <c r="D102">
        <v>6</v>
      </c>
      <c r="E102">
        <v>4</v>
      </c>
      <c r="F102" t="s">
        <v>38</v>
      </c>
      <c r="G102">
        <v>3</v>
      </c>
      <c r="H102">
        <v>1</v>
      </c>
      <c r="I102" t="s">
        <v>30</v>
      </c>
      <c r="J102">
        <v>2073</v>
      </c>
      <c r="K102">
        <v>4</v>
      </c>
      <c r="L102">
        <v>3</v>
      </c>
      <c r="M102">
        <v>3</v>
      </c>
      <c r="N102" t="s">
        <v>25</v>
      </c>
      <c r="O102" t="s">
        <v>38</v>
      </c>
      <c r="P102">
        <v>84053436</v>
      </c>
    </row>
    <row r="103" spans="1:16" ht="14.25" x14ac:dyDescent="0.2">
      <c r="A103">
        <v>32</v>
      </c>
      <c r="B103" t="s">
        <v>22</v>
      </c>
      <c r="C103" t="s">
        <v>23</v>
      </c>
      <c r="D103">
        <v>1</v>
      </c>
      <c r="E103">
        <v>1</v>
      </c>
      <c r="F103" t="s">
        <v>18</v>
      </c>
      <c r="G103">
        <v>4</v>
      </c>
      <c r="H103">
        <v>1</v>
      </c>
      <c r="I103" t="s">
        <v>19</v>
      </c>
      <c r="J103">
        <v>2956</v>
      </c>
      <c r="K103">
        <v>1</v>
      </c>
      <c r="L103">
        <v>3</v>
      </c>
      <c r="M103">
        <v>1</v>
      </c>
      <c r="N103" t="s">
        <v>25</v>
      </c>
      <c r="O103" t="s">
        <v>26</v>
      </c>
      <c r="P103">
        <v>64681343</v>
      </c>
    </row>
    <row r="104" spans="1:16" ht="14.25" x14ac:dyDescent="0.2">
      <c r="A104">
        <v>20</v>
      </c>
      <c r="B104" t="s">
        <v>16</v>
      </c>
      <c r="C104" t="s">
        <v>23</v>
      </c>
      <c r="D104">
        <v>6</v>
      </c>
      <c r="E104">
        <v>3</v>
      </c>
      <c r="F104" t="s">
        <v>18</v>
      </c>
      <c r="G104">
        <v>4</v>
      </c>
      <c r="H104">
        <v>4</v>
      </c>
      <c r="I104" t="s">
        <v>19</v>
      </c>
      <c r="J104">
        <v>2926</v>
      </c>
      <c r="K104">
        <v>1</v>
      </c>
      <c r="L104">
        <v>3</v>
      </c>
      <c r="M104">
        <v>1</v>
      </c>
      <c r="N104" t="s">
        <v>20</v>
      </c>
      <c r="O104" t="s">
        <v>28</v>
      </c>
      <c r="P104">
        <v>34248759</v>
      </c>
    </row>
    <row r="105" spans="1:16" ht="14.25" x14ac:dyDescent="0.2">
      <c r="A105">
        <v>34</v>
      </c>
      <c r="B105" t="s">
        <v>22</v>
      </c>
      <c r="C105" t="s">
        <v>23</v>
      </c>
      <c r="D105">
        <v>6</v>
      </c>
      <c r="E105">
        <v>4</v>
      </c>
      <c r="F105" t="s">
        <v>27</v>
      </c>
      <c r="G105">
        <v>1</v>
      </c>
      <c r="H105">
        <v>3</v>
      </c>
      <c r="I105" t="s">
        <v>19</v>
      </c>
      <c r="J105">
        <v>4809</v>
      </c>
      <c r="K105">
        <v>1</v>
      </c>
      <c r="L105">
        <v>3</v>
      </c>
      <c r="M105">
        <v>16</v>
      </c>
      <c r="N105" t="s">
        <v>20</v>
      </c>
      <c r="O105" t="s">
        <v>26</v>
      </c>
      <c r="P105">
        <v>27517147</v>
      </c>
    </row>
    <row r="106" spans="1:16" ht="14.25" x14ac:dyDescent="0.2">
      <c r="A106">
        <v>37</v>
      </c>
      <c r="B106" t="s">
        <v>22</v>
      </c>
      <c r="C106" t="s">
        <v>23</v>
      </c>
      <c r="D106">
        <v>2</v>
      </c>
      <c r="E106">
        <v>2</v>
      </c>
      <c r="F106" t="s">
        <v>18</v>
      </c>
      <c r="G106">
        <v>3</v>
      </c>
      <c r="H106">
        <v>4</v>
      </c>
      <c r="I106" t="s">
        <v>30</v>
      </c>
      <c r="J106">
        <v>5163</v>
      </c>
      <c r="K106">
        <v>5</v>
      </c>
      <c r="L106">
        <v>4</v>
      </c>
      <c r="M106">
        <v>1</v>
      </c>
      <c r="N106" t="s">
        <v>25</v>
      </c>
      <c r="O106" t="s">
        <v>32</v>
      </c>
      <c r="P106">
        <v>49167537</v>
      </c>
    </row>
    <row r="107" spans="1:16" ht="14.25" x14ac:dyDescent="0.2">
      <c r="A107">
        <v>59</v>
      </c>
      <c r="B107" t="s">
        <v>22</v>
      </c>
      <c r="C107" t="s">
        <v>38</v>
      </c>
      <c r="D107">
        <v>2</v>
      </c>
      <c r="E107">
        <v>4</v>
      </c>
      <c r="F107" t="s">
        <v>38</v>
      </c>
      <c r="G107">
        <v>3</v>
      </c>
      <c r="H107">
        <v>4</v>
      </c>
      <c r="I107" t="s">
        <v>24</v>
      </c>
      <c r="J107">
        <v>18844</v>
      </c>
      <c r="K107">
        <v>9</v>
      </c>
      <c r="L107">
        <v>3</v>
      </c>
      <c r="M107">
        <v>3</v>
      </c>
      <c r="N107" t="s">
        <v>20</v>
      </c>
      <c r="O107" t="s">
        <v>33</v>
      </c>
      <c r="P107">
        <v>83920811</v>
      </c>
    </row>
    <row r="108" spans="1:16" ht="14.25" x14ac:dyDescent="0.2">
      <c r="A108">
        <v>50</v>
      </c>
      <c r="B108" t="s">
        <v>22</v>
      </c>
      <c r="C108" t="s">
        <v>23</v>
      </c>
      <c r="D108">
        <v>1</v>
      </c>
      <c r="E108">
        <v>3</v>
      </c>
      <c r="F108" t="s">
        <v>18</v>
      </c>
      <c r="G108">
        <v>1</v>
      </c>
      <c r="H108">
        <v>2</v>
      </c>
      <c r="I108" t="s">
        <v>24</v>
      </c>
      <c r="J108">
        <v>18172</v>
      </c>
      <c r="K108">
        <v>3</v>
      </c>
      <c r="L108">
        <v>2</v>
      </c>
      <c r="M108">
        <v>8</v>
      </c>
      <c r="N108" t="s">
        <v>20</v>
      </c>
      <c r="O108" t="s">
        <v>35</v>
      </c>
      <c r="P108">
        <v>18460345</v>
      </c>
    </row>
    <row r="109" spans="1:16" ht="14.25" x14ac:dyDescent="0.2">
      <c r="A109">
        <v>25</v>
      </c>
      <c r="B109" t="s">
        <v>16</v>
      </c>
      <c r="C109" t="s">
        <v>17</v>
      </c>
      <c r="D109">
        <v>5</v>
      </c>
      <c r="E109">
        <v>3</v>
      </c>
      <c r="F109" t="s">
        <v>36</v>
      </c>
      <c r="G109">
        <v>3</v>
      </c>
      <c r="H109">
        <v>3</v>
      </c>
      <c r="I109" t="s">
        <v>19</v>
      </c>
      <c r="J109">
        <v>5744</v>
      </c>
      <c r="K109">
        <v>1</v>
      </c>
      <c r="L109">
        <v>3</v>
      </c>
      <c r="M109">
        <v>6</v>
      </c>
      <c r="N109" t="s">
        <v>25</v>
      </c>
      <c r="O109" t="s">
        <v>21</v>
      </c>
      <c r="P109">
        <v>73757529</v>
      </c>
    </row>
    <row r="110" spans="1:16" ht="14.25" x14ac:dyDescent="0.2">
      <c r="A110">
        <v>25</v>
      </c>
      <c r="B110" t="s">
        <v>22</v>
      </c>
      <c r="C110" t="s">
        <v>23</v>
      </c>
      <c r="D110">
        <v>7</v>
      </c>
      <c r="E110">
        <v>1</v>
      </c>
      <c r="F110" t="s">
        <v>29</v>
      </c>
      <c r="G110">
        <v>4</v>
      </c>
      <c r="H110">
        <v>4</v>
      </c>
      <c r="I110" t="s">
        <v>24</v>
      </c>
      <c r="J110">
        <v>2889</v>
      </c>
      <c r="K110">
        <v>1</v>
      </c>
      <c r="L110">
        <v>3</v>
      </c>
      <c r="M110">
        <v>2</v>
      </c>
      <c r="N110" t="s">
        <v>25</v>
      </c>
      <c r="O110" t="s">
        <v>26</v>
      </c>
      <c r="P110">
        <v>58802252</v>
      </c>
    </row>
    <row r="111" spans="1:16" ht="14.25" x14ac:dyDescent="0.2">
      <c r="A111">
        <v>22</v>
      </c>
      <c r="B111" t="s">
        <v>22</v>
      </c>
      <c r="C111" t="s">
        <v>23</v>
      </c>
      <c r="D111">
        <v>15</v>
      </c>
      <c r="E111">
        <v>3</v>
      </c>
      <c r="F111" t="s">
        <v>29</v>
      </c>
      <c r="G111">
        <v>2</v>
      </c>
      <c r="H111">
        <v>4</v>
      </c>
      <c r="I111" t="s">
        <v>19</v>
      </c>
      <c r="J111">
        <v>2871</v>
      </c>
      <c r="K111">
        <v>1</v>
      </c>
      <c r="L111">
        <v>3</v>
      </c>
      <c r="M111">
        <v>0</v>
      </c>
      <c r="N111" t="s">
        <v>20</v>
      </c>
      <c r="O111" t="s">
        <v>28</v>
      </c>
      <c r="P111">
        <v>64734402</v>
      </c>
    </row>
    <row r="112" spans="1:16" ht="14.25" x14ac:dyDescent="0.2">
      <c r="A112">
        <v>51</v>
      </c>
      <c r="B112" t="s">
        <v>22</v>
      </c>
      <c r="C112" t="s">
        <v>23</v>
      </c>
      <c r="D112">
        <v>1</v>
      </c>
      <c r="E112">
        <v>4</v>
      </c>
      <c r="F112" t="s">
        <v>29</v>
      </c>
      <c r="G112">
        <v>1</v>
      </c>
      <c r="H112">
        <v>1</v>
      </c>
      <c r="I112" t="s">
        <v>19</v>
      </c>
      <c r="J112">
        <v>7484</v>
      </c>
      <c r="K112">
        <v>3</v>
      </c>
      <c r="L112">
        <v>2</v>
      </c>
      <c r="M112">
        <v>13</v>
      </c>
      <c r="N112" t="s">
        <v>20</v>
      </c>
      <c r="O112" t="s">
        <v>32</v>
      </c>
      <c r="P112">
        <v>79978846</v>
      </c>
    </row>
    <row r="113" spans="1:16" ht="14.25" x14ac:dyDescent="0.2">
      <c r="A113">
        <v>34</v>
      </c>
      <c r="B113" t="s">
        <v>16</v>
      </c>
      <c r="C113" t="s">
        <v>23</v>
      </c>
      <c r="D113">
        <v>7</v>
      </c>
      <c r="E113">
        <v>3</v>
      </c>
      <c r="F113" t="s">
        <v>18</v>
      </c>
      <c r="G113">
        <v>1</v>
      </c>
      <c r="H113">
        <v>3</v>
      </c>
      <c r="I113" t="s">
        <v>19</v>
      </c>
      <c r="J113">
        <v>6074</v>
      </c>
      <c r="K113">
        <v>1</v>
      </c>
      <c r="L113">
        <v>3</v>
      </c>
      <c r="M113">
        <v>9</v>
      </c>
      <c r="N113" t="s">
        <v>25</v>
      </c>
      <c r="O113" t="s">
        <v>28</v>
      </c>
      <c r="P113">
        <v>88608127</v>
      </c>
    </row>
    <row r="114" spans="1:16" ht="14.25" x14ac:dyDescent="0.2">
      <c r="A114">
        <v>54</v>
      </c>
      <c r="B114" t="s">
        <v>22</v>
      </c>
      <c r="C114" t="s">
        <v>38</v>
      </c>
      <c r="D114">
        <v>26</v>
      </c>
      <c r="E114">
        <v>3</v>
      </c>
      <c r="F114" t="s">
        <v>38</v>
      </c>
      <c r="G114">
        <v>4</v>
      </c>
      <c r="H114">
        <v>4</v>
      </c>
      <c r="I114" t="s">
        <v>19</v>
      </c>
      <c r="J114">
        <v>17328</v>
      </c>
      <c r="K114">
        <v>2</v>
      </c>
      <c r="L114">
        <v>3</v>
      </c>
      <c r="M114">
        <v>5</v>
      </c>
      <c r="N114" t="s">
        <v>20</v>
      </c>
      <c r="O114" t="s">
        <v>33</v>
      </c>
      <c r="P114">
        <v>13245773</v>
      </c>
    </row>
    <row r="115" spans="1:16" ht="14.25" x14ac:dyDescent="0.2">
      <c r="A115">
        <v>24</v>
      </c>
      <c r="B115" t="s">
        <v>22</v>
      </c>
      <c r="C115" t="s">
        <v>23</v>
      </c>
      <c r="D115">
        <v>18</v>
      </c>
      <c r="E115">
        <v>1</v>
      </c>
      <c r="F115" t="s">
        <v>18</v>
      </c>
      <c r="G115">
        <v>2</v>
      </c>
      <c r="H115">
        <v>3</v>
      </c>
      <c r="I115" t="s">
        <v>24</v>
      </c>
      <c r="J115">
        <v>2774</v>
      </c>
      <c r="K115">
        <v>0</v>
      </c>
      <c r="L115">
        <v>3</v>
      </c>
      <c r="M115">
        <v>5</v>
      </c>
      <c r="N115" t="s">
        <v>25</v>
      </c>
      <c r="O115" t="s">
        <v>28</v>
      </c>
      <c r="P115">
        <v>83205352</v>
      </c>
    </row>
    <row r="116" spans="1:16" ht="14.25" x14ac:dyDescent="0.2">
      <c r="A116">
        <v>34</v>
      </c>
      <c r="B116" t="s">
        <v>22</v>
      </c>
      <c r="C116" t="s">
        <v>23</v>
      </c>
      <c r="D116">
        <v>6</v>
      </c>
      <c r="E116">
        <v>4</v>
      </c>
      <c r="F116" t="s">
        <v>18</v>
      </c>
      <c r="G116">
        <v>3</v>
      </c>
      <c r="H116">
        <v>2</v>
      </c>
      <c r="I116" t="s">
        <v>30</v>
      </c>
      <c r="J116">
        <v>4505</v>
      </c>
      <c r="K116">
        <v>6</v>
      </c>
      <c r="L116">
        <v>3</v>
      </c>
      <c r="M116">
        <v>1</v>
      </c>
      <c r="N116" t="s">
        <v>20</v>
      </c>
      <c r="O116" t="s">
        <v>26</v>
      </c>
      <c r="P116">
        <v>41888000</v>
      </c>
    </row>
    <row r="117" spans="1:16" ht="14.25" x14ac:dyDescent="0.2">
      <c r="A117">
        <v>37</v>
      </c>
      <c r="B117" t="s">
        <v>22</v>
      </c>
      <c r="C117" t="s">
        <v>17</v>
      </c>
      <c r="D117">
        <v>3</v>
      </c>
      <c r="E117">
        <v>3</v>
      </c>
      <c r="F117" t="s">
        <v>18</v>
      </c>
      <c r="G117">
        <v>3</v>
      </c>
      <c r="H117">
        <v>4</v>
      </c>
      <c r="I117" t="s">
        <v>19</v>
      </c>
      <c r="J117">
        <v>7428</v>
      </c>
      <c r="K117">
        <v>2</v>
      </c>
      <c r="L117">
        <v>3</v>
      </c>
      <c r="M117">
        <v>5</v>
      </c>
      <c r="N117" t="s">
        <v>25</v>
      </c>
      <c r="O117" t="s">
        <v>21</v>
      </c>
      <c r="P117">
        <v>70159314</v>
      </c>
    </row>
    <row r="118" spans="1:16" ht="14.25" x14ac:dyDescent="0.2">
      <c r="A118">
        <v>34</v>
      </c>
      <c r="B118" t="s">
        <v>22</v>
      </c>
      <c r="C118" t="s">
        <v>23</v>
      </c>
      <c r="D118">
        <v>5</v>
      </c>
      <c r="E118">
        <v>3</v>
      </c>
      <c r="F118" t="s">
        <v>29</v>
      </c>
      <c r="G118">
        <v>3</v>
      </c>
      <c r="H118">
        <v>1</v>
      </c>
      <c r="I118" t="s">
        <v>19</v>
      </c>
      <c r="J118">
        <v>11631</v>
      </c>
      <c r="K118">
        <v>2</v>
      </c>
      <c r="L118">
        <v>3</v>
      </c>
      <c r="M118">
        <v>11</v>
      </c>
      <c r="N118" t="s">
        <v>20</v>
      </c>
      <c r="O118" t="s">
        <v>33</v>
      </c>
      <c r="P118">
        <v>77405001</v>
      </c>
    </row>
    <row r="119" spans="1:16" ht="14.25" x14ac:dyDescent="0.2">
      <c r="A119">
        <v>36</v>
      </c>
      <c r="B119" t="s">
        <v>22</v>
      </c>
      <c r="C119" t="s">
        <v>17</v>
      </c>
      <c r="D119">
        <v>11</v>
      </c>
      <c r="E119">
        <v>2</v>
      </c>
      <c r="F119" t="s">
        <v>37</v>
      </c>
      <c r="G119">
        <v>2</v>
      </c>
      <c r="H119">
        <v>4</v>
      </c>
      <c r="I119" t="s">
        <v>24</v>
      </c>
      <c r="J119">
        <v>9738</v>
      </c>
      <c r="K119">
        <v>0</v>
      </c>
      <c r="L119">
        <v>3</v>
      </c>
      <c r="M119">
        <v>9</v>
      </c>
      <c r="N119" t="s">
        <v>20</v>
      </c>
      <c r="O119" t="s">
        <v>21</v>
      </c>
      <c r="P119">
        <v>64995403</v>
      </c>
    </row>
    <row r="120" spans="1:16" ht="14.25" x14ac:dyDescent="0.2">
      <c r="A120">
        <v>36</v>
      </c>
      <c r="B120" t="s">
        <v>22</v>
      </c>
      <c r="C120" t="s">
        <v>23</v>
      </c>
      <c r="D120">
        <v>3</v>
      </c>
      <c r="E120">
        <v>2</v>
      </c>
      <c r="F120" t="s">
        <v>18</v>
      </c>
      <c r="G120">
        <v>1</v>
      </c>
      <c r="H120">
        <v>4</v>
      </c>
      <c r="I120" t="s">
        <v>30</v>
      </c>
      <c r="J120">
        <v>2835</v>
      </c>
      <c r="K120">
        <v>5</v>
      </c>
      <c r="L120">
        <v>3</v>
      </c>
      <c r="M120">
        <v>1</v>
      </c>
      <c r="N120" t="s">
        <v>20</v>
      </c>
      <c r="O120" t="s">
        <v>28</v>
      </c>
      <c r="P120">
        <v>82575217</v>
      </c>
    </row>
    <row r="121" spans="1:16" ht="14.25" x14ac:dyDescent="0.2">
      <c r="A121">
        <v>43</v>
      </c>
      <c r="B121" t="s">
        <v>22</v>
      </c>
      <c r="C121" t="s">
        <v>17</v>
      </c>
      <c r="D121">
        <v>26</v>
      </c>
      <c r="E121">
        <v>2</v>
      </c>
      <c r="F121" t="s">
        <v>18</v>
      </c>
      <c r="G121">
        <v>3</v>
      </c>
      <c r="H121">
        <v>4</v>
      </c>
      <c r="I121" t="s">
        <v>24</v>
      </c>
      <c r="J121">
        <v>16959</v>
      </c>
      <c r="K121">
        <v>1</v>
      </c>
      <c r="L121">
        <v>4</v>
      </c>
      <c r="M121">
        <v>25</v>
      </c>
      <c r="N121" t="s">
        <v>25</v>
      </c>
      <c r="O121" t="s">
        <v>33</v>
      </c>
      <c r="P121">
        <v>37034582</v>
      </c>
    </row>
    <row r="122" spans="1:16" ht="14.25" x14ac:dyDescent="0.2">
      <c r="A122">
        <v>30</v>
      </c>
      <c r="B122" t="s">
        <v>22</v>
      </c>
      <c r="C122" t="s">
        <v>23</v>
      </c>
      <c r="D122">
        <v>23</v>
      </c>
      <c r="E122">
        <v>3</v>
      </c>
      <c r="F122" t="s">
        <v>18</v>
      </c>
      <c r="G122">
        <v>1</v>
      </c>
      <c r="H122">
        <v>3</v>
      </c>
      <c r="I122" t="s">
        <v>30</v>
      </c>
      <c r="J122">
        <v>2613</v>
      </c>
      <c r="K122">
        <v>1</v>
      </c>
      <c r="L122">
        <v>2</v>
      </c>
      <c r="M122">
        <v>10</v>
      </c>
      <c r="N122" t="s">
        <v>25</v>
      </c>
      <c r="O122" t="s">
        <v>26</v>
      </c>
      <c r="P122">
        <v>69746372</v>
      </c>
    </row>
    <row r="123" spans="1:16" ht="14.25" x14ac:dyDescent="0.2">
      <c r="A123">
        <v>33</v>
      </c>
      <c r="B123" t="s">
        <v>22</v>
      </c>
      <c r="C123" t="s">
        <v>17</v>
      </c>
      <c r="D123">
        <v>22</v>
      </c>
      <c r="E123">
        <v>2</v>
      </c>
      <c r="F123" t="s">
        <v>36</v>
      </c>
      <c r="G123">
        <v>3</v>
      </c>
      <c r="H123">
        <v>2</v>
      </c>
      <c r="I123" t="s">
        <v>24</v>
      </c>
      <c r="J123">
        <v>6146</v>
      </c>
      <c r="K123">
        <v>0</v>
      </c>
      <c r="L123">
        <v>4</v>
      </c>
      <c r="M123">
        <v>7</v>
      </c>
      <c r="N123" t="s">
        <v>25</v>
      </c>
      <c r="O123" t="s">
        <v>21</v>
      </c>
      <c r="P123">
        <v>26292612</v>
      </c>
    </row>
    <row r="124" spans="1:16" ht="14.25" x14ac:dyDescent="0.2">
      <c r="A124">
        <v>56</v>
      </c>
      <c r="B124" t="s">
        <v>16</v>
      </c>
      <c r="C124" t="s">
        <v>23</v>
      </c>
      <c r="D124">
        <v>14</v>
      </c>
      <c r="E124">
        <v>4</v>
      </c>
      <c r="F124" t="s">
        <v>18</v>
      </c>
      <c r="G124">
        <v>2</v>
      </c>
      <c r="H124">
        <v>2</v>
      </c>
      <c r="I124" t="s">
        <v>24</v>
      </c>
      <c r="J124">
        <v>4963</v>
      </c>
      <c r="K124">
        <v>9</v>
      </c>
      <c r="L124">
        <v>3</v>
      </c>
      <c r="M124">
        <v>5</v>
      </c>
      <c r="N124" t="s">
        <v>20</v>
      </c>
      <c r="O124" t="s">
        <v>26</v>
      </c>
      <c r="P124">
        <v>43934990</v>
      </c>
    </row>
    <row r="125" spans="1:16" ht="14.25" x14ac:dyDescent="0.2">
      <c r="A125">
        <v>51</v>
      </c>
      <c r="B125" t="s">
        <v>22</v>
      </c>
      <c r="C125" t="s">
        <v>23</v>
      </c>
      <c r="D125">
        <v>6</v>
      </c>
      <c r="E125">
        <v>3</v>
      </c>
      <c r="F125" t="s">
        <v>18</v>
      </c>
      <c r="G125">
        <v>1</v>
      </c>
      <c r="H125">
        <v>3</v>
      </c>
      <c r="I125" t="s">
        <v>19</v>
      </c>
      <c r="J125">
        <v>19537</v>
      </c>
      <c r="K125">
        <v>7</v>
      </c>
      <c r="L125">
        <v>3</v>
      </c>
      <c r="M125">
        <v>20</v>
      </c>
      <c r="N125" t="s">
        <v>25</v>
      </c>
      <c r="O125" t="s">
        <v>35</v>
      </c>
      <c r="P125">
        <v>66068948</v>
      </c>
    </row>
    <row r="126" spans="1:16" ht="14.25" x14ac:dyDescent="0.2">
      <c r="A126">
        <v>31</v>
      </c>
      <c r="B126" t="s">
        <v>16</v>
      </c>
      <c r="C126" t="s">
        <v>17</v>
      </c>
      <c r="D126">
        <v>6</v>
      </c>
      <c r="E126">
        <v>4</v>
      </c>
      <c r="F126" t="s">
        <v>18</v>
      </c>
      <c r="G126">
        <v>2</v>
      </c>
      <c r="H126">
        <v>3</v>
      </c>
      <c r="I126" t="s">
        <v>24</v>
      </c>
      <c r="J126">
        <v>6172</v>
      </c>
      <c r="K126">
        <v>4</v>
      </c>
      <c r="L126">
        <v>2</v>
      </c>
      <c r="M126">
        <v>7</v>
      </c>
      <c r="N126" t="s">
        <v>25</v>
      </c>
      <c r="O126" t="s">
        <v>21</v>
      </c>
      <c r="P126">
        <v>50376587</v>
      </c>
    </row>
    <row r="127" spans="1:16" ht="14.25" x14ac:dyDescent="0.2">
      <c r="A127">
        <v>26</v>
      </c>
      <c r="B127" t="s">
        <v>22</v>
      </c>
      <c r="C127" t="s">
        <v>23</v>
      </c>
      <c r="D127">
        <v>6</v>
      </c>
      <c r="E127">
        <v>3</v>
      </c>
      <c r="F127" t="s">
        <v>27</v>
      </c>
      <c r="G127">
        <v>3</v>
      </c>
      <c r="H127">
        <v>2</v>
      </c>
      <c r="I127" t="s">
        <v>24</v>
      </c>
      <c r="J127">
        <v>2368</v>
      </c>
      <c r="K127">
        <v>1</v>
      </c>
      <c r="L127">
        <v>2</v>
      </c>
      <c r="M127">
        <v>5</v>
      </c>
      <c r="N127" t="s">
        <v>20</v>
      </c>
      <c r="O127" t="s">
        <v>26</v>
      </c>
      <c r="P127">
        <v>81567255</v>
      </c>
    </row>
    <row r="128" spans="1:16" ht="14.25" x14ac:dyDescent="0.2">
      <c r="A128">
        <v>58</v>
      </c>
      <c r="B128" t="s">
        <v>16</v>
      </c>
      <c r="C128" t="s">
        <v>23</v>
      </c>
      <c r="D128">
        <v>23</v>
      </c>
      <c r="E128">
        <v>4</v>
      </c>
      <c r="F128" t="s">
        <v>29</v>
      </c>
      <c r="G128">
        <v>4</v>
      </c>
      <c r="H128">
        <v>4</v>
      </c>
      <c r="I128" t="s">
        <v>24</v>
      </c>
      <c r="J128">
        <v>10312</v>
      </c>
      <c r="K128">
        <v>1</v>
      </c>
      <c r="L128">
        <v>2</v>
      </c>
      <c r="M128">
        <v>40</v>
      </c>
      <c r="N128" t="s">
        <v>20</v>
      </c>
      <c r="O128" t="s">
        <v>32</v>
      </c>
      <c r="P128">
        <v>19655815</v>
      </c>
    </row>
    <row r="129" spans="1:16" ht="14.25" x14ac:dyDescent="0.2">
      <c r="A129">
        <v>19</v>
      </c>
      <c r="B129" t="s">
        <v>16</v>
      </c>
      <c r="C129" t="s">
        <v>17</v>
      </c>
      <c r="D129">
        <v>22</v>
      </c>
      <c r="E129">
        <v>1</v>
      </c>
      <c r="F129" t="s">
        <v>36</v>
      </c>
      <c r="G129">
        <v>4</v>
      </c>
      <c r="H129">
        <v>3</v>
      </c>
      <c r="I129" t="s">
        <v>19</v>
      </c>
      <c r="J129">
        <v>1675</v>
      </c>
      <c r="K129">
        <v>1</v>
      </c>
      <c r="L129">
        <v>2</v>
      </c>
      <c r="M129">
        <v>0</v>
      </c>
      <c r="N129" t="s">
        <v>25</v>
      </c>
      <c r="O129" t="s">
        <v>34</v>
      </c>
      <c r="P129">
        <v>52285669</v>
      </c>
    </row>
    <row r="130" spans="1:16" ht="14.25" x14ac:dyDescent="0.2">
      <c r="A130">
        <v>22</v>
      </c>
      <c r="B130" t="s">
        <v>22</v>
      </c>
      <c r="C130" t="s">
        <v>23</v>
      </c>
      <c r="D130">
        <v>2</v>
      </c>
      <c r="E130">
        <v>1</v>
      </c>
      <c r="F130" t="s">
        <v>37</v>
      </c>
      <c r="G130">
        <v>3</v>
      </c>
      <c r="H130">
        <v>4</v>
      </c>
      <c r="I130" t="s">
        <v>24</v>
      </c>
      <c r="J130">
        <v>2523</v>
      </c>
      <c r="K130">
        <v>0</v>
      </c>
      <c r="L130">
        <v>3</v>
      </c>
      <c r="M130">
        <v>2</v>
      </c>
      <c r="N130" t="s">
        <v>25</v>
      </c>
      <c r="O130" t="s">
        <v>28</v>
      </c>
      <c r="P130">
        <v>60174944</v>
      </c>
    </row>
    <row r="131" spans="1:16" ht="14.25" x14ac:dyDescent="0.2">
      <c r="A131">
        <v>49</v>
      </c>
      <c r="B131" t="s">
        <v>22</v>
      </c>
      <c r="C131" t="s">
        <v>23</v>
      </c>
      <c r="D131">
        <v>20</v>
      </c>
      <c r="E131">
        <v>4</v>
      </c>
      <c r="F131" t="s">
        <v>29</v>
      </c>
      <c r="G131">
        <v>3</v>
      </c>
      <c r="H131">
        <v>1</v>
      </c>
      <c r="I131" t="s">
        <v>24</v>
      </c>
      <c r="J131">
        <v>6567</v>
      </c>
      <c r="K131">
        <v>1</v>
      </c>
      <c r="L131">
        <v>2</v>
      </c>
      <c r="M131">
        <v>15</v>
      </c>
      <c r="N131" t="s">
        <v>20</v>
      </c>
      <c r="O131" t="s">
        <v>31</v>
      </c>
      <c r="P131">
        <v>23775070</v>
      </c>
    </row>
    <row r="132" spans="1:16" ht="14.25" x14ac:dyDescent="0.2">
      <c r="A132">
        <v>43</v>
      </c>
      <c r="B132" t="s">
        <v>22</v>
      </c>
      <c r="C132" t="s">
        <v>23</v>
      </c>
      <c r="D132">
        <v>28</v>
      </c>
      <c r="E132">
        <v>3</v>
      </c>
      <c r="F132" t="s">
        <v>29</v>
      </c>
      <c r="G132">
        <v>2</v>
      </c>
      <c r="H132">
        <v>3</v>
      </c>
      <c r="I132" t="s">
        <v>19</v>
      </c>
      <c r="J132">
        <v>4739</v>
      </c>
      <c r="K132">
        <v>4</v>
      </c>
      <c r="L132">
        <v>3</v>
      </c>
      <c r="M132">
        <v>3</v>
      </c>
      <c r="N132" t="s">
        <v>20</v>
      </c>
      <c r="O132" t="s">
        <v>26</v>
      </c>
      <c r="P132">
        <v>36327490</v>
      </c>
    </row>
    <row r="133" spans="1:16" ht="14.25" x14ac:dyDescent="0.2">
      <c r="A133">
        <v>50</v>
      </c>
      <c r="B133" t="s">
        <v>22</v>
      </c>
      <c r="C133" t="s">
        <v>17</v>
      </c>
      <c r="D133">
        <v>12</v>
      </c>
      <c r="E133">
        <v>3</v>
      </c>
      <c r="F133" t="s">
        <v>36</v>
      </c>
      <c r="G133">
        <v>3</v>
      </c>
      <c r="H133">
        <v>4</v>
      </c>
      <c r="I133" t="s">
        <v>19</v>
      </c>
      <c r="J133">
        <v>9208</v>
      </c>
      <c r="K133">
        <v>4</v>
      </c>
      <c r="L133">
        <v>3</v>
      </c>
      <c r="M133">
        <v>2</v>
      </c>
      <c r="N133" t="s">
        <v>20</v>
      </c>
      <c r="O133" t="s">
        <v>21</v>
      </c>
      <c r="P133">
        <v>27869273</v>
      </c>
    </row>
    <row r="134" spans="1:16" ht="14.25" x14ac:dyDescent="0.2">
      <c r="A134">
        <v>31</v>
      </c>
      <c r="B134" t="s">
        <v>16</v>
      </c>
      <c r="C134" t="s">
        <v>17</v>
      </c>
      <c r="D134">
        <v>20</v>
      </c>
      <c r="E134">
        <v>3</v>
      </c>
      <c r="F134" t="s">
        <v>18</v>
      </c>
      <c r="G134">
        <v>2</v>
      </c>
      <c r="H134">
        <v>3</v>
      </c>
      <c r="I134" t="s">
        <v>24</v>
      </c>
      <c r="J134">
        <v>4559</v>
      </c>
      <c r="K134">
        <v>3</v>
      </c>
      <c r="L134">
        <v>3</v>
      </c>
      <c r="M134">
        <v>2</v>
      </c>
      <c r="N134" t="s">
        <v>20</v>
      </c>
      <c r="O134" t="s">
        <v>21</v>
      </c>
      <c r="P134">
        <v>20980043</v>
      </c>
    </row>
    <row r="135" spans="1:16" ht="14.25" x14ac:dyDescent="0.2">
      <c r="A135">
        <v>41</v>
      </c>
      <c r="B135" t="s">
        <v>22</v>
      </c>
      <c r="C135" t="s">
        <v>17</v>
      </c>
      <c r="D135">
        <v>9</v>
      </c>
      <c r="E135">
        <v>1</v>
      </c>
      <c r="F135" t="s">
        <v>18</v>
      </c>
      <c r="G135">
        <v>3</v>
      </c>
      <c r="H135">
        <v>3</v>
      </c>
      <c r="I135" t="s">
        <v>30</v>
      </c>
      <c r="J135">
        <v>8189</v>
      </c>
      <c r="K135">
        <v>3</v>
      </c>
      <c r="L135">
        <v>3</v>
      </c>
      <c r="M135">
        <v>9</v>
      </c>
      <c r="N135" t="s">
        <v>25</v>
      </c>
      <c r="O135" t="s">
        <v>21</v>
      </c>
      <c r="P135">
        <v>24734502</v>
      </c>
    </row>
    <row r="136" spans="1:16" ht="14.25" x14ac:dyDescent="0.2">
      <c r="A136">
        <v>26</v>
      </c>
      <c r="B136" t="s">
        <v>22</v>
      </c>
      <c r="C136" t="s">
        <v>38</v>
      </c>
      <c r="D136">
        <v>25</v>
      </c>
      <c r="E136">
        <v>1</v>
      </c>
      <c r="F136" t="s">
        <v>18</v>
      </c>
      <c r="G136">
        <v>3</v>
      </c>
      <c r="H136">
        <v>3</v>
      </c>
      <c r="I136" t="s">
        <v>24</v>
      </c>
      <c r="J136">
        <v>2942</v>
      </c>
      <c r="K136">
        <v>1</v>
      </c>
      <c r="L136">
        <v>3</v>
      </c>
      <c r="M136">
        <v>8</v>
      </c>
      <c r="N136" t="s">
        <v>20</v>
      </c>
      <c r="O136" t="s">
        <v>38</v>
      </c>
      <c r="P136">
        <v>47361509</v>
      </c>
    </row>
    <row r="137" spans="1:16" ht="14.25" x14ac:dyDescent="0.2">
      <c r="A137">
        <v>36</v>
      </c>
      <c r="B137" t="s">
        <v>22</v>
      </c>
      <c r="C137" t="s">
        <v>23</v>
      </c>
      <c r="D137">
        <v>6</v>
      </c>
      <c r="E137">
        <v>2</v>
      </c>
      <c r="F137" t="s">
        <v>29</v>
      </c>
      <c r="G137">
        <v>2</v>
      </c>
      <c r="H137">
        <v>2</v>
      </c>
      <c r="I137" t="s">
        <v>30</v>
      </c>
      <c r="J137">
        <v>4941</v>
      </c>
      <c r="K137">
        <v>6</v>
      </c>
      <c r="L137">
        <v>3</v>
      </c>
      <c r="M137">
        <v>3</v>
      </c>
      <c r="N137" t="s">
        <v>25</v>
      </c>
      <c r="O137" t="s">
        <v>31</v>
      </c>
      <c r="P137">
        <v>42553570</v>
      </c>
    </row>
    <row r="138" spans="1:16" ht="14.25" x14ac:dyDescent="0.2">
      <c r="A138">
        <v>51</v>
      </c>
      <c r="B138" t="s">
        <v>16</v>
      </c>
      <c r="C138" t="s">
        <v>23</v>
      </c>
      <c r="D138">
        <v>8</v>
      </c>
      <c r="E138">
        <v>4</v>
      </c>
      <c r="F138" t="s">
        <v>18</v>
      </c>
      <c r="G138">
        <v>1</v>
      </c>
      <c r="H138">
        <v>4</v>
      </c>
      <c r="I138" t="s">
        <v>19</v>
      </c>
      <c r="J138">
        <v>10650</v>
      </c>
      <c r="K138">
        <v>2</v>
      </c>
      <c r="L138">
        <v>3</v>
      </c>
      <c r="M138">
        <v>4</v>
      </c>
      <c r="N138" t="s">
        <v>25</v>
      </c>
      <c r="O138" t="s">
        <v>31</v>
      </c>
      <c r="P138">
        <v>78539279</v>
      </c>
    </row>
    <row r="139" spans="1:16" ht="14.25" x14ac:dyDescent="0.2">
      <c r="A139">
        <v>39</v>
      </c>
      <c r="B139" t="s">
        <v>22</v>
      </c>
      <c r="C139" t="s">
        <v>17</v>
      </c>
      <c r="D139">
        <v>4</v>
      </c>
      <c r="E139">
        <v>4</v>
      </c>
      <c r="F139" t="s">
        <v>18</v>
      </c>
      <c r="G139">
        <v>4</v>
      </c>
      <c r="H139">
        <v>3</v>
      </c>
      <c r="I139" t="s">
        <v>24</v>
      </c>
      <c r="J139">
        <v>5902</v>
      </c>
      <c r="K139">
        <v>4</v>
      </c>
      <c r="L139">
        <v>4</v>
      </c>
      <c r="M139">
        <v>15</v>
      </c>
      <c r="N139" t="s">
        <v>20</v>
      </c>
      <c r="O139" t="s">
        <v>21</v>
      </c>
      <c r="P139">
        <v>32836455</v>
      </c>
    </row>
    <row r="140" spans="1:16" ht="14.25" x14ac:dyDescent="0.2">
      <c r="A140">
        <v>25</v>
      </c>
      <c r="B140" t="s">
        <v>22</v>
      </c>
      <c r="C140" t="s">
        <v>17</v>
      </c>
      <c r="D140">
        <v>28</v>
      </c>
      <c r="E140">
        <v>3</v>
      </c>
      <c r="F140" t="s">
        <v>18</v>
      </c>
      <c r="G140">
        <v>1</v>
      </c>
      <c r="H140">
        <v>3</v>
      </c>
      <c r="I140" t="s">
        <v>24</v>
      </c>
      <c r="J140">
        <v>8639</v>
      </c>
      <c r="K140">
        <v>2</v>
      </c>
      <c r="L140">
        <v>3</v>
      </c>
      <c r="M140">
        <v>2</v>
      </c>
      <c r="N140" t="s">
        <v>25</v>
      </c>
      <c r="O140" t="s">
        <v>21</v>
      </c>
      <c r="P140">
        <v>57212572</v>
      </c>
    </row>
    <row r="141" spans="1:16" ht="14.25" x14ac:dyDescent="0.2">
      <c r="A141">
        <v>30</v>
      </c>
      <c r="B141" t="s">
        <v>22</v>
      </c>
      <c r="C141" t="s">
        <v>38</v>
      </c>
      <c r="D141">
        <v>9</v>
      </c>
      <c r="E141">
        <v>3</v>
      </c>
      <c r="F141" t="s">
        <v>38</v>
      </c>
      <c r="G141">
        <v>3</v>
      </c>
      <c r="H141">
        <v>4</v>
      </c>
      <c r="I141" t="s">
        <v>24</v>
      </c>
      <c r="J141">
        <v>6347</v>
      </c>
      <c r="K141">
        <v>0</v>
      </c>
      <c r="L141">
        <v>1</v>
      </c>
      <c r="M141">
        <v>11</v>
      </c>
      <c r="N141" t="s">
        <v>25</v>
      </c>
      <c r="O141" t="s">
        <v>38</v>
      </c>
      <c r="P141">
        <v>30715163</v>
      </c>
    </row>
    <row r="142" spans="1:16" ht="14.25" x14ac:dyDescent="0.2">
      <c r="A142">
        <v>32</v>
      </c>
      <c r="B142" t="s">
        <v>16</v>
      </c>
      <c r="C142" t="s">
        <v>23</v>
      </c>
      <c r="D142">
        <v>9</v>
      </c>
      <c r="E142">
        <v>3</v>
      </c>
      <c r="F142" t="s">
        <v>29</v>
      </c>
      <c r="G142">
        <v>1</v>
      </c>
      <c r="H142">
        <v>1</v>
      </c>
      <c r="I142" t="s">
        <v>19</v>
      </c>
      <c r="J142">
        <v>4200</v>
      </c>
      <c r="K142">
        <v>7</v>
      </c>
      <c r="L142">
        <v>4</v>
      </c>
      <c r="M142">
        <v>5</v>
      </c>
      <c r="N142" t="s">
        <v>20</v>
      </c>
      <c r="O142" t="s">
        <v>28</v>
      </c>
      <c r="P142">
        <v>10560854</v>
      </c>
    </row>
    <row r="143" spans="1:16" ht="14.25" x14ac:dyDescent="0.2">
      <c r="A143">
        <v>45</v>
      </c>
      <c r="B143" t="s">
        <v>22</v>
      </c>
      <c r="C143" t="s">
        <v>23</v>
      </c>
      <c r="D143">
        <v>29</v>
      </c>
      <c r="E143">
        <v>3</v>
      </c>
      <c r="F143" t="s">
        <v>29</v>
      </c>
      <c r="G143">
        <v>3</v>
      </c>
      <c r="H143">
        <v>4</v>
      </c>
      <c r="I143" t="s">
        <v>19</v>
      </c>
      <c r="J143">
        <v>3452</v>
      </c>
      <c r="K143">
        <v>5</v>
      </c>
      <c r="L143">
        <v>2</v>
      </c>
      <c r="M143">
        <v>6</v>
      </c>
      <c r="N143" t="s">
        <v>25</v>
      </c>
      <c r="O143" t="s">
        <v>26</v>
      </c>
      <c r="P143">
        <v>25682458</v>
      </c>
    </row>
    <row r="144" spans="1:16" ht="14.25" x14ac:dyDescent="0.2">
      <c r="A144">
        <v>38</v>
      </c>
      <c r="B144" t="s">
        <v>22</v>
      </c>
      <c r="C144" t="s">
        <v>23</v>
      </c>
      <c r="D144">
        <v>3</v>
      </c>
      <c r="E144">
        <v>5</v>
      </c>
      <c r="F144" t="s">
        <v>37</v>
      </c>
      <c r="G144">
        <v>4</v>
      </c>
      <c r="H144">
        <v>3</v>
      </c>
      <c r="I144" t="s">
        <v>19</v>
      </c>
      <c r="J144">
        <v>4317</v>
      </c>
      <c r="K144">
        <v>3</v>
      </c>
      <c r="L144">
        <v>3</v>
      </c>
      <c r="M144">
        <v>3</v>
      </c>
      <c r="N144" t="s">
        <v>20</v>
      </c>
      <c r="O144" t="s">
        <v>26</v>
      </c>
      <c r="P144">
        <v>78932488</v>
      </c>
    </row>
    <row r="145" spans="1:16" ht="14.25" x14ac:dyDescent="0.2">
      <c r="A145">
        <v>30</v>
      </c>
      <c r="B145" t="s">
        <v>22</v>
      </c>
      <c r="C145" t="s">
        <v>23</v>
      </c>
      <c r="D145">
        <v>18</v>
      </c>
      <c r="E145">
        <v>3</v>
      </c>
      <c r="F145" t="s">
        <v>18</v>
      </c>
      <c r="G145">
        <v>1</v>
      </c>
      <c r="H145">
        <v>3</v>
      </c>
      <c r="I145" t="s">
        <v>19</v>
      </c>
      <c r="J145">
        <v>2632</v>
      </c>
      <c r="K145">
        <v>1</v>
      </c>
      <c r="L145">
        <v>2</v>
      </c>
      <c r="M145">
        <v>5</v>
      </c>
      <c r="N145" t="s">
        <v>20</v>
      </c>
      <c r="O145" t="s">
        <v>26</v>
      </c>
      <c r="P145">
        <v>44564666</v>
      </c>
    </row>
    <row r="146" spans="1:16" ht="14.25" x14ac:dyDescent="0.2">
      <c r="A146">
        <v>32</v>
      </c>
      <c r="B146" t="s">
        <v>22</v>
      </c>
      <c r="C146" t="s">
        <v>17</v>
      </c>
      <c r="D146">
        <v>9</v>
      </c>
      <c r="E146">
        <v>2</v>
      </c>
      <c r="F146" t="s">
        <v>29</v>
      </c>
      <c r="G146">
        <v>4</v>
      </c>
      <c r="H146">
        <v>4</v>
      </c>
      <c r="I146" t="s">
        <v>30</v>
      </c>
      <c r="J146">
        <v>4668</v>
      </c>
      <c r="K146">
        <v>0</v>
      </c>
      <c r="L146">
        <v>4</v>
      </c>
      <c r="M146">
        <v>8</v>
      </c>
      <c r="N146" t="s">
        <v>25</v>
      </c>
      <c r="O146" t="s">
        <v>21</v>
      </c>
      <c r="P146">
        <v>68983734</v>
      </c>
    </row>
    <row r="147" spans="1:16" ht="14.25" x14ac:dyDescent="0.2">
      <c r="A147">
        <v>30</v>
      </c>
      <c r="B147" t="s">
        <v>22</v>
      </c>
      <c r="C147" t="s">
        <v>23</v>
      </c>
      <c r="D147">
        <v>5</v>
      </c>
      <c r="E147">
        <v>3</v>
      </c>
      <c r="F147" t="s">
        <v>37</v>
      </c>
      <c r="G147">
        <v>4</v>
      </c>
      <c r="H147">
        <v>1</v>
      </c>
      <c r="I147" t="s">
        <v>30</v>
      </c>
      <c r="J147">
        <v>3204</v>
      </c>
      <c r="K147">
        <v>5</v>
      </c>
      <c r="L147">
        <v>3</v>
      </c>
      <c r="M147">
        <v>3</v>
      </c>
      <c r="N147" t="s">
        <v>20</v>
      </c>
      <c r="O147" t="s">
        <v>26</v>
      </c>
      <c r="P147">
        <v>38673437</v>
      </c>
    </row>
    <row r="148" spans="1:16" ht="14.25" x14ac:dyDescent="0.2">
      <c r="A148">
        <v>30</v>
      </c>
      <c r="B148" t="s">
        <v>22</v>
      </c>
      <c r="C148" t="s">
        <v>23</v>
      </c>
      <c r="D148">
        <v>2</v>
      </c>
      <c r="E148">
        <v>1</v>
      </c>
      <c r="F148" t="s">
        <v>29</v>
      </c>
      <c r="G148">
        <v>2</v>
      </c>
      <c r="H148">
        <v>4</v>
      </c>
      <c r="I148" t="s">
        <v>19</v>
      </c>
      <c r="J148">
        <v>2720</v>
      </c>
      <c r="K148">
        <v>0</v>
      </c>
      <c r="L148">
        <v>3</v>
      </c>
      <c r="M148">
        <v>5</v>
      </c>
      <c r="N148" t="s">
        <v>25</v>
      </c>
      <c r="O148" t="s">
        <v>28</v>
      </c>
      <c r="P148">
        <v>75212715</v>
      </c>
    </row>
    <row r="149" spans="1:16" ht="14.25" x14ac:dyDescent="0.2">
      <c r="A149">
        <v>41</v>
      </c>
      <c r="B149" t="s">
        <v>22</v>
      </c>
      <c r="C149" t="s">
        <v>23</v>
      </c>
      <c r="D149">
        <v>10</v>
      </c>
      <c r="E149">
        <v>3</v>
      </c>
      <c r="F149" t="s">
        <v>18</v>
      </c>
      <c r="G149">
        <v>4</v>
      </c>
      <c r="H149">
        <v>1</v>
      </c>
      <c r="I149" t="s">
        <v>30</v>
      </c>
      <c r="J149">
        <v>17181</v>
      </c>
      <c r="K149">
        <v>4</v>
      </c>
      <c r="L149">
        <v>2</v>
      </c>
      <c r="M149">
        <v>7</v>
      </c>
      <c r="N149" t="s">
        <v>25</v>
      </c>
      <c r="O149" t="s">
        <v>33</v>
      </c>
      <c r="P149">
        <v>12205979</v>
      </c>
    </row>
    <row r="150" spans="1:16" ht="14.25" x14ac:dyDescent="0.2">
      <c r="A150">
        <v>41</v>
      </c>
      <c r="B150" t="s">
        <v>22</v>
      </c>
      <c r="C150" t="s">
        <v>23</v>
      </c>
      <c r="D150">
        <v>9</v>
      </c>
      <c r="E150">
        <v>4</v>
      </c>
      <c r="F150" t="s">
        <v>18</v>
      </c>
      <c r="G150">
        <v>3</v>
      </c>
      <c r="H150">
        <v>1</v>
      </c>
      <c r="I150" t="s">
        <v>24</v>
      </c>
      <c r="J150">
        <v>2238</v>
      </c>
      <c r="K150">
        <v>2</v>
      </c>
      <c r="L150">
        <v>3</v>
      </c>
      <c r="M150">
        <v>5</v>
      </c>
      <c r="N150" t="s">
        <v>25</v>
      </c>
      <c r="O150" t="s">
        <v>28</v>
      </c>
      <c r="P150">
        <v>27116823</v>
      </c>
    </row>
    <row r="151" spans="1:16" ht="14.25" x14ac:dyDescent="0.2">
      <c r="A151">
        <v>19</v>
      </c>
      <c r="B151" t="s">
        <v>22</v>
      </c>
      <c r="C151" t="s">
        <v>23</v>
      </c>
      <c r="D151">
        <v>3</v>
      </c>
      <c r="E151">
        <v>1</v>
      </c>
      <c r="F151" t="s">
        <v>29</v>
      </c>
      <c r="G151">
        <v>2</v>
      </c>
      <c r="H151">
        <v>2</v>
      </c>
      <c r="I151" t="s">
        <v>19</v>
      </c>
      <c r="J151">
        <v>1483</v>
      </c>
      <c r="K151">
        <v>1</v>
      </c>
      <c r="L151">
        <v>3</v>
      </c>
      <c r="M151">
        <v>1</v>
      </c>
      <c r="N151" t="s">
        <v>20</v>
      </c>
      <c r="O151" t="s">
        <v>28</v>
      </c>
      <c r="P151">
        <v>74678812</v>
      </c>
    </row>
    <row r="152" spans="1:16" ht="14.25" x14ac:dyDescent="0.2">
      <c r="A152">
        <v>40</v>
      </c>
      <c r="B152" t="s">
        <v>22</v>
      </c>
      <c r="C152" t="s">
        <v>23</v>
      </c>
      <c r="D152">
        <v>26</v>
      </c>
      <c r="E152">
        <v>3</v>
      </c>
      <c r="F152" t="s">
        <v>29</v>
      </c>
      <c r="G152">
        <v>2</v>
      </c>
      <c r="H152">
        <v>2</v>
      </c>
      <c r="I152" t="s">
        <v>30</v>
      </c>
      <c r="J152">
        <v>5605</v>
      </c>
      <c r="K152">
        <v>1</v>
      </c>
      <c r="L152">
        <v>3</v>
      </c>
      <c r="M152">
        <v>20</v>
      </c>
      <c r="N152" t="s">
        <v>20</v>
      </c>
      <c r="O152" t="s">
        <v>26</v>
      </c>
      <c r="P152">
        <v>12360481</v>
      </c>
    </row>
    <row r="153" spans="1:16" ht="14.25" x14ac:dyDescent="0.2">
      <c r="A153">
        <v>35</v>
      </c>
      <c r="B153" t="s">
        <v>22</v>
      </c>
      <c r="C153" t="s">
        <v>17</v>
      </c>
      <c r="D153">
        <v>1</v>
      </c>
      <c r="E153">
        <v>5</v>
      </c>
      <c r="F153" t="s">
        <v>36</v>
      </c>
      <c r="G153">
        <v>3</v>
      </c>
      <c r="H153">
        <v>2</v>
      </c>
      <c r="I153" t="s">
        <v>24</v>
      </c>
      <c r="J153">
        <v>7295</v>
      </c>
      <c r="K153">
        <v>1</v>
      </c>
      <c r="L153">
        <v>3</v>
      </c>
      <c r="M153">
        <v>10</v>
      </c>
      <c r="N153" t="s">
        <v>25</v>
      </c>
      <c r="O153" t="s">
        <v>21</v>
      </c>
      <c r="P153">
        <v>58835531</v>
      </c>
    </row>
    <row r="154" spans="1:16" ht="14.25" x14ac:dyDescent="0.2">
      <c r="A154">
        <v>53</v>
      </c>
      <c r="B154" t="s">
        <v>22</v>
      </c>
      <c r="C154" t="s">
        <v>17</v>
      </c>
      <c r="D154">
        <v>6</v>
      </c>
      <c r="E154">
        <v>2</v>
      </c>
      <c r="F154" t="s">
        <v>36</v>
      </c>
      <c r="G154">
        <v>2</v>
      </c>
      <c r="H154">
        <v>3</v>
      </c>
      <c r="I154" t="s">
        <v>24</v>
      </c>
      <c r="J154">
        <v>2306</v>
      </c>
      <c r="K154">
        <v>2</v>
      </c>
      <c r="L154">
        <v>1</v>
      </c>
      <c r="M154">
        <v>7</v>
      </c>
      <c r="N154" t="s">
        <v>25</v>
      </c>
      <c r="O154" t="s">
        <v>34</v>
      </c>
      <c r="P154">
        <v>39381880</v>
      </c>
    </row>
    <row r="155" spans="1:16" ht="14.25" x14ac:dyDescent="0.2">
      <c r="A155">
        <v>45</v>
      </c>
      <c r="B155" t="s">
        <v>22</v>
      </c>
      <c r="C155" t="s">
        <v>23</v>
      </c>
      <c r="D155">
        <v>9</v>
      </c>
      <c r="E155">
        <v>3</v>
      </c>
      <c r="F155" t="s">
        <v>18</v>
      </c>
      <c r="G155">
        <v>2</v>
      </c>
      <c r="H155">
        <v>2</v>
      </c>
      <c r="I155" t="s">
        <v>30</v>
      </c>
      <c r="J155">
        <v>2348</v>
      </c>
      <c r="K155">
        <v>8</v>
      </c>
      <c r="L155">
        <v>1</v>
      </c>
      <c r="M155">
        <v>17</v>
      </c>
      <c r="N155" t="s">
        <v>25</v>
      </c>
      <c r="O155" t="s">
        <v>28</v>
      </c>
      <c r="P155">
        <v>53019605</v>
      </c>
    </row>
    <row r="156" spans="1:16" ht="14.25" x14ac:dyDescent="0.2">
      <c r="A156">
        <v>32</v>
      </c>
      <c r="B156" t="s">
        <v>22</v>
      </c>
      <c r="C156" t="s">
        <v>17</v>
      </c>
      <c r="D156">
        <v>8</v>
      </c>
      <c r="E156">
        <v>3</v>
      </c>
      <c r="F156" t="s">
        <v>36</v>
      </c>
      <c r="G156">
        <v>2</v>
      </c>
      <c r="H156">
        <v>4</v>
      </c>
      <c r="I156" t="s">
        <v>19</v>
      </c>
      <c r="J156">
        <v>8998</v>
      </c>
      <c r="K156">
        <v>1</v>
      </c>
      <c r="L156">
        <v>3</v>
      </c>
      <c r="M156">
        <v>9</v>
      </c>
      <c r="N156" t="s">
        <v>20</v>
      </c>
      <c r="O156" t="s">
        <v>21</v>
      </c>
      <c r="P156">
        <v>46434249</v>
      </c>
    </row>
    <row r="157" spans="1:16" ht="14.25" x14ac:dyDescent="0.2">
      <c r="A157">
        <v>29</v>
      </c>
      <c r="B157" t="s">
        <v>22</v>
      </c>
      <c r="C157" t="s">
        <v>23</v>
      </c>
      <c r="D157">
        <v>1</v>
      </c>
      <c r="E157">
        <v>1</v>
      </c>
      <c r="F157" t="s">
        <v>37</v>
      </c>
      <c r="G157">
        <v>4</v>
      </c>
      <c r="H157">
        <v>3</v>
      </c>
      <c r="I157" t="s">
        <v>24</v>
      </c>
      <c r="J157">
        <v>4319</v>
      </c>
      <c r="K157">
        <v>1</v>
      </c>
      <c r="L157">
        <v>3</v>
      </c>
      <c r="M157">
        <v>10</v>
      </c>
      <c r="N157" t="s">
        <v>25</v>
      </c>
      <c r="O157" t="s">
        <v>31</v>
      </c>
      <c r="P157">
        <v>23196498</v>
      </c>
    </row>
    <row r="158" spans="1:16" ht="14.25" x14ac:dyDescent="0.2">
      <c r="A158">
        <v>51</v>
      </c>
      <c r="B158" t="s">
        <v>22</v>
      </c>
      <c r="C158" t="s">
        <v>23</v>
      </c>
      <c r="D158">
        <v>7</v>
      </c>
      <c r="E158">
        <v>4</v>
      </c>
      <c r="F158" t="s">
        <v>29</v>
      </c>
      <c r="G158">
        <v>2</v>
      </c>
      <c r="H158">
        <v>3</v>
      </c>
      <c r="I158" t="s">
        <v>24</v>
      </c>
      <c r="J158">
        <v>6132</v>
      </c>
      <c r="K158">
        <v>2</v>
      </c>
      <c r="L158">
        <v>3</v>
      </c>
      <c r="M158">
        <v>1</v>
      </c>
      <c r="N158" t="s">
        <v>25</v>
      </c>
      <c r="O158" t="s">
        <v>31</v>
      </c>
      <c r="P158">
        <v>56104638</v>
      </c>
    </row>
    <row r="159" spans="1:16" ht="14.25" x14ac:dyDescent="0.2">
      <c r="A159">
        <v>58</v>
      </c>
      <c r="B159" t="s">
        <v>22</v>
      </c>
      <c r="C159" t="s">
        <v>23</v>
      </c>
      <c r="D159">
        <v>9</v>
      </c>
      <c r="E159">
        <v>3</v>
      </c>
      <c r="F159" t="s">
        <v>29</v>
      </c>
      <c r="G159">
        <v>2</v>
      </c>
      <c r="H159">
        <v>2</v>
      </c>
      <c r="I159" t="s">
        <v>24</v>
      </c>
      <c r="J159">
        <v>3346</v>
      </c>
      <c r="K159">
        <v>4</v>
      </c>
      <c r="L159">
        <v>2</v>
      </c>
      <c r="M159">
        <v>1</v>
      </c>
      <c r="N159" t="s">
        <v>20</v>
      </c>
      <c r="O159" t="s">
        <v>26</v>
      </c>
      <c r="P159">
        <v>59051726</v>
      </c>
    </row>
    <row r="160" spans="1:16" ht="14.25" x14ac:dyDescent="0.2">
      <c r="A160">
        <v>40</v>
      </c>
      <c r="B160" t="s">
        <v>22</v>
      </c>
      <c r="C160" t="s">
        <v>17</v>
      </c>
      <c r="D160">
        <v>4</v>
      </c>
      <c r="E160">
        <v>4</v>
      </c>
      <c r="F160" t="s">
        <v>36</v>
      </c>
      <c r="G160">
        <v>3</v>
      </c>
      <c r="H160">
        <v>4</v>
      </c>
      <c r="I160" t="s">
        <v>24</v>
      </c>
      <c r="J160">
        <v>10855</v>
      </c>
      <c r="K160">
        <v>7</v>
      </c>
      <c r="L160">
        <v>2</v>
      </c>
      <c r="M160">
        <v>12</v>
      </c>
      <c r="N160" t="s">
        <v>25</v>
      </c>
      <c r="O160" t="s">
        <v>21</v>
      </c>
      <c r="P160">
        <v>80731064</v>
      </c>
    </row>
    <row r="161" spans="1:16" ht="14.25" x14ac:dyDescent="0.2">
      <c r="A161">
        <v>34</v>
      </c>
      <c r="B161" t="s">
        <v>22</v>
      </c>
      <c r="C161" t="s">
        <v>17</v>
      </c>
      <c r="D161">
        <v>2</v>
      </c>
      <c r="E161">
        <v>4</v>
      </c>
      <c r="F161" t="s">
        <v>36</v>
      </c>
      <c r="G161">
        <v>3</v>
      </c>
      <c r="H161">
        <v>3</v>
      </c>
      <c r="I161" t="s">
        <v>24</v>
      </c>
      <c r="J161">
        <v>2231</v>
      </c>
      <c r="K161">
        <v>6</v>
      </c>
      <c r="L161">
        <v>3</v>
      </c>
      <c r="M161">
        <v>4</v>
      </c>
      <c r="N161" t="s">
        <v>20</v>
      </c>
      <c r="O161" t="s">
        <v>34</v>
      </c>
      <c r="P161">
        <v>65617457</v>
      </c>
    </row>
    <row r="162" spans="1:16" ht="14.25" x14ac:dyDescent="0.2">
      <c r="A162">
        <v>22</v>
      </c>
      <c r="B162" t="s">
        <v>22</v>
      </c>
      <c r="C162" t="s">
        <v>23</v>
      </c>
      <c r="D162">
        <v>19</v>
      </c>
      <c r="E162">
        <v>1</v>
      </c>
      <c r="F162" t="s">
        <v>29</v>
      </c>
      <c r="G162">
        <v>3</v>
      </c>
      <c r="H162">
        <v>4</v>
      </c>
      <c r="I162" t="s">
        <v>24</v>
      </c>
      <c r="J162">
        <v>2323</v>
      </c>
      <c r="K162">
        <v>1</v>
      </c>
      <c r="L162">
        <v>3</v>
      </c>
      <c r="M162">
        <v>2</v>
      </c>
      <c r="N162" t="s">
        <v>25</v>
      </c>
      <c r="O162" t="s">
        <v>26</v>
      </c>
      <c r="P162">
        <v>24521818</v>
      </c>
    </row>
    <row r="163" spans="1:16" ht="14.25" x14ac:dyDescent="0.2">
      <c r="A163">
        <v>27</v>
      </c>
      <c r="B163" t="s">
        <v>22</v>
      </c>
      <c r="C163" t="s">
        <v>23</v>
      </c>
      <c r="D163">
        <v>9</v>
      </c>
      <c r="E163">
        <v>3</v>
      </c>
      <c r="F163" t="s">
        <v>29</v>
      </c>
      <c r="G163">
        <v>4</v>
      </c>
      <c r="H163">
        <v>2</v>
      </c>
      <c r="I163" t="s">
        <v>30</v>
      </c>
      <c r="J163">
        <v>2024</v>
      </c>
      <c r="K163">
        <v>6</v>
      </c>
      <c r="L163">
        <v>1</v>
      </c>
      <c r="M163">
        <v>2</v>
      </c>
      <c r="N163" t="s">
        <v>25</v>
      </c>
      <c r="O163" t="s">
        <v>26</v>
      </c>
      <c r="P163">
        <v>32354957</v>
      </c>
    </row>
    <row r="164" spans="1:16" ht="14.25" x14ac:dyDescent="0.2">
      <c r="A164">
        <v>28</v>
      </c>
      <c r="B164" t="s">
        <v>22</v>
      </c>
      <c r="C164" t="s">
        <v>23</v>
      </c>
      <c r="D164">
        <v>21</v>
      </c>
      <c r="E164">
        <v>3</v>
      </c>
      <c r="F164" t="s">
        <v>29</v>
      </c>
      <c r="G164">
        <v>3</v>
      </c>
      <c r="H164">
        <v>4</v>
      </c>
      <c r="I164" t="s">
        <v>24</v>
      </c>
      <c r="J164">
        <v>2713</v>
      </c>
      <c r="K164">
        <v>1</v>
      </c>
      <c r="L164">
        <v>1</v>
      </c>
      <c r="M164">
        <v>5</v>
      </c>
      <c r="N164" t="s">
        <v>25</v>
      </c>
      <c r="O164" t="s">
        <v>26</v>
      </c>
      <c r="P164">
        <v>89213162</v>
      </c>
    </row>
    <row r="165" spans="1:16" ht="14.25" x14ac:dyDescent="0.2">
      <c r="A165">
        <v>57</v>
      </c>
      <c r="B165" t="s">
        <v>22</v>
      </c>
      <c r="C165" t="s">
        <v>23</v>
      </c>
      <c r="D165">
        <v>24</v>
      </c>
      <c r="E165">
        <v>2</v>
      </c>
      <c r="F165" t="s">
        <v>18</v>
      </c>
      <c r="G165">
        <v>3</v>
      </c>
      <c r="H165">
        <v>4</v>
      </c>
      <c r="I165" t="s">
        <v>30</v>
      </c>
      <c r="J165">
        <v>9439</v>
      </c>
      <c r="K165">
        <v>3</v>
      </c>
      <c r="L165">
        <v>1</v>
      </c>
      <c r="M165">
        <v>5</v>
      </c>
      <c r="N165" t="s">
        <v>25</v>
      </c>
      <c r="O165" t="s">
        <v>32</v>
      </c>
      <c r="P165">
        <v>55801282</v>
      </c>
    </row>
    <row r="166" spans="1:16" ht="14.25" x14ac:dyDescent="0.2">
      <c r="A166">
        <v>27</v>
      </c>
      <c r="B166" t="s">
        <v>22</v>
      </c>
      <c r="C166" t="s">
        <v>23</v>
      </c>
      <c r="D166">
        <v>3</v>
      </c>
      <c r="E166">
        <v>3</v>
      </c>
      <c r="F166" t="s">
        <v>29</v>
      </c>
      <c r="G166">
        <v>3</v>
      </c>
      <c r="H166">
        <v>3</v>
      </c>
      <c r="I166" t="s">
        <v>30</v>
      </c>
      <c r="J166">
        <v>2566</v>
      </c>
      <c r="K166">
        <v>1</v>
      </c>
      <c r="L166">
        <v>2</v>
      </c>
      <c r="M166">
        <v>1</v>
      </c>
      <c r="N166" t="s">
        <v>25</v>
      </c>
      <c r="O166" t="s">
        <v>26</v>
      </c>
      <c r="P166">
        <v>39282228</v>
      </c>
    </row>
    <row r="167" spans="1:16" ht="14.25" x14ac:dyDescent="0.2">
      <c r="A167">
        <v>50</v>
      </c>
      <c r="B167" t="s">
        <v>22</v>
      </c>
      <c r="C167" t="s">
        <v>23</v>
      </c>
      <c r="D167">
        <v>11</v>
      </c>
      <c r="E167">
        <v>3</v>
      </c>
      <c r="F167" t="s">
        <v>18</v>
      </c>
      <c r="G167">
        <v>3</v>
      </c>
      <c r="H167">
        <v>2</v>
      </c>
      <c r="I167" t="s">
        <v>19</v>
      </c>
      <c r="J167">
        <v>19926</v>
      </c>
      <c r="K167">
        <v>3</v>
      </c>
      <c r="L167">
        <v>3</v>
      </c>
      <c r="M167">
        <v>5</v>
      </c>
      <c r="N167" t="s">
        <v>20</v>
      </c>
      <c r="O167" t="s">
        <v>33</v>
      </c>
      <c r="P167">
        <v>78886739</v>
      </c>
    </row>
    <row r="168" spans="1:16" ht="14.25" x14ac:dyDescent="0.2">
      <c r="A168">
        <v>41</v>
      </c>
      <c r="B168" t="s">
        <v>22</v>
      </c>
      <c r="C168" t="s">
        <v>23</v>
      </c>
      <c r="D168">
        <v>14</v>
      </c>
      <c r="E168">
        <v>3</v>
      </c>
      <c r="F168" t="s">
        <v>18</v>
      </c>
      <c r="G168">
        <v>1</v>
      </c>
      <c r="H168">
        <v>3</v>
      </c>
      <c r="I168" t="s">
        <v>30</v>
      </c>
      <c r="J168">
        <v>2451</v>
      </c>
      <c r="K168">
        <v>4</v>
      </c>
      <c r="L168">
        <v>3</v>
      </c>
      <c r="M168">
        <v>9</v>
      </c>
      <c r="N168" t="s">
        <v>25</v>
      </c>
      <c r="O168" t="s">
        <v>26</v>
      </c>
      <c r="P168">
        <v>14633476</v>
      </c>
    </row>
    <row r="169" spans="1:16" ht="14.25" x14ac:dyDescent="0.2">
      <c r="A169">
        <v>30</v>
      </c>
      <c r="B169" t="s">
        <v>22</v>
      </c>
      <c r="C169" t="s">
        <v>17</v>
      </c>
      <c r="D169">
        <v>5</v>
      </c>
      <c r="E169">
        <v>3</v>
      </c>
      <c r="F169" t="s">
        <v>18</v>
      </c>
      <c r="G169">
        <v>2</v>
      </c>
      <c r="H169">
        <v>4</v>
      </c>
      <c r="I169" t="s">
        <v>24</v>
      </c>
      <c r="J169">
        <v>9419</v>
      </c>
      <c r="K169">
        <v>2</v>
      </c>
      <c r="L169">
        <v>3</v>
      </c>
      <c r="M169">
        <v>10</v>
      </c>
      <c r="N169" t="s">
        <v>20</v>
      </c>
      <c r="O169" t="s">
        <v>21</v>
      </c>
      <c r="P169">
        <v>84813668</v>
      </c>
    </row>
    <row r="170" spans="1:16" ht="14.25" x14ac:dyDescent="0.2">
      <c r="A170">
        <v>38</v>
      </c>
      <c r="B170" t="s">
        <v>22</v>
      </c>
      <c r="C170" t="s">
        <v>17</v>
      </c>
      <c r="D170">
        <v>1</v>
      </c>
      <c r="E170">
        <v>4</v>
      </c>
      <c r="F170" t="s">
        <v>18</v>
      </c>
      <c r="G170">
        <v>1</v>
      </c>
      <c r="H170">
        <v>4</v>
      </c>
      <c r="I170" t="s">
        <v>19</v>
      </c>
      <c r="J170">
        <v>8686</v>
      </c>
      <c r="K170">
        <v>4</v>
      </c>
      <c r="L170">
        <v>4</v>
      </c>
      <c r="M170">
        <v>8</v>
      </c>
      <c r="N170" t="s">
        <v>20</v>
      </c>
      <c r="O170" t="s">
        <v>21</v>
      </c>
      <c r="P170">
        <v>81209907</v>
      </c>
    </row>
    <row r="171" spans="1:16" ht="14.25" x14ac:dyDescent="0.2">
      <c r="A171">
        <v>32</v>
      </c>
      <c r="B171" t="s">
        <v>22</v>
      </c>
      <c r="C171" t="s">
        <v>23</v>
      </c>
      <c r="D171">
        <v>6</v>
      </c>
      <c r="E171">
        <v>5</v>
      </c>
      <c r="F171" t="s">
        <v>18</v>
      </c>
      <c r="G171">
        <v>3</v>
      </c>
      <c r="H171">
        <v>3</v>
      </c>
      <c r="I171" t="s">
        <v>19</v>
      </c>
      <c r="J171">
        <v>3038</v>
      </c>
      <c r="K171">
        <v>3</v>
      </c>
      <c r="L171">
        <v>3</v>
      </c>
      <c r="M171">
        <v>5</v>
      </c>
      <c r="N171" t="s">
        <v>25</v>
      </c>
      <c r="O171" t="s">
        <v>26</v>
      </c>
      <c r="P171">
        <v>16361934</v>
      </c>
    </row>
    <row r="172" spans="1:16" ht="14.25" x14ac:dyDescent="0.2">
      <c r="A172">
        <v>27</v>
      </c>
      <c r="B172" t="s">
        <v>22</v>
      </c>
      <c r="C172" t="s">
        <v>23</v>
      </c>
      <c r="D172">
        <v>17</v>
      </c>
      <c r="E172">
        <v>3</v>
      </c>
      <c r="F172" t="s">
        <v>37</v>
      </c>
      <c r="G172">
        <v>3</v>
      </c>
      <c r="H172">
        <v>2</v>
      </c>
      <c r="I172" t="s">
        <v>24</v>
      </c>
      <c r="J172">
        <v>3058</v>
      </c>
      <c r="K172">
        <v>0</v>
      </c>
      <c r="L172">
        <v>2</v>
      </c>
      <c r="M172">
        <v>5</v>
      </c>
      <c r="N172" t="s">
        <v>25</v>
      </c>
      <c r="O172" t="s">
        <v>26</v>
      </c>
      <c r="P172">
        <v>44329409</v>
      </c>
    </row>
    <row r="173" spans="1:16" ht="14.25" x14ac:dyDescent="0.2">
      <c r="A173">
        <v>19</v>
      </c>
      <c r="B173" t="s">
        <v>16</v>
      </c>
      <c r="C173" t="s">
        <v>17</v>
      </c>
      <c r="D173">
        <v>1</v>
      </c>
      <c r="E173">
        <v>1</v>
      </c>
      <c r="F173" t="s">
        <v>37</v>
      </c>
      <c r="G173">
        <v>3</v>
      </c>
      <c r="H173">
        <v>1</v>
      </c>
      <c r="I173" t="s">
        <v>19</v>
      </c>
      <c r="J173">
        <v>2325</v>
      </c>
      <c r="K173">
        <v>0</v>
      </c>
      <c r="L173">
        <v>4</v>
      </c>
      <c r="M173">
        <v>0</v>
      </c>
      <c r="N173" t="s">
        <v>20</v>
      </c>
      <c r="O173" t="s">
        <v>34</v>
      </c>
      <c r="P173">
        <v>72126349</v>
      </c>
    </row>
    <row r="174" spans="1:16" ht="14.25" x14ac:dyDescent="0.2">
      <c r="A174">
        <v>36</v>
      </c>
      <c r="B174" t="s">
        <v>22</v>
      </c>
      <c r="C174" t="s">
        <v>23</v>
      </c>
      <c r="D174">
        <v>3</v>
      </c>
      <c r="E174">
        <v>2</v>
      </c>
      <c r="F174" t="s">
        <v>29</v>
      </c>
      <c r="G174">
        <v>4</v>
      </c>
      <c r="H174">
        <v>2</v>
      </c>
      <c r="I174" t="s">
        <v>19</v>
      </c>
      <c r="J174">
        <v>2088</v>
      </c>
      <c r="K174">
        <v>4</v>
      </c>
      <c r="L174">
        <v>2</v>
      </c>
      <c r="M174">
        <v>8</v>
      </c>
      <c r="N174" t="s">
        <v>25</v>
      </c>
      <c r="O174" t="s">
        <v>28</v>
      </c>
      <c r="P174">
        <v>40475404</v>
      </c>
    </row>
    <row r="175" spans="1:16" ht="14.25" x14ac:dyDescent="0.2">
      <c r="A175">
        <v>30</v>
      </c>
      <c r="B175" t="s">
        <v>22</v>
      </c>
      <c r="C175" t="s">
        <v>23</v>
      </c>
      <c r="D175">
        <v>9</v>
      </c>
      <c r="E175">
        <v>3</v>
      </c>
      <c r="F175" t="s">
        <v>29</v>
      </c>
      <c r="G175">
        <v>3</v>
      </c>
      <c r="H175">
        <v>1</v>
      </c>
      <c r="I175" t="s">
        <v>30</v>
      </c>
      <c r="J175">
        <v>3072</v>
      </c>
      <c r="K175">
        <v>1</v>
      </c>
      <c r="L175">
        <v>3</v>
      </c>
      <c r="M175">
        <v>12</v>
      </c>
      <c r="N175" t="s">
        <v>25</v>
      </c>
      <c r="O175" t="s">
        <v>28</v>
      </c>
      <c r="P175">
        <v>53716872</v>
      </c>
    </row>
    <row r="176" spans="1:16" ht="14.25" x14ac:dyDescent="0.2">
      <c r="A176">
        <v>45</v>
      </c>
      <c r="B176" t="s">
        <v>22</v>
      </c>
      <c r="C176" t="s">
        <v>17</v>
      </c>
      <c r="D176">
        <v>4</v>
      </c>
      <c r="E176">
        <v>2</v>
      </c>
      <c r="F176" t="s">
        <v>18</v>
      </c>
      <c r="G176">
        <v>3</v>
      </c>
      <c r="H176">
        <v>1</v>
      </c>
      <c r="I176" t="s">
        <v>30</v>
      </c>
      <c r="J176">
        <v>5006</v>
      </c>
      <c r="K176">
        <v>4</v>
      </c>
      <c r="L176">
        <v>4</v>
      </c>
      <c r="M176">
        <v>5</v>
      </c>
      <c r="N176" t="s">
        <v>20</v>
      </c>
      <c r="O176" t="s">
        <v>21</v>
      </c>
      <c r="P176">
        <v>41823180</v>
      </c>
    </row>
    <row r="177" spans="1:16" ht="14.25" x14ac:dyDescent="0.2">
      <c r="A177">
        <v>56</v>
      </c>
      <c r="B177" t="s">
        <v>22</v>
      </c>
      <c r="C177" t="s">
        <v>23</v>
      </c>
      <c r="D177">
        <v>8</v>
      </c>
      <c r="E177">
        <v>3</v>
      </c>
      <c r="F177" t="s">
        <v>18</v>
      </c>
      <c r="G177">
        <v>3</v>
      </c>
      <c r="H177">
        <v>1</v>
      </c>
      <c r="I177" t="s">
        <v>30</v>
      </c>
      <c r="J177">
        <v>4257</v>
      </c>
      <c r="K177">
        <v>4</v>
      </c>
      <c r="L177">
        <v>3</v>
      </c>
      <c r="M177">
        <v>2</v>
      </c>
      <c r="N177" t="s">
        <v>20</v>
      </c>
      <c r="O177" t="s">
        <v>26</v>
      </c>
      <c r="P177">
        <v>86796104</v>
      </c>
    </row>
    <row r="178" spans="1:16" ht="14.25" x14ac:dyDescent="0.2">
      <c r="A178">
        <v>33</v>
      </c>
      <c r="B178" t="s">
        <v>22</v>
      </c>
      <c r="C178" t="s">
        <v>23</v>
      </c>
      <c r="D178">
        <v>2</v>
      </c>
      <c r="E178">
        <v>3</v>
      </c>
      <c r="F178" t="s">
        <v>18</v>
      </c>
      <c r="G178">
        <v>3</v>
      </c>
      <c r="H178">
        <v>4</v>
      </c>
      <c r="I178" t="s">
        <v>19</v>
      </c>
      <c r="J178">
        <v>2500</v>
      </c>
      <c r="K178">
        <v>0</v>
      </c>
      <c r="L178">
        <v>4</v>
      </c>
      <c r="M178">
        <v>3</v>
      </c>
      <c r="N178" t="s">
        <v>25</v>
      </c>
      <c r="O178" t="s">
        <v>26</v>
      </c>
      <c r="P178">
        <v>28509363</v>
      </c>
    </row>
    <row r="179" spans="1:16" ht="14.25" x14ac:dyDescent="0.2">
      <c r="A179">
        <v>19</v>
      </c>
      <c r="B179" t="s">
        <v>16</v>
      </c>
      <c r="C179" t="s">
        <v>23</v>
      </c>
      <c r="D179">
        <v>2</v>
      </c>
      <c r="E179">
        <v>3</v>
      </c>
      <c r="F179" t="s">
        <v>18</v>
      </c>
      <c r="G179">
        <v>2</v>
      </c>
      <c r="H179">
        <v>4</v>
      </c>
      <c r="I179" t="s">
        <v>19</v>
      </c>
      <c r="J179">
        <v>1102</v>
      </c>
      <c r="K179">
        <v>1</v>
      </c>
      <c r="L179">
        <v>2</v>
      </c>
      <c r="M179">
        <v>1</v>
      </c>
      <c r="N179" t="s">
        <v>25</v>
      </c>
      <c r="O179" t="s">
        <v>28</v>
      </c>
      <c r="P179">
        <v>14739427</v>
      </c>
    </row>
    <row r="180" spans="1:16" ht="14.25" x14ac:dyDescent="0.2">
      <c r="A180">
        <v>46</v>
      </c>
      <c r="B180" t="s">
        <v>22</v>
      </c>
      <c r="C180" t="s">
        <v>17</v>
      </c>
      <c r="D180">
        <v>1</v>
      </c>
      <c r="E180">
        <v>2</v>
      </c>
      <c r="F180" t="s">
        <v>36</v>
      </c>
      <c r="G180">
        <v>2</v>
      </c>
      <c r="H180">
        <v>1</v>
      </c>
      <c r="I180" t="s">
        <v>30</v>
      </c>
      <c r="J180">
        <v>10453</v>
      </c>
      <c r="K180">
        <v>1</v>
      </c>
      <c r="L180">
        <v>3</v>
      </c>
      <c r="M180">
        <v>24</v>
      </c>
      <c r="N180" t="s">
        <v>20</v>
      </c>
      <c r="O180" t="s">
        <v>21</v>
      </c>
      <c r="P180">
        <v>35968917</v>
      </c>
    </row>
    <row r="181" spans="1:16" ht="14.25" x14ac:dyDescent="0.2">
      <c r="A181">
        <v>38</v>
      </c>
      <c r="B181" t="s">
        <v>22</v>
      </c>
      <c r="C181" t="s">
        <v>23</v>
      </c>
      <c r="D181">
        <v>9</v>
      </c>
      <c r="E181">
        <v>2</v>
      </c>
      <c r="F181" t="s">
        <v>18</v>
      </c>
      <c r="G181">
        <v>3</v>
      </c>
      <c r="H181">
        <v>4</v>
      </c>
      <c r="I181" t="s">
        <v>19</v>
      </c>
      <c r="J181">
        <v>2288</v>
      </c>
      <c r="K181">
        <v>1</v>
      </c>
      <c r="L181">
        <v>3</v>
      </c>
      <c r="M181">
        <v>2</v>
      </c>
      <c r="N181" t="s">
        <v>20</v>
      </c>
      <c r="O181" t="s">
        <v>28</v>
      </c>
      <c r="P181">
        <v>66913263</v>
      </c>
    </row>
    <row r="182" spans="1:16" ht="14.25" x14ac:dyDescent="0.2">
      <c r="A182">
        <v>31</v>
      </c>
      <c r="B182" t="s">
        <v>22</v>
      </c>
      <c r="C182" t="s">
        <v>23</v>
      </c>
      <c r="D182">
        <v>12</v>
      </c>
      <c r="E182">
        <v>1</v>
      </c>
      <c r="F182" t="s">
        <v>29</v>
      </c>
      <c r="G182">
        <v>3</v>
      </c>
      <c r="H182">
        <v>4</v>
      </c>
      <c r="I182" t="s">
        <v>24</v>
      </c>
      <c r="J182">
        <v>3929</v>
      </c>
      <c r="K182">
        <v>8</v>
      </c>
      <c r="L182">
        <v>3</v>
      </c>
      <c r="M182">
        <v>4</v>
      </c>
      <c r="N182" t="s">
        <v>20</v>
      </c>
      <c r="O182" t="s">
        <v>26</v>
      </c>
      <c r="P182">
        <v>24555492</v>
      </c>
    </row>
    <row r="183" spans="1:16" ht="14.25" x14ac:dyDescent="0.2">
      <c r="A183">
        <v>34</v>
      </c>
      <c r="B183" t="s">
        <v>22</v>
      </c>
      <c r="C183" t="s">
        <v>23</v>
      </c>
      <c r="D183">
        <v>27</v>
      </c>
      <c r="E183">
        <v>2</v>
      </c>
      <c r="F183" t="s">
        <v>29</v>
      </c>
      <c r="G183">
        <v>4</v>
      </c>
      <c r="H183">
        <v>2</v>
      </c>
      <c r="I183" t="s">
        <v>19</v>
      </c>
      <c r="J183">
        <v>2311</v>
      </c>
      <c r="K183">
        <v>2</v>
      </c>
      <c r="L183">
        <v>3</v>
      </c>
      <c r="M183">
        <v>3</v>
      </c>
      <c r="N183" t="s">
        <v>20</v>
      </c>
      <c r="O183" t="s">
        <v>26</v>
      </c>
      <c r="P183">
        <v>26929401</v>
      </c>
    </row>
    <row r="184" spans="1:16" ht="14.25" x14ac:dyDescent="0.2">
      <c r="A184">
        <v>41</v>
      </c>
      <c r="B184" t="s">
        <v>16</v>
      </c>
      <c r="C184" t="s">
        <v>17</v>
      </c>
      <c r="D184">
        <v>20</v>
      </c>
      <c r="E184">
        <v>2</v>
      </c>
      <c r="F184" t="s">
        <v>36</v>
      </c>
      <c r="G184">
        <v>2</v>
      </c>
      <c r="H184">
        <v>2</v>
      </c>
      <c r="I184" t="s">
        <v>19</v>
      </c>
      <c r="J184">
        <v>3140</v>
      </c>
      <c r="K184">
        <v>1</v>
      </c>
      <c r="L184">
        <v>2</v>
      </c>
      <c r="M184">
        <v>4</v>
      </c>
      <c r="N184" t="s">
        <v>20</v>
      </c>
      <c r="O184" t="s">
        <v>34</v>
      </c>
      <c r="P184">
        <v>56316650</v>
      </c>
    </row>
    <row r="185" spans="1:16" ht="14.25" x14ac:dyDescent="0.2">
      <c r="A185">
        <v>50</v>
      </c>
      <c r="B185" t="s">
        <v>22</v>
      </c>
      <c r="C185" t="s">
        <v>23</v>
      </c>
      <c r="D185">
        <v>1</v>
      </c>
      <c r="E185">
        <v>3</v>
      </c>
      <c r="F185" t="s">
        <v>29</v>
      </c>
      <c r="G185">
        <v>3</v>
      </c>
      <c r="H185">
        <v>3</v>
      </c>
      <c r="I185" t="s">
        <v>24</v>
      </c>
      <c r="J185">
        <v>3690</v>
      </c>
      <c r="K185">
        <v>2</v>
      </c>
      <c r="L185">
        <v>2</v>
      </c>
      <c r="M185">
        <v>3</v>
      </c>
      <c r="N185" t="s">
        <v>25</v>
      </c>
      <c r="O185" t="s">
        <v>28</v>
      </c>
      <c r="P185">
        <v>88610492</v>
      </c>
    </row>
    <row r="186" spans="1:16" ht="14.25" x14ac:dyDescent="0.2">
      <c r="A186">
        <v>53</v>
      </c>
      <c r="B186" t="s">
        <v>22</v>
      </c>
      <c r="C186" t="s">
        <v>23</v>
      </c>
      <c r="D186">
        <v>13</v>
      </c>
      <c r="E186">
        <v>2</v>
      </c>
      <c r="F186" t="s">
        <v>29</v>
      </c>
      <c r="G186">
        <v>4</v>
      </c>
      <c r="H186">
        <v>1</v>
      </c>
      <c r="I186" t="s">
        <v>30</v>
      </c>
      <c r="J186">
        <v>4450</v>
      </c>
      <c r="K186">
        <v>1</v>
      </c>
      <c r="L186">
        <v>3</v>
      </c>
      <c r="M186">
        <v>4</v>
      </c>
      <c r="N186" t="s">
        <v>20</v>
      </c>
      <c r="O186" t="s">
        <v>31</v>
      </c>
      <c r="P186">
        <v>58014540</v>
      </c>
    </row>
    <row r="187" spans="1:16" ht="14.25" x14ac:dyDescent="0.2">
      <c r="A187">
        <v>33</v>
      </c>
      <c r="B187" t="s">
        <v>22</v>
      </c>
      <c r="C187" t="s">
        <v>23</v>
      </c>
      <c r="D187">
        <v>14</v>
      </c>
      <c r="E187">
        <v>3</v>
      </c>
      <c r="F187" t="s">
        <v>29</v>
      </c>
      <c r="G187">
        <v>4</v>
      </c>
      <c r="H187">
        <v>2</v>
      </c>
      <c r="I187" t="s">
        <v>24</v>
      </c>
      <c r="J187">
        <v>2756</v>
      </c>
      <c r="K187">
        <v>1</v>
      </c>
      <c r="L187">
        <v>3</v>
      </c>
      <c r="M187">
        <v>8</v>
      </c>
      <c r="N187" t="s">
        <v>20</v>
      </c>
      <c r="O187" t="s">
        <v>26</v>
      </c>
      <c r="P187">
        <v>76156773</v>
      </c>
    </row>
    <row r="188" spans="1:16" ht="14.25" x14ac:dyDescent="0.2">
      <c r="A188">
        <v>40</v>
      </c>
      <c r="B188" t="s">
        <v>22</v>
      </c>
      <c r="C188" t="s">
        <v>23</v>
      </c>
      <c r="D188">
        <v>4</v>
      </c>
      <c r="E188">
        <v>1</v>
      </c>
      <c r="F188" t="s">
        <v>29</v>
      </c>
      <c r="G188">
        <v>4</v>
      </c>
      <c r="H188">
        <v>3</v>
      </c>
      <c r="I188" t="s">
        <v>24</v>
      </c>
      <c r="J188">
        <v>19033</v>
      </c>
      <c r="K188">
        <v>1</v>
      </c>
      <c r="L188">
        <v>3</v>
      </c>
      <c r="M188">
        <v>20</v>
      </c>
      <c r="N188" t="s">
        <v>20</v>
      </c>
      <c r="O188" t="s">
        <v>33</v>
      </c>
      <c r="P188">
        <v>79748446</v>
      </c>
    </row>
    <row r="189" spans="1:16" ht="14.25" x14ac:dyDescent="0.2">
      <c r="A189">
        <v>55</v>
      </c>
      <c r="B189" t="s">
        <v>22</v>
      </c>
      <c r="C189" t="s">
        <v>23</v>
      </c>
      <c r="D189">
        <v>14</v>
      </c>
      <c r="E189">
        <v>4</v>
      </c>
      <c r="F189" t="s">
        <v>29</v>
      </c>
      <c r="G189">
        <v>3</v>
      </c>
      <c r="H189">
        <v>2</v>
      </c>
      <c r="I189" t="s">
        <v>19</v>
      </c>
      <c r="J189">
        <v>18722</v>
      </c>
      <c r="K189">
        <v>8</v>
      </c>
      <c r="L189">
        <v>3</v>
      </c>
      <c r="M189">
        <v>24</v>
      </c>
      <c r="N189" t="s">
        <v>25</v>
      </c>
      <c r="O189" t="s">
        <v>35</v>
      </c>
      <c r="P189">
        <v>76279165</v>
      </c>
    </row>
    <row r="190" spans="1:16" ht="14.25" x14ac:dyDescent="0.2">
      <c r="A190">
        <v>34</v>
      </c>
      <c r="B190" t="s">
        <v>22</v>
      </c>
      <c r="C190" t="s">
        <v>23</v>
      </c>
      <c r="D190">
        <v>2</v>
      </c>
      <c r="E190">
        <v>1</v>
      </c>
      <c r="F190" t="s">
        <v>18</v>
      </c>
      <c r="G190">
        <v>4</v>
      </c>
      <c r="H190">
        <v>3</v>
      </c>
      <c r="I190" t="s">
        <v>24</v>
      </c>
      <c r="J190">
        <v>9547</v>
      </c>
      <c r="K190">
        <v>1</v>
      </c>
      <c r="L190">
        <v>2</v>
      </c>
      <c r="M190">
        <v>10</v>
      </c>
      <c r="N190" t="s">
        <v>25</v>
      </c>
      <c r="O190" t="s">
        <v>31</v>
      </c>
      <c r="P190">
        <v>19161332</v>
      </c>
    </row>
    <row r="191" spans="1:16" ht="14.25" x14ac:dyDescent="0.2">
      <c r="A191">
        <v>51</v>
      </c>
      <c r="B191" t="s">
        <v>22</v>
      </c>
      <c r="C191" t="s">
        <v>23</v>
      </c>
      <c r="D191">
        <v>3</v>
      </c>
      <c r="E191">
        <v>3</v>
      </c>
      <c r="F191" t="s">
        <v>29</v>
      </c>
      <c r="G191">
        <v>4</v>
      </c>
      <c r="H191">
        <v>2</v>
      </c>
      <c r="I191" t="s">
        <v>19</v>
      </c>
      <c r="J191">
        <v>13734</v>
      </c>
      <c r="K191">
        <v>3</v>
      </c>
      <c r="L191">
        <v>3</v>
      </c>
      <c r="M191">
        <v>7</v>
      </c>
      <c r="N191" t="s">
        <v>20</v>
      </c>
      <c r="O191" t="s">
        <v>32</v>
      </c>
      <c r="P191">
        <v>66445114</v>
      </c>
    </row>
    <row r="192" spans="1:16" ht="14.25" x14ac:dyDescent="0.2">
      <c r="A192">
        <v>52</v>
      </c>
      <c r="B192" t="s">
        <v>22</v>
      </c>
      <c r="C192" t="s">
        <v>23</v>
      </c>
      <c r="D192">
        <v>1</v>
      </c>
      <c r="E192">
        <v>4</v>
      </c>
      <c r="F192" t="s">
        <v>18</v>
      </c>
      <c r="G192">
        <v>3</v>
      </c>
      <c r="H192">
        <v>3</v>
      </c>
      <c r="I192" t="s">
        <v>24</v>
      </c>
      <c r="J192">
        <v>19999</v>
      </c>
      <c r="K192">
        <v>0</v>
      </c>
      <c r="L192">
        <v>3</v>
      </c>
      <c r="M192">
        <v>33</v>
      </c>
      <c r="N192" t="s">
        <v>25</v>
      </c>
      <c r="O192" t="s">
        <v>33</v>
      </c>
      <c r="P192">
        <v>44356288</v>
      </c>
    </row>
    <row r="193" spans="1:16" ht="14.25" x14ac:dyDescent="0.2">
      <c r="A193">
        <v>27</v>
      </c>
      <c r="B193" t="s">
        <v>22</v>
      </c>
      <c r="C193" t="s">
        <v>23</v>
      </c>
      <c r="D193">
        <v>9</v>
      </c>
      <c r="E193">
        <v>3</v>
      </c>
      <c r="F193" t="s">
        <v>29</v>
      </c>
      <c r="G193">
        <v>4</v>
      </c>
      <c r="H193">
        <v>2</v>
      </c>
      <c r="I193" t="s">
        <v>19</v>
      </c>
      <c r="J193">
        <v>2279</v>
      </c>
      <c r="K193">
        <v>1</v>
      </c>
      <c r="L193">
        <v>2</v>
      </c>
      <c r="M193">
        <v>7</v>
      </c>
      <c r="N193" t="s">
        <v>20</v>
      </c>
      <c r="O193" t="s">
        <v>26</v>
      </c>
      <c r="P193">
        <v>56235731</v>
      </c>
    </row>
    <row r="194" spans="1:16" ht="14.25" x14ac:dyDescent="0.2">
      <c r="A194">
        <v>35</v>
      </c>
      <c r="B194" t="s">
        <v>16</v>
      </c>
      <c r="C194" t="s">
        <v>23</v>
      </c>
      <c r="D194">
        <v>23</v>
      </c>
      <c r="E194">
        <v>2</v>
      </c>
      <c r="F194" t="s">
        <v>18</v>
      </c>
      <c r="G194">
        <v>2</v>
      </c>
      <c r="H194">
        <v>3</v>
      </c>
      <c r="I194" t="s">
        <v>24</v>
      </c>
      <c r="J194">
        <v>5916</v>
      </c>
      <c r="K194">
        <v>3</v>
      </c>
      <c r="L194">
        <v>3</v>
      </c>
      <c r="M194">
        <v>1</v>
      </c>
      <c r="N194" t="s">
        <v>25</v>
      </c>
      <c r="O194" t="s">
        <v>31</v>
      </c>
      <c r="P194">
        <v>79819466</v>
      </c>
    </row>
    <row r="195" spans="1:16" ht="14.25" x14ac:dyDescent="0.2">
      <c r="A195">
        <v>43</v>
      </c>
      <c r="B195" t="s">
        <v>22</v>
      </c>
      <c r="C195" t="s">
        <v>23</v>
      </c>
      <c r="D195">
        <v>7</v>
      </c>
      <c r="E195">
        <v>3</v>
      </c>
      <c r="F195" t="s">
        <v>29</v>
      </c>
      <c r="G195">
        <v>4</v>
      </c>
      <c r="H195">
        <v>4</v>
      </c>
      <c r="I195" t="s">
        <v>30</v>
      </c>
      <c r="J195">
        <v>2089</v>
      </c>
      <c r="K195">
        <v>4</v>
      </c>
      <c r="L195">
        <v>4</v>
      </c>
      <c r="M195">
        <v>5</v>
      </c>
      <c r="N195" t="s">
        <v>25</v>
      </c>
      <c r="O195" t="s">
        <v>26</v>
      </c>
      <c r="P195">
        <v>28072017</v>
      </c>
    </row>
    <row r="196" spans="1:16" ht="14.25" x14ac:dyDescent="0.2">
      <c r="A196">
        <v>45</v>
      </c>
      <c r="B196" t="s">
        <v>22</v>
      </c>
      <c r="C196" t="s">
        <v>23</v>
      </c>
      <c r="D196">
        <v>2</v>
      </c>
      <c r="E196">
        <v>2</v>
      </c>
      <c r="F196" t="s">
        <v>29</v>
      </c>
      <c r="G196">
        <v>1</v>
      </c>
      <c r="H196">
        <v>4</v>
      </c>
      <c r="I196" t="s">
        <v>24</v>
      </c>
      <c r="J196">
        <v>16792</v>
      </c>
      <c r="K196">
        <v>9</v>
      </c>
      <c r="L196">
        <v>3</v>
      </c>
      <c r="M196">
        <v>20</v>
      </c>
      <c r="N196" t="s">
        <v>25</v>
      </c>
      <c r="O196" t="s">
        <v>33</v>
      </c>
      <c r="P196">
        <v>33308831</v>
      </c>
    </row>
    <row r="197" spans="1:16" ht="14.25" x14ac:dyDescent="0.2">
      <c r="A197">
        <v>37</v>
      </c>
      <c r="B197" t="s">
        <v>22</v>
      </c>
      <c r="C197" t="s">
        <v>23</v>
      </c>
      <c r="D197">
        <v>21</v>
      </c>
      <c r="E197">
        <v>3</v>
      </c>
      <c r="F197" t="s">
        <v>18</v>
      </c>
      <c r="G197">
        <v>2</v>
      </c>
      <c r="H197">
        <v>1</v>
      </c>
      <c r="I197" t="s">
        <v>24</v>
      </c>
      <c r="J197">
        <v>3564</v>
      </c>
      <c r="K197">
        <v>1</v>
      </c>
      <c r="L197">
        <v>2</v>
      </c>
      <c r="M197">
        <v>8</v>
      </c>
      <c r="N197" t="s">
        <v>25</v>
      </c>
      <c r="O197" t="s">
        <v>26</v>
      </c>
      <c r="P197">
        <v>76772708</v>
      </c>
    </row>
    <row r="198" spans="1:16" ht="14.25" x14ac:dyDescent="0.2">
      <c r="A198">
        <v>35</v>
      </c>
      <c r="B198" t="s">
        <v>22</v>
      </c>
      <c r="C198" t="s">
        <v>23</v>
      </c>
      <c r="D198">
        <v>2</v>
      </c>
      <c r="E198">
        <v>3</v>
      </c>
      <c r="F198" t="s">
        <v>29</v>
      </c>
      <c r="G198">
        <v>2</v>
      </c>
      <c r="H198">
        <v>2</v>
      </c>
      <c r="I198" t="s">
        <v>19</v>
      </c>
      <c r="J198">
        <v>4425</v>
      </c>
      <c r="K198">
        <v>5</v>
      </c>
      <c r="L198">
        <v>3</v>
      </c>
      <c r="M198">
        <v>6</v>
      </c>
      <c r="N198" t="s">
        <v>20</v>
      </c>
      <c r="O198" t="s">
        <v>28</v>
      </c>
      <c r="P198">
        <v>74183192</v>
      </c>
    </row>
    <row r="199" spans="1:16" ht="14.25" x14ac:dyDescent="0.2">
      <c r="A199">
        <v>42</v>
      </c>
      <c r="B199" t="s">
        <v>22</v>
      </c>
      <c r="C199" t="s">
        <v>23</v>
      </c>
      <c r="D199">
        <v>21</v>
      </c>
      <c r="E199">
        <v>2</v>
      </c>
      <c r="F199" t="s">
        <v>29</v>
      </c>
      <c r="G199">
        <v>3</v>
      </c>
      <c r="H199">
        <v>3</v>
      </c>
      <c r="I199" t="s">
        <v>30</v>
      </c>
      <c r="J199">
        <v>5265</v>
      </c>
      <c r="K199">
        <v>2</v>
      </c>
      <c r="L199">
        <v>3</v>
      </c>
      <c r="M199">
        <v>5</v>
      </c>
      <c r="N199" t="s">
        <v>20</v>
      </c>
      <c r="O199" t="s">
        <v>31</v>
      </c>
      <c r="P199">
        <v>39158497</v>
      </c>
    </row>
    <row r="200" spans="1:16" ht="14.25" x14ac:dyDescent="0.2">
      <c r="A200">
        <v>38</v>
      </c>
      <c r="B200" t="s">
        <v>22</v>
      </c>
      <c r="C200" t="s">
        <v>23</v>
      </c>
      <c r="D200">
        <v>2</v>
      </c>
      <c r="E200">
        <v>4</v>
      </c>
      <c r="F200" t="s">
        <v>18</v>
      </c>
      <c r="G200">
        <v>4</v>
      </c>
      <c r="H200">
        <v>3</v>
      </c>
      <c r="I200" t="s">
        <v>24</v>
      </c>
      <c r="J200">
        <v>6553</v>
      </c>
      <c r="K200">
        <v>9</v>
      </c>
      <c r="L200">
        <v>3</v>
      </c>
      <c r="M200">
        <v>1</v>
      </c>
      <c r="N200" t="s">
        <v>25</v>
      </c>
      <c r="O200" t="s">
        <v>31</v>
      </c>
      <c r="P200">
        <v>61820232</v>
      </c>
    </row>
    <row r="201" spans="1:16" ht="14.25" x14ac:dyDescent="0.2">
      <c r="A201">
        <v>38</v>
      </c>
      <c r="B201" t="s">
        <v>22</v>
      </c>
      <c r="C201" t="s">
        <v>23</v>
      </c>
      <c r="D201">
        <v>29</v>
      </c>
      <c r="E201">
        <v>3</v>
      </c>
      <c r="F201" t="s">
        <v>37</v>
      </c>
      <c r="G201">
        <v>4</v>
      </c>
      <c r="H201">
        <v>4</v>
      </c>
      <c r="I201" t="s">
        <v>24</v>
      </c>
      <c r="J201">
        <v>6261</v>
      </c>
      <c r="K201">
        <v>3</v>
      </c>
      <c r="L201">
        <v>1</v>
      </c>
      <c r="M201">
        <v>7</v>
      </c>
      <c r="N201" t="s">
        <v>25</v>
      </c>
      <c r="O201" t="s">
        <v>31</v>
      </c>
      <c r="P201">
        <v>39598999</v>
      </c>
    </row>
    <row r="202" spans="1:16" ht="14.25" x14ac:dyDescent="0.2">
      <c r="A202">
        <v>27</v>
      </c>
      <c r="B202" t="s">
        <v>22</v>
      </c>
      <c r="C202" t="s">
        <v>23</v>
      </c>
      <c r="D202">
        <v>1</v>
      </c>
      <c r="E202">
        <v>1</v>
      </c>
      <c r="F202" t="s">
        <v>37</v>
      </c>
      <c r="G202">
        <v>3</v>
      </c>
      <c r="H202">
        <v>1</v>
      </c>
      <c r="I202" t="s">
        <v>24</v>
      </c>
      <c r="J202">
        <v>4298</v>
      </c>
      <c r="K202">
        <v>5</v>
      </c>
      <c r="L202">
        <v>3</v>
      </c>
      <c r="M202">
        <v>2</v>
      </c>
      <c r="N202" t="s">
        <v>25</v>
      </c>
      <c r="O202" t="s">
        <v>31</v>
      </c>
      <c r="P202">
        <v>31586707</v>
      </c>
    </row>
    <row r="203" spans="1:16" ht="14.25" x14ac:dyDescent="0.2">
      <c r="A203">
        <v>49</v>
      </c>
      <c r="B203" t="s">
        <v>22</v>
      </c>
      <c r="C203" t="s">
        <v>23</v>
      </c>
      <c r="D203">
        <v>18</v>
      </c>
      <c r="E203">
        <v>4</v>
      </c>
      <c r="F203" t="s">
        <v>18</v>
      </c>
      <c r="G203">
        <v>4</v>
      </c>
      <c r="H203">
        <v>4</v>
      </c>
      <c r="I203" t="s">
        <v>30</v>
      </c>
      <c r="J203">
        <v>6804</v>
      </c>
      <c r="K203">
        <v>1</v>
      </c>
      <c r="L203">
        <v>3</v>
      </c>
      <c r="M203">
        <v>7</v>
      </c>
      <c r="N203" t="s">
        <v>25</v>
      </c>
      <c r="O203" t="s">
        <v>31</v>
      </c>
      <c r="P203">
        <v>51959912</v>
      </c>
    </row>
    <row r="204" spans="1:16" ht="14.25" x14ac:dyDescent="0.2">
      <c r="A204">
        <v>34</v>
      </c>
      <c r="B204" t="s">
        <v>22</v>
      </c>
      <c r="C204" t="s">
        <v>23</v>
      </c>
      <c r="D204">
        <v>10</v>
      </c>
      <c r="E204">
        <v>4</v>
      </c>
      <c r="F204" t="s">
        <v>29</v>
      </c>
      <c r="G204">
        <v>4</v>
      </c>
      <c r="H204">
        <v>3</v>
      </c>
      <c r="I204" t="s">
        <v>30</v>
      </c>
      <c r="J204">
        <v>3815</v>
      </c>
      <c r="K204">
        <v>1</v>
      </c>
      <c r="L204">
        <v>4</v>
      </c>
      <c r="M204">
        <v>5</v>
      </c>
      <c r="N204" t="s">
        <v>25</v>
      </c>
      <c r="O204" t="s">
        <v>26</v>
      </c>
      <c r="P204">
        <v>39020040</v>
      </c>
    </row>
    <row r="205" spans="1:16" ht="14.25" x14ac:dyDescent="0.2">
      <c r="A205">
        <v>40</v>
      </c>
      <c r="B205" t="s">
        <v>22</v>
      </c>
      <c r="C205" t="s">
        <v>23</v>
      </c>
      <c r="D205">
        <v>19</v>
      </c>
      <c r="E205">
        <v>2</v>
      </c>
      <c r="F205" t="s">
        <v>29</v>
      </c>
      <c r="G205">
        <v>3</v>
      </c>
      <c r="H205">
        <v>4</v>
      </c>
      <c r="I205" t="s">
        <v>24</v>
      </c>
      <c r="J205">
        <v>2741</v>
      </c>
      <c r="K205">
        <v>8</v>
      </c>
      <c r="L205">
        <v>4</v>
      </c>
      <c r="M205">
        <v>7</v>
      </c>
      <c r="N205" t="s">
        <v>25</v>
      </c>
      <c r="O205" t="s">
        <v>28</v>
      </c>
      <c r="P205">
        <v>45044708</v>
      </c>
    </row>
    <row r="206" spans="1:16" ht="14.25" x14ac:dyDescent="0.2">
      <c r="A206">
        <v>38</v>
      </c>
      <c r="B206" t="s">
        <v>16</v>
      </c>
      <c r="C206" t="s">
        <v>23</v>
      </c>
      <c r="D206">
        <v>29</v>
      </c>
      <c r="E206">
        <v>1</v>
      </c>
      <c r="F206" t="s">
        <v>29</v>
      </c>
      <c r="G206">
        <v>2</v>
      </c>
      <c r="H206">
        <v>1</v>
      </c>
      <c r="I206" t="s">
        <v>24</v>
      </c>
      <c r="J206">
        <v>6673</v>
      </c>
      <c r="K206">
        <v>7</v>
      </c>
      <c r="L206">
        <v>3</v>
      </c>
      <c r="M206">
        <v>1</v>
      </c>
      <c r="N206" t="s">
        <v>25</v>
      </c>
      <c r="O206" t="s">
        <v>32</v>
      </c>
      <c r="P206">
        <v>26102735</v>
      </c>
    </row>
    <row r="207" spans="1:16" ht="14.25" x14ac:dyDescent="0.2">
      <c r="A207">
        <v>29</v>
      </c>
      <c r="B207" t="s">
        <v>16</v>
      </c>
      <c r="C207" t="s">
        <v>17</v>
      </c>
      <c r="D207">
        <v>27</v>
      </c>
      <c r="E207">
        <v>3</v>
      </c>
      <c r="F207" t="s">
        <v>36</v>
      </c>
      <c r="G207">
        <v>2</v>
      </c>
      <c r="H207">
        <v>4</v>
      </c>
      <c r="I207" t="s">
        <v>24</v>
      </c>
      <c r="J207">
        <v>7639</v>
      </c>
      <c r="K207">
        <v>1</v>
      </c>
      <c r="L207">
        <v>2</v>
      </c>
      <c r="M207">
        <v>10</v>
      </c>
      <c r="N207" t="s">
        <v>20</v>
      </c>
      <c r="O207" t="s">
        <v>21</v>
      </c>
      <c r="P207">
        <v>11783776</v>
      </c>
    </row>
    <row r="208" spans="1:16" ht="14.25" x14ac:dyDescent="0.2">
      <c r="A208">
        <v>22</v>
      </c>
      <c r="B208" t="s">
        <v>22</v>
      </c>
      <c r="C208" t="s">
        <v>23</v>
      </c>
      <c r="D208">
        <v>5</v>
      </c>
      <c r="E208">
        <v>3</v>
      </c>
      <c r="F208" t="s">
        <v>18</v>
      </c>
      <c r="G208">
        <v>4</v>
      </c>
      <c r="H208">
        <v>2</v>
      </c>
      <c r="I208" t="s">
        <v>30</v>
      </c>
      <c r="J208">
        <v>2328</v>
      </c>
      <c r="K208">
        <v>1</v>
      </c>
      <c r="L208">
        <v>2</v>
      </c>
      <c r="M208">
        <v>4</v>
      </c>
      <c r="N208" t="s">
        <v>25</v>
      </c>
      <c r="O208" t="s">
        <v>26</v>
      </c>
      <c r="P208">
        <v>48154364</v>
      </c>
    </row>
    <row r="209" spans="1:16" ht="14.25" x14ac:dyDescent="0.2">
      <c r="A209">
        <v>36</v>
      </c>
      <c r="B209" t="s">
        <v>22</v>
      </c>
      <c r="C209" t="s">
        <v>23</v>
      </c>
      <c r="D209">
        <v>18</v>
      </c>
      <c r="E209">
        <v>1</v>
      </c>
      <c r="F209" t="s">
        <v>29</v>
      </c>
      <c r="G209">
        <v>2</v>
      </c>
      <c r="H209">
        <v>4</v>
      </c>
      <c r="I209" t="s">
        <v>19</v>
      </c>
      <c r="J209">
        <v>2153</v>
      </c>
      <c r="K209">
        <v>1</v>
      </c>
      <c r="L209">
        <v>3</v>
      </c>
      <c r="M209">
        <v>8</v>
      </c>
      <c r="N209" t="s">
        <v>20</v>
      </c>
      <c r="O209" t="s">
        <v>28</v>
      </c>
      <c r="P209">
        <v>17878314</v>
      </c>
    </row>
    <row r="210" spans="1:16" ht="14.25" x14ac:dyDescent="0.2">
      <c r="A210">
        <v>40</v>
      </c>
      <c r="B210" t="s">
        <v>22</v>
      </c>
      <c r="C210" t="s">
        <v>23</v>
      </c>
      <c r="D210">
        <v>9</v>
      </c>
      <c r="E210">
        <v>5</v>
      </c>
      <c r="F210" t="s">
        <v>18</v>
      </c>
      <c r="G210">
        <v>4</v>
      </c>
      <c r="H210">
        <v>4</v>
      </c>
      <c r="I210" t="s">
        <v>24</v>
      </c>
      <c r="J210">
        <v>4876</v>
      </c>
      <c r="K210">
        <v>9</v>
      </c>
      <c r="L210">
        <v>1</v>
      </c>
      <c r="M210">
        <v>3</v>
      </c>
      <c r="N210" t="s">
        <v>25</v>
      </c>
      <c r="O210" t="s">
        <v>32</v>
      </c>
      <c r="P210">
        <v>13249724</v>
      </c>
    </row>
    <row r="211" spans="1:16" ht="14.25" x14ac:dyDescent="0.2">
      <c r="A211">
        <v>46</v>
      </c>
      <c r="B211" t="s">
        <v>22</v>
      </c>
      <c r="C211" t="s">
        <v>23</v>
      </c>
      <c r="D211">
        <v>1</v>
      </c>
      <c r="E211">
        <v>4</v>
      </c>
      <c r="F211" t="s">
        <v>29</v>
      </c>
      <c r="G211">
        <v>4</v>
      </c>
      <c r="H211">
        <v>1</v>
      </c>
      <c r="I211" t="s">
        <v>30</v>
      </c>
      <c r="J211">
        <v>9396</v>
      </c>
      <c r="K211">
        <v>7</v>
      </c>
      <c r="L211">
        <v>3</v>
      </c>
      <c r="M211">
        <v>4</v>
      </c>
      <c r="N211" t="s">
        <v>25</v>
      </c>
      <c r="O211" t="s">
        <v>32</v>
      </c>
      <c r="P211">
        <v>66262346</v>
      </c>
    </row>
    <row r="212" spans="1:16" ht="14.25" x14ac:dyDescent="0.2">
      <c r="A212">
        <v>32</v>
      </c>
      <c r="B212" t="s">
        <v>16</v>
      </c>
      <c r="C212" t="s">
        <v>17</v>
      </c>
      <c r="D212">
        <v>4</v>
      </c>
      <c r="E212">
        <v>4</v>
      </c>
      <c r="F212" t="s">
        <v>29</v>
      </c>
      <c r="G212">
        <v>4</v>
      </c>
      <c r="H212">
        <v>4</v>
      </c>
      <c r="I212" t="s">
        <v>24</v>
      </c>
      <c r="J212">
        <v>10400</v>
      </c>
      <c r="K212">
        <v>1</v>
      </c>
      <c r="L212">
        <v>2</v>
      </c>
      <c r="M212">
        <v>14</v>
      </c>
      <c r="N212" t="s">
        <v>25</v>
      </c>
      <c r="O212" t="s">
        <v>21</v>
      </c>
      <c r="P212">
        <v>80791831</v>
      </c>
    </row>
    <row r="213" spans="1:16" ht="14.25" x14ac:dyDescent="0.2">
      <c r="A213">
        <v>30</v>
      </c>
      <c r="B213" t="s">
        <v>22</v>
      </c>
      <c r="C213" t="s">
        <v>23</v>
      </c>
      <c r="D213">
        <v>1</v>
      </c>
      <c r="E213">
        <v>1</v>
      </c>
      <c r="F213" t="s">
        <v>18</v>
      </c>
      <c r="G213">
        <v>3</v>
      </c>
      <c r="H213">
        <v>3</v>
      </c>
      <c r="I213" t="s">
        <v>19</v>
      </c>
      <c r="J213">
        <v>8474</v>
      </c>
      <c r="K213">
        <v>1</v>
      </c>
      <c r="L213">
        <v>3</v>
      </c>
      <c r="M213">
        <v>11</v>
      </c>
      <c r="N213" t="s">
        <v>25</v>
      </c>
      <c r="O213" t="s">
        <v>31</v>
      </c>
      <c r="P213">
        <v>26397355</v>
      </c>
    </row>
    <row r="214" spans="1:16" ht="14.25" x14ac:dyDescent="0.2">
      <c r="A214">
        <v>27</v>
      </c>
      <c r="B214" t="s">
        <v>22</v>
      </c>
      <c r="C214" t="s">
        <v>17</v>
      </c>
      <c r="D214">
        <v>20</v>
      </c>
      <c r="E214">
        <v>3</v>
      </c>
      <c r="F214" t="s">
        <v>18</v>
      </c>
      <c r="G214">
        <v>4</v>
      </c>
      <c r="H214">
        <v>3</v>
      </c>
      <c r="I214" t="s">
        <v>19</v>
      </c>
      <c r="J214">
        <v>9981</v>
      </c>
      <c r="K214">
        <v>1</v>
      </c>
      <c r="L214">
        <v>3</v>
      </c>
      <c r="M214">
        <v>7</v>
      </c>
      <c r="N214" t="s">
        <v>20</v>
      </c>
      <c r="O214" t="s">
        <v>21</v>
      </c>
      <c r="P214">
        <v>57527591</v>
      </c>
    </row>
    <row r="215" spans="1:16" ht="14.25" x14ac:dyDescent="0.2">
      <c r="A215">
        <v>51</v>
      </c>
      <c r="B215" t="s">
        <v>22</v>
      </c>
      <c r="C215" t="s">
        <v>23</v>
      </c>
      <c r="D215">
        <v>8</v>
      </c>
      <c r="E215">
        <v>4</v>
      </c>
      <c r="F215" t="s">
        <v>18</v>
      </c>
      <c r="G215">
        <v>2</v>
      </c>
      <c r="H215">
        <v>2</v>
      </c>
      <c r="I215" t="s">
        <v>24</v>
      </c>
      <c r="J215">
        <v>12490</v>
      </c>
      <c r="K215">
        <v>5</v>
      </c>
      <c r="L215">
        <v>1</v>
      </c>
      <c r="M215">
        <v>10</v>
      </c>
      <c r="N215" t="s">
        <v>25</v>
      </c>
      <c r="O215" t="s">
        <v>35</v>
      </c>
      <c r="P215">
        <v>23302033</v>
      </c>
    </row>
    <row r="216" spans="1:16" ht="14.25" x14ac:dyDescent="0.2">
      <c r="A216">
        <v>30</v>
      </c>
      <c r="B216" t="s">
        <v>16</v>
      </c>
      <c r="C216" t="s">
        <v>23</v>
      </c>
      <c r="D216">
        <v>3</v>
      </c>
      <c r="E216">
        <v>3</v>
      </c>
      <c r="F216" t="s">
        <v>37</v>
      </c>
      <c r="G216">
        <v>4</v>
      </c>
      <c r="H216">
        <v>1</v>
      </c>
      <c r="I216" t="s">
        <v>19</v>
      </c>
      <c r="J216">
        <v>2657</v>
      </c>
      <c r="K216">
        <v>5</v>
      </c>
      <c r="L216">
        <v>3</v>
      </c>
      <c r="M216">
        <v>5</v>
      </c>
      <c r="N216" t="s">
        <v>20</v>
      </c>
      <c r="O216" t="s">
        <v>26</v>
      </c>
      <c r="P216">
        <v>66957847</v>
      </c>
    </row>
    <row r="217" spans="1:16" ht="14.25" x14ac:dyDescent="0.2">
      <c r="A217">
        <v>41</v>
      </c>
      <c r="B217" t="s">
        <v>22</v>
      </c>
      <c r="C217" t="s">
        <v>17</v>
      </c>
      <c r="D217">
        <v>6</v>
      </c>
      <c r="E217">
        <v>3</v>
      </c>
      <c r="F217" t="s">
        <v>18</v>
      </c>
      <c r="G217">
        <v>4</v>
      </c>
      <c r="H217">
        <v>4</v>
      </c>
      <c r="I217" t="s">
        <v>19</v>
      </c>
      <c r="J217">
        <v>13591</v>
      </c>
      <c r="K217">
        <v>3</v>
      </c>
      <c r="L217">
        <v>3</v>
      </c>
      <c r="M217">
        <v>1</v>
      </c>
      <c r="N217" t="s">
        <v>20</v>
      </c>
      <c r="O217" t="s">
        <v>33</v>
      </c>
      <c r="P217">
        <v>62911778</v>
      </c>
    </row>
    <row r="218" spans="1:16" ht="14.25" x14ac:dyDescent="0.2">
      <c r="A218">
        <v>30</v>
      </c>
      <c r="B218" t="s">
        <v>16</v>
      </c>
      <c r="C218" t="s">
        <v>17</v>
      </c>
      <c r="D218">
        <v>26</v>
      </c>
      <c r="E218">
        <v>4</v>
      </c>
      <c r="F218" t="s">
        <v>36</v>
      </c>
      <c r="G218">
        <v>3</v>
      </c>
      <c r="H218">
        <v>1</v>
      </c>
      <c r="I218" t="s">
        <v>19</v>
      </c>
      <c r="J218">
        <v>6696</v>
      </c>
      <c r="K218">
        <v>5</v>
      </c>
      <c r="L218">
        <v>2</v>
      </c>
      <c r="M218">
        <v>6</v>
      </c>
      <c r="N218" t="s">
        <v>20</v>
      </c>
      <c r="O218" t="s">
        <v>21</v>
      </c>
      <c r="P218">
        <v>12722995</v>
      </c>
    </row>
    <row r="219" spans="1:16" ht="14.25" x14ac:dyDescent="0.2">
      <c r="A219">
        <v>29</v>
      </c>
      <c r="B219" t="s">
        <v>16</v>
      </c>
      <c r="C219" t="s">
        <v>23</v>
      </c>
      <c r="D219">
        <v>1</v>
      </c>
      <c r="E219">
        <v>3</v>
      </c>
      <c r="F219" t="s">
        <v>37</v>
      </c>
      <c r="G219">
        <v>3</v>
      </c>
      <c r="H219">
        <v>3</v>
      </c>
      <c r="I219" t="s">
        <v>19</v>
      </c>
      <c r="J219">
        <v>2058</v>
      </c>
      <c r="K219">
        <v>0</v>
      </c>
      <c r="L219">
        <v>2</v>
      </c>
      <c r="M219">
        <v>6</v>
      </c>
      <c r="N219" t="s">
        <v>25</v>
      </c>
      <c r="O219" t="s">
        <v>26</v>
      </c>
      <c r="P219">
        <v>36327887</v>
      </c>
    </row>
    <row r="220" spans="1:16" ht="14.25" x14ac:dyDescent="0.2">
      <c r="A220">
        <v>45</v>
      </c>
      <c r="B220" t="s">
        <v>22</v>
      </c>
      <c r="C220" t="s">
        <v>17</v>
      </c>
      <c r="D220">
        <v>6</v>
      </c>
      <c r="E220">
        <v>3</v>
      </c>
      <c r="F220" t="s">
        <v>29</v>
      </c>
      <c r="G220">
        <v>4</v>
      </c>
      <c r="H220">
        <v>4</v>
      </c>
      <c r="I220" t="s">
        <v>19</v>
      </c>
      <c r="J220">
        <v>8865</v>
      </c>
      <c r="K220">
        <v>6</v>
      </c>
      <c r="L220">
        <v>3</v>
      </c>
      <c r="M220">
        <v>19</v>
      </c>
      <c r="N220" t="s">
        <v>20</v>
      </c>
      <c r="O220" t="s">
        <v>21</v>
      </c>
      <c r="P220">
        <v>27058403</v>
      </c>
    </row>
    <row r="221" spans="1:16" ht="14.25" x14ac:dyDescent="0.2">
      <c r="A221">
        <v>54</v>
      </c>
      <c r="B221" t="s">
        <v>22</v>
      </c>
      <c r="C221" t="s">
        <v>17</v>
      </c>
      <c r="D221">
        <v>3</v>
      </c>
      <c r="E221">
        <v>3</v>
      </c>
      <c r="F221" t="s">
        <v>36</v>
      </c>
      <c r="G221">
        <v>4</v>
      </c>
      <c r="H221">
        <v>1</v>
      </c>
      <c r="I221" t="s">
        <v>24</v>
      </c>
      <c r="J221">
        <v>5940</v>
      </c>
      <c r="K221">
        <v>2</v>
      </c>
      <c r="L221">
        <v>3</v>
      </c>
      <c r="M221">
        <v>6</v>
      </c>
      <c r="N221" t="s">
        <v>20</v>
      </c>
      <c r="O221" t="s">
        <v>21</v>
      </c>
      <c r="P221">
        <v>51204792</v>
      </c>
    </row>
    <row r="222" spans="1:16" ht="14.25" x14ac:dyDescent="0.2">
      <c r="A222">
        <v>36</v>
      </c>
      <c r="B222" t="s">
        <v>22</v>
      </c>
      <c r="C222" t="s">
        <v>23</v>
      </c>
      <c r="D222">
        <v>5</v>
      </c>
      <c r="E222">
        <v>2</v>
      </c>
      <c r="F222" t="s">
        <v>18</v>
      </c>
      <c r="G222">
        <v>4</v>
      </c>
      <c r="H222">
        <v>2</v>
      </c>
      <c r="I222" t="s">
        <v>19</v>
      </c>
      <c r="J222">
        <v>5914</v>
      </c>
      <c r="K222">
        <v>8</v>
      </c>
      <c r="L222">
        <v>4</v>
      </c>
      <c r="M222">
        <v>13</v>
      </c>
      <c r="N222" t="s">
        <v>25</v>
      </c>
      <c r="O222" t="s">
        <v>28</v>
      </c>
      <c r="P222">
        <v>70805842</v>
      </c>
    </row>
    <row r="223" spans="1:16" ht="14.25" x14ac:dyDescent="0.2">
      <c r="A223">
        <v>33</v>
      </c>
      <c r="B223" t="s">
        <v>22</v>
      </c>
      <c r="C223" t="s">
        <v>23</v>
      </c>
      <c r="D223">
        <v>4</v>
      </c>
      <c r="E223">
        <v>4</v>
      </c>
      <c r="F223" t="s">
        <v>29</v>
      </c>
      <c r="G223">
        <v>3</v>
      </c>
      <c r="H223">
        <v>2</v>
      </c>
      <c r="I223" t="s">
        <v>24</v>
      </c>
      <c r="J223">
        <v>2622</v>
      </c>
      <c r="K223">
        <v>6</v>
      </c>
      <c r="L223">
        <v>3</v>
      </c>
      <c r="M223">
        <v>3</v>
      </c>
      <c r="N223" t="s">
        <v>20</v>
      </c>
      <c r="O223" t="s">
        <v>26</v>
      </c>
      <c r="P223">
        <v>87823218</v>
      </c>
    </row>
    <row r="224" spans="1:16" ht="14.25" x14ac:dyDescent="0.2">
      <c r="A224">
        <v>37</v>
      </c>
      <c r="B224" t="s">
        <v>22</v>
      </c>
      <c r="C224" t="s">
        <v>23</v>
      </c>
      <c r="D224">
        <v>11</v>
      </c>
      <c r="E224">
        <v>3</v>
      </c>
      <c r="F224" t="s">
        <v>27</v>
      </c>
      <c r="G224">
        <v>2</v>
      </c>
      <c r="H224">
        <v>4</v>
      </c>
      <c r="I224" t="s">
        <v>30</v>
      </c>
      <c r="J224">
        <v>12185</v>
      </c>
      <c r="K224">
        <v>1</v>
      </c>
      <c r="L224">
        <v>3</v>
      </c>
      <c r="M224">
        <v>10</v>
      </c>
      <c r="N224" t="s">
        <v>25</v>
      </c>
      <c r="O224" t="s">
        <v>35</v>
      </c>
      <c r="P224">
        <v>25443723</v>
      </c>
    </row>
    <row r="225" spans="1:16" ht="14.25" x14ac:dyDescent="0.2">
      <c r="A225">
        <v>38</v>
      </c>
      <c r="B225" t="s">
        <v>22</v>
      </c>
      <c r="C225" t="s">
        <v>17</v>
      </c>
      <c r="D225">
        <v>3</v>
      </c>
      <c r="E225">
        <v>3</v>
      </c>
      <c r="F225" t="s">
        <v>18</v>
      </c>
      <c r="G225">
        <v>1</v>
      </c>
      <c r="H225">
        <v>3</v>
      </c>
      <c r="I225" t="s">
        <v>30</v>
      </c>
      <c r="J225">
        <v>10609</v>
      </c>
      <c r="K225">
        <v>0</v>
      </c>
      <c r="L225">
        <v>2</v>
      </c>
      <c r="M225">
        <v>16</v>
      </c>
      <c r="N225" t="s">
        <v>25</v>
      </c>
      <c r="O225" t="s">
        <v>21</v>
      </c>
      <c r="P225">
        <v>59040671</v>
      </c>
    </row>
    <row r="226" spans="1:16" ht="14.25" x14ac:dyDescent="0.2">
      <c r="A226">
        <v>31</v>
      </c>
      <c r="B226" t="s">
        <v>22</v>
      </c>
      <c r="C226" t="s">
        <v>23</v>
      </c>
      <c r="D226">
        <v>1</v>
      </c>
      <c r="E226">
        <v>4</v>
      </c>
      <c r="F226" t="s">
        <v>29</v>
      </c>
      <c r="G226">
        <v>3</v>
      </c>
      <c r="H226">
        <v>3</v>
      </c>
      <c r="I226" t="s">
        <v>24</v>
      </c>
      <c r="J226">
        <v>4345</v>
      </c>
      <c r="K226">
        <v>0</v>
      </c>
      <c r="L226">
        <v>3</v>
      </c>
      <c r="M226">
        <v>5</v>
      </c>
      <c r="N226" t="s">
        <v>25</v>
      </c>
      <c r="O226" t="s">
        <v>31</v>
      </c>
      <c r="P226">
        <v>78679948</v>
      </c>
    </row>
    <row r="227" spans="1:16" ht="14.25" x14ac:dyDescent="0.2">
      <c r="A227">
        <v>59</v>
      </c>
      <c r="B227" t="s">
        <v>22</v>
      </c>
      <c r="C227" t="s">
        <v>23</v>
      </c>
      <c r="D227">
        <v>3</v>
      </c>
      <c r="E227">
        <v>3</v>
      </c>
      <c r="F227" t="s">
        <v>18</v>
      </c>
      <c r="G227">
        <v>3</v>
      </c>
      <c r="H227">
        <v>4</v>
      </c>
      <c r="I227" t="s">
        <v>24</v>
      </c>
      <c r="J227">
        <v>2177</v>
      </c>
      <c r="K227">
        <v>3</v>
      </c>
      <c r="L227">
        <v>3</v>
      </c>
      <c r="M227">
        <v>1</v>
      </c>
      <c r="N227" t="s">
        <v>25</v>
      </c>
      <c r="O227" t="s">
        <v>26</v>
      </c>
      <c r="P227">
        <v>57381588</v>
      </c>
    </row>
    <row r="228" spans="1:16" ht="14.25" x14ac:dyDescent="0.2">
      <c r="A228">
        <v>37</v>
      </c>
      <c r="B228" t="s">
        <v>22</v>
      </c>
      <c r="C228" t="s">
        <v>17</v>
      </c>
      <c r="D228">
        <v>4</v>
      </c>
      <c r="E228">
        <v>4</v>
      </c>
      <c r="F228" t="s">
        <v>36</v>
      </c>
      <c r="G228">
        <v>1</v>
      </c>
      <c r="H228">
        <v>4</v>
      </c>
      <c r="I228" t="s">
        <v>30</v>
      </c>
      <c r="J228">
        <v>2793</v>
      </c>
      <c r="K228">
        <v>4</v>
      </c>
      <c r="L228">
        <v>3</v>
      </c>
      <c r="M228">
        <v>9</v>
      </c>
      <c r="N228" t="s">
        <v>25</v>
      </c>
      <c r="O228" t="s">
        <v>34</v>
      </c>
      <c r="P228">
        <v>37845508</v>
      </c>
    </row>
    <row r="229" spans="1:16" ht="14.25" x14ac:dyDescent="0.2">
      <c r="A229">
        <v>29</v>
      </c>
      <c r="B229" t="s">
        <v>22</v>
      </c>
      <c r="C229" t="s">
        <v>17</v>
      </c>
      <c r="D229">
        <v>1</v>
      </c>
      <c r="E229">
        <v>1</v>
      </c>
      <c r="F229" t="s">
        <v>29</v>
      </c>
      <c r="G229">
        <v>2</v>
      </c>
      <c r="H229">
        <v>4</v>
      </c>
      <c r="I229" t="s">
        <v>24</v>
      </c>
      <c r="J229">
        <v>7918</v>
      </c>
      <c r="K229">
        <v>1</v>
      </c>
      <c r="L229">
        <v>3</v>
      </c>
      <c r="M229">
        <v>11</v>
      </c>
      <c r="N229" t="s">
        <v>20</v>
      </c>
      <c r="O229" t="s">
        <v>21</v>
      </c>
      <c r="P229">
        <v>78953570</v>
      </c>
    </row>
    <row r="230" spans="1:16" ht="14.25" x14ac:dyDescent="0.2">
      <c r="A230">
        <v>35</v>
      </c>
      <c r="B230" t="s">
        <v>22</v>
      </c>
      <c r="C230" t="s">
        <v>17</v>
      </c>
      <c r="D230">
        <v>1</v>
      </c>
      <c r="E230">
        <v>3</v>
      </c>
      <c r="F230" t="s">
        <v>36</v>
      </c>
      <c r="G230">
        <v>3</v>
      </c>
      <c r="H230">
        <v>3</v>
      </c>
      <c r="I230" t="s">
        <v>19</v>
      </c>
      <c r="J230">
        <v>8789</v>
      </c>
      <c r="K230">
        <v>1</v>
      </c>
      <c r="L230">
        <v>4</v>
      </c>
      <c r="M230">
        <v>10</v>
      </c>
      <c r="N230" t="s">
        <v>20</v>
      </c>
      <c r="O230" t="s">
        <v>21</v>
      </c>
      <c r="P230">
        <v>16120776</v>
      </c>
    </row>
    <row r="231" spans="1:16" ht="14.25" x14ac:dyDescent="0.2">
      <c r="A231">
        <v>29</v>
      </c>
      <c r="B231" t="s">
        <v>16</v>
      </c>
      <c r="C231" t="s">
        <v>23</v>
      </c>
      <c r="D231">
        <v>18</v>
      </c>
      <c r="E231">
        <v>1</v>
      </c>
      <c r="F231" t="s">
        <v>29</v>
      </c>
      <c r="G231">
        <v>3</v>
      </c>
      <c r="H231">
        <v>4</v>
      </c>
      <c r="I231" t="s">
        <v>19</v>
      </c>
      <c r="J231">
        <v>2389</v>
      </c>
      <c r="K231">
        <v>1</v>
      </c>
      <c r="L231">
        <v>2</v>
      </c>
      <c r="M231">
        <v>4</v>
      </c>
      <c r="N231" t="s">
        <v>25</v>
      </c>
      <c r="O231" t="s">
        <v>26</v>
      </c>
      <c r="P231">
        <v>25234657</v>
      </c>
    </row>
    <row r="232" spans="1:16" ht="14.25" x14ac:dyDescent="0.2">
      <c r="A232">
        <v>52</v>
      </c>
      <c r="B232" t="s">
        <v>22</v>
      </c>
      <c r="C232" t="s">
        <v>23</v>
      </c>
      <c r="D232">
        <v>2</v>
      </c>
      <c r="E232">
        <v>3</v>
      </c>
      <c r="F232" t="s">
        <v>18</v>
      </c>
      <c r="G232">
        <v>3</v>
      </c>
      <c r="H232">
        <v>4</v>
      </c>
      <c r="I232" t="s">
        <v>19</v>
      </c>
      <c r="J232">
        <v>3212</v>
      </c>
      <c r="K232">
        <v>7</v>
      </c>
      <c r="L232">
        <v>2</v>
      </c>
      <c r="M232">
        <v>2</v>
      </c>
      <c r="N232" t="s">
        <v>20</v>
      </c>
      <c r="O232" t="s">
        <v>28</v>
      </c>
      <c r="P232">
        <v>44322313</v>
      </c>
    </row>
    <row r="233" spans="1:16" ht="14.25" x14ac:dyDescent="0.2">
      <c r="A233">
        <v>42</v>
      </c>
      <c r="B233" t="s">
        <v>22</v>
      </c>
      <c r="C233" t="s">
        <v>23</v>
      </c>
      <c r="D233">
        <v>4</v>
      </c>
      <c r="E233">
        <v>2</v>
      </c>
      <c r="F233" t="s">
        <v>37</v>
      </c>
      <c r="G233">
        <v>3</v>
      </c>
      <c r="H233">
        <v>4</v>
      </c>
      <c r="I233" t="s">
        <v>24</v>
      </c>
      <c r="J233">
        <v>19232</v>
      </c>
      <c r="K233">
        <v>1</v>
      </c>
      <c r="L233">
        <v>3</v>
      </c>
      <c r="M233">
        <v>22</v>
      </c>
      <c r="N233" t="s">
        <v>25</v>
      </c>
      <c r="O233" t="s">
        <v>33</v>
      </c>
      <c r="P233">
        <v>46101906</v>
      </c>
    </row>
    <row r="234" spans="1:16" ht="14.25" x14ac:dyDescent="0.2">
      <c r="A234">
        <v>59</v>
      </c>
      <c r="B234" t="s">
        <v>22</v>
      </c>
      <c r="C234" t="s">
        <v>38</v>
      </c>
      <c r="D234">
        <v>6</v>
      </c>
      <c r="E234">
        <v>2</v>
      </c>
      <c r="F234" t="s">
        <v>29</v>
      </c>
      <c r="G234">
        <v>2</v>
      </c>
      <c r="H234">
        <v>3</v>
      </c>
      <c r="I234" t="s">
        <v>24</v>
      </c>
      <c r="J234">
        <v>2267</v>
      </c>
      <c r="K234">
        <v>8</v>
      </c>
      <c r="L234">
        <v>2</v>
      </c>
      <c r="M234">
        <v>2</v>
      </c>
      <c r="N234" t="s">
        <v>25</v>
      </c>
      <c r="O234" t="s">
        <v>38</v>
      </c>
      <c r="P234">
        <v>47234158</v>
      </c>
    </row>
    <row r="235" spans="1:16" ht="14.25" x14ac:dyDescent="0.2">
      <c r="A235">
        <v>50</v>
      </c>
      <c r="B235" t="s">
        <v>22</v>
      </c>
      <c r="C235" t="s">
        <v>17</v>
      </c>
      <c r="D235">
        <v>1</v>
      </c>
      <c r="E235">
        <v>4</v>
      </c>
      <c r="F235" t="s">
        <v>29</v>
      </c>
      <c r="G235">
        <v>4</v>
      </c>
      <c r="H235">
        <v>4</v>
      </c>
      <c r="I235" t="s">
        <v>30</v>
      </c>
      <c r="J235">
        <v>19517</v>
      </c>
      <c r="K235">
        <v>3</v>
      </c>
      <c r="L235">
        <v>2</v>
      </c>
      <c r="M235">
        <v>7</v>
      </c>
      <c r="N235" t="s">
        <v>20</v>
      </c>
      <c r="O235" t="s">
        <v>33</v>
      </c>
      <c r="P235">
        <v>86207748</v>
      </c>
    </row>
    <row r="236" spans="1:16" ht="14.25" x14ac:dyDescent="0.2">
      <c r="A236">
        <v>33</v>
      </c>
      <c r="B236" t="s">
        <v>16</v>
      </c>
      <c r="C236" t="s">
        <v>23</v>
      </c>
      <c r="D236">
        <v>14</v>
      </c>
      <c r="E236">
        <v>3</v>
      </c>
      <c r="F236" t="s">
        <v>29</v>
      </c>
      <c r="G236">
        <v>3</v>
      </c>
      <c r="H236">
        <v>4</v>
      </c>
      <c r="I236" t="s">
        <v>24</v>
      </c>
      <c r="J236">
        <v>2436</v>
      </c>
      <c r="K236">
        <v>5</v>
      </c>
      <c r="L236">
        <v>1</v>
      </c>
      <c r="M236">
        <v>5</v>
      </c>
      <c r="N236" t="s">
        <v>25</v>
      </c>
      <c r="O236" t="s">
        <v>28</v>
      </c>
      <c r="P236">
        <v>38144905</v>
      </c>
    </row>
    <row r="237" spans="1:16" ht="14.25" x14ac:dyDescent="0.2">
      <c r="A237">
        <v>43</v>
      </c>
      <c r="B237" t="s">
        <v>22</v>
      </c>
      <c r="C237" t="s">
        <v>17</v>
      </c>
      <c r="D237">
        <v>16</v>
      </c>
      <c r="E237">
        <v>3</v>
      </c>
      <c r="F237" t="s">
        <v>36</v>
      </c>
      <c r="G237">
        <v>4</v>
      </c>
      <c r="H237">
        <v>4</v>
      </c>
      <c r="I237" t="s">
        <v>24</v>
      </c>
      <c r="J237">
        <v>16064</v>
      </c>
      <c r="K237">
        <v>5</v>
      </c>
      <c r="L237">
        <v>3</v>
      </c>
      <c r="M237">
        <v>17</v>
      </c>
      <c r="N237" t="s">
        <v>20</v>
      </c>
      <c r="O237" t="s">
        <v>33</v>
      </c>
      <c r="P237">
        <v>67083569</v>
      </c>
    </row>
    <row r="238" spans="1:16" ht="14.25" x14ac:dyDescent="0.2">
      <c r="A238">
        <v>33</v>
      </c>
      <c r="B238" t="s">
        <v>16</v>
      </c>
      <c r="C238" t="s">
        <v>23</v>
      </c>
      <c r="D238">
        <v>2</v>
      </c>
      <c r="E238">
        <v>2</v>
      </c>
      <c r="F238" t="s">
        <v>18</v>
      </c>
      <c r="G238">
        <v>1</v>
      </c>
      <c r="H238">
        <v>1</v>
      </c>
      <c r="I238" t="s">
        <v>24</v>
      </c>
      <c r="J238">
        <v>2707</v>
      </c>
      <c r="K238">
        <v>7</v>
      </c>
      <c r="L238">
        <v>4</v>
      </c>
      <c r="M238">
        <v>9</v>
      </c>
      <c r="N238" t="s">
        <v>20</v>
      </c>
      <c r="O238" t="s">
        <v>28</v>
      </c>
      <c r="P238">
        <v>31358957</v>
      </c>
    </row>
    <row r="239" spans="1:16" ht="14.25" x14ac:dyDescent="0.2">
      <c r="A239">
        <v>52</v>
      </c>
      <c r="B239" t="s">
        <v>22</v>
      </c>
      <c r="C239" t="s">
        <v>17</v>
      </c>
      <c r="D239">
        <v>2</v>
      </c>
      <c r="E239">
        <v>4</v>
      </c>
      <c r="F239" t="s">
        <v>18</v>
      </c>
      <c r="G239">
        <v>1</v>
      </c>
      <c r="H239">
        <v>3</v>
      </c>
      <c r="I239" t="s">
        <v>19</v>
      </c>
      <c r="J239">
        <v>19068</v>
      </c>
      <c r="K239">
        <v>1</v>
      </c>
      <c r="L239">
        <v>4</v>
      </c>
      <c r="M239">
        <v>33</v>
      </c>
      <c r="N239" t="s">
        <v>25</v>
      </c>
      <c r="O239" t="s">
        <v>33</v>
      </c>
      <c r="P239">
        <v>65673779</v>
      </c>
    </row>
    <row r="240" spans="1:16" ht="14.25" x14ac:dyDescent="0.2">
      <c r="A240">
        <v>32</v>
      </c>
      <c r="B240" t="s">
        <v>22</v>
      </c>
      <c r="C240" t="s">
        <v>17</v>
      </c>
      <c r="D240">
        <v>4</v>
      </c>
      <c r="E240">
        <v>2</v>
      </c>
      <c r="F240" t="s">
        <v>18</v>
      </c>
      <c r="G240">
        <v>3</v>
      </c>
      <c r="H240">
        <v>2</v>
      </c>
      <c r="I240" t="s">
        <v>24</v>
      </c>
      <c r="J240">
        <v>3931</v>
      </c>
      <c r="K240">
        <v>2</v>
      </c>
      <c r="L240">
        <v>3</v>
      </c>
      <c r="M240">
        <v>4</v>
      </c>
      <c r="N240" t="s">
        <v>20</v>
      </c>
      <c r="O240" t="s">
        <v>34</v>
      </c>
      <c r="P240">
        <v>89531320</v>
      </c>
    </row>
    <row r="241" spans="1:16" ht="14.25" x14ac:dyDescent="0.2">
      <c r="A241">
        <v>32</v>
      </c>
      <c r="B241" t="s">
        <v>16</v>
      </c>
      <c r="C241" t="s">
        <v>23</v>
      </c>
      <c r="D241">
        <v>1</v>
      </c>
      <c r="E241">
        <v>3</v>
      </c>
      <c r="F241" t="s">
        <v>18</v>
      </c>
      <c r="G241">
        <v>4</v>
      </c>
      <c r="H241">
        <v>3</v>
      </c>
      <c r="I241" t="s">
        <v>19</v>
      </c>
      <c r="J241">
        <v>3730</v>
      </c>
      <c r="K241">
        <v>0</v>
      </c>
      <c r="L241">
        <v>1</v>
      </c>
      <c r="M241">
        <v>3</v>
      </c>
      <c r="N241" t="s">
        <v>25</v>
      </c>
      <c r="O241" t="s">
        <v>28</v>
      </c>
      <c r="P241">
        <v>37796906</v>
      </c>
    </row>
    <row r="242" spans="1:16" ht="14.25" x14ac:dyDescent="0.2">
      <c r="A242">
        <v>39</v>
      </c>
      <c r="B242" t="s">
        <v>22</v>
      </c>
      <c r="C242" t="s">
        <v>23</v>
      </c>
      <c r="D242">
        <v>1</v>
      </c>
      <c r="E242">
        <v>4</v>
      </c>
      <c r="F242" t="s">
        <v>29</v>
      </c>
      <c r="G242">
        <v>3</v>
      </c>
      <c r="H242">
        <v>3</v>
      </c>
      <c r="I242" t="s">
        <v>30</v>
      </c>
      <c r="J242">
        <v>2232</v>
      </c>
      <c r="K242">
        <v>7</v>
      </c>
      <c r="L242">
        <v>3</v>
      </c>
      <c r="M242">
        <v>3</v>
      </c>
      <c r="N242" t="s">
        <v>20</v>
      </c>
      <c r="O242" t="s">
        <v>28</v>
      </c>
      <c r="P242">
        <v>79089315</v>
      </c>
    </row>
    <row r="243" spans="1:16" ht="14.25" x14ac:dyDescent="0.2">
      <c r="A243">
        <v>32</v>
      </c>
      <c r="B243" t="s">
        <v>22</v>
      </c>
      <c r="C243" t="s">
        <v>17</v>
      </c>
      <c r="D243">
        <v>26</v>
      </c>
      <c r="E243">
        <v>4</v>
      </c>
      <c r="F243" t="s">
        <v>36</v>
      </c>
      <c r="G243">
        <v>3</v>
      </c>
      <c r="H243">
        <v>4</v>
      </c>
      <c r="I243" t="s">
        <v>24</v>
      </c>
      <c r="J243">
        <v>4465</v>
      </c>
      <c r="K243">
        <v>0</v>
      </c>
      <c r="L243">
        <v>3</v>
      </c>
      <c r="M243">
        <v>3</v>
      </c>
      <c r="N243" t="s">
        <v>25</v>
      </c>
      <c r="O243" t="s">
        <v>21</v>
      </c>
      <c r="P243">
        <v>79276251</v>
      </c>
    </row>
    <row r="244" spans="1:16" ht="14.25" x14ac:dyDescent="0.2">
      <c r="A244">
        <v>41</v>
      </c>
      <c r="B244" t="s">
        <v>22</v>
      </c>
      <c r="C244" t="s">
        <v>23</v>
      </c>
      <c r="D244">
        <v>19</v>
      </c>
      <c r="E244">
        <v>2</v>
      </c>
      <c r="F244" t="s">
        <v>18</v>
      </c>
      <c r="G244">
        <v>3</v>
      </c>
      <c r="H244">
        <v>1</v>
      </c>
      <c r="I244" t="s">
        <v>30</v>
      </c>
      <c r="J244">
        <v>3072</v>
      </c>
      <c r="K244">
        <v>2</v>
      </c>
      <c r="L244">
        <v>2</v>
      </c>
      <c r="M244">
        <v>1</v>
      </c>
      <c r="N244" t="s">
        <v>25</v>
      </c>
      <c r="O244" t="s">
        <v>26</v>
      </c>
      <c r="P244">
        <v>50047344</v>
      </c>
    </row>
    <row r="245" spans="1:16" ht="14.25" x14ac:dyDescent="0.2">
      <c r="A245">
        <v>40</v>
      </c>
      <c r="B245" t="s">
        <v>22</v>
      </c>
      <c r="C245" t="s">
        <v>23</v>
      </c>
      <c r="D245">
        <v>24</v>
      </c>
      <c r="E245">
        <v>2</v>
      </c>
      <c r="F245" t="s">
        <v>37</v>
      </c>
      <c r="G245">
        <v>1</v>
      </c>
      <c r="H245">
        <v>4</v>
      </c>
      <c r="I245" t="s">
        <v>30</v>
      </c>
      <c r="J245">
        <v>3319</v>
      </c>
      <c r="K245">
        <v>1</v>
      </c>
      <c r="L245">
        <v>3</v>
      </c>
      <c r="M245">
        <v>9</v>
      </c>
      <c r="N245" t="s">
        <v>25</v>
      </c>
      <c r="O245" t="s">
        <v>26</v>
      </c>
      <c r="P245">
        <v>10474714</v>
      </c>
    </row>
    <row r="246" spans="1:16" ht="14.25" x14ac:dyDescent="0.2">
      <c r="A246">
        <v>45</v>
      </c>
      <c r="B246" t="s">
        <v>22</v>
      </c>
      <c r="C246" t="s">
        <v>23</v>
      </c>
      <c r="D246">
        <v>1</v>
      </c>
      <c r="E246">
        <v>3</v>
      </c>
      <c r="F246" t="s">
        <v>27</v>
      </c>
      <c r="G246">
        <v>3</v>
      </c>
      <c r="H246">
        <v>4</v>
      </c>
      <c r="I246" t="s">
        <v>24</v>
      </c>
      <c r="J246">
        <v>19202</v>
      </c>
      <c r="K246">
        <v>0</v>
      </c>
      <c r="L246">
        <v>3</v>
      </c>
      <c r="M246">
        <v>24</v>
      </c>
      <c r="N246" t="s">
        <v>25</v>
      </c>
      <c r="O246" t="s">
        <v>33</v>
      </c>
      <c r="P246">
        <v>28288952</v>
      </c>
    </row>
    <row r="247" spans="1:16" ht="14.25" x14ac:dyDescent="0.2">
      <c r="A247">
        <v>31</v>
      </c>
      <c r="B247" t="s">
        <v>22</v>
      </c>
      <c r="C247" t="s">
        <v>23</v>
      </c>
      <c r="D247">
        <v>3</v>
      </c>
      <c r="E247">
        <v>4</v>
      </c>
      <c r="F247" t="s">
        <v>29</v>
      </c>
      <c r="G247">
        <v>2</v>
      </c>
      <c r="H247">
        <v>3</v>
      </c>
      <c r="I247" t="s">
        <v>30</v>
      </c>
      <c r="J247">
        <v>13675</v>
      </c>
      <c r="K247">
        <v>9</v>
      </c>
      <c r="L247">
        <v>3</v>
      </c>
      <c r="M247">
        <v>2</v>
      </c>
      <c r="N247" t="s">
        <v>25</v>
      </c>
      <c r="O247" t="s">
        <v>35</v>
      </c>
      <c r="P247">
        <v>22489139</v>
      </c>
    </row>
    <row r="248" spans="1:16" ht="14.25" x14ac:dyDescent="0.2">
      <c r="A248">
        <v>33</v>
      </c>
      <c r="B248" t="s">
        <v>22</v>
      </c>
      <c r="C248" t="s">
        <v>23</v>
      </c>
      <c r="D248">
        <v>5</v>
      </c>
      <c r="E248">
        <v>4</v>
      </c>
      <c r="F248" t="s">
        <v>18</v>
      </c>
      <c r="G248">
        <v>3</v>
      </c>
      <c r="H248">
        <v>4</v>
      </c>
      <c r="I248" t="s">
        <v>24</v>
      </c>
      <c r="J248">
        <v>2911</v>
      </c>
      <c r="K248">
        <v>1</v>
      </c>
      <c r="L248">
        <v>2</v>
      </c>
      <c r="M248">
        <v>2</v>
      </c>
      <c r="N248" t="s">
        <v>20</v>
      </c>
      <c r="O248" t="s">
        <v>26</v>
      </c>
      <c r="P248">
        <v>11986083</v>
      </c>
    </row>
    <row r="249" spans="1:16" ht="14.25" x14ac:dyDescent="0.2">
      <c r="A249">
        <v>34</v>
      </c>
      <c r="B249" t="s">
        <v>22</v>
      </c>
      <c r="C249" t="s">
        <v>23</v>
      </c>
      <c r="D249">
        <v>2</v>
      </c>
      <c r="E249">
        <v>4</v>
      </c>
      <c r="F249" t="s">
        <v>18</v>
      </c>
      <c r="G249">
        <v>4</v>
      </c>
      <c r="H249">
        <v>1</v>
      </c>
      <c r="I249" t="s">
        <v>24</v>
      </c>
      <c r="J249">
        <v>5957</v>
      </c>
      <c r="K249">
        <v>6</v>
      </c>
      <c r="L249">
        <v>3</v>
      </c>
      <c r="M249">
        <v>11</v>
      </c>
      <c r="N249" t="s">
        <v>25</v>
      </c>
      <c r="O249" t="s">
        <v>31</v>
      </c>
      <c r="P249">
        <v>30415188</v>
      </c>
    </row>
    <row r="250" spans="1:16" ht="14.25" x14ac:dyDescent="0.2">
      <c r="A250">
        <v>37</v>
      </c>
      <c r="B250" t="s">
        <v>22</v>
      </c>
      <c r="C250" t="s">
        <v>23</v>
      </c>
      <c r="D250">
        <v>1</v>
      </c>
      <c r="E250">
        <v>2</v>
      </c>
      <c r="F250" t="s">
        <v>29</v>
      </c>
      <c r="G250">
        <v>3</v>
      </c>
      <c r="H250">
        <v>1</v>
      </c>
      <c r="I250" t="s">
        <v>24</v>
      </c>
      <c r="J250">
        <v>3920</v>
      </c>
      <c r="K250">
        <v>2</v>
      </c>
      <c r="L250">
        <v>2</v>
      </c>
      <c r="M250">
        <v>3</v>
      </c>
      <c r="N250" t="s">
        <v>20</v>
      </c>
      <c r="O250" t="s">
        <v>26</v>
      </c>
      <c r="P250">
        <v>17835457</v>
      </c>
    </row>
    <row r="251" spans="1:16" ht="14.25" x14ac:dyDescent="0.2">
      <c r="A251">
        <v>45</v>
      </c>
      <c r="B251" t="s">
        <v>22</v>
      </c>
      <c r="C251" t="s">
        <v>23</v>
      </c>
      <c r="D251">
        <v>7</v>
      </c>
      <c r="E251">
        <v>4</v>
      </c>
      <c r="F251" t="s">
        <v>18</v>
      </c>
      <c r="G251">
        <v>1</v>
      </c>
      <c r="H251">
        <v>3</v>
      </c>
      <c r="I251" t="s">
        <v>24</v>
      </c>
      <c r="J251">
        <v>6434</v>
      </c>
      <c r="K251">
        <v>4</v>
      </c>
      <c r="L251">
        <v>3</v>
      </c>
      <c r="M251">
        <v>3</v>
      </c>
      <c r="N251" t="s">
        <v>25</v>
      </c>
      <c r="O251" t="s">
        <v>31</v>
      </c>
      <c r="P251">
        <v>41774235</v>
      </c>
    </row>
    <row r="252" spans="1:16" ht="14.25" x14ac:dyDescent="0.2">
      <c r="A252">
        <v>37</v>
      </c>
      <c r="B252" t="s">
        <v>16</v>
      </c>
      <c r="C252" t="s">
        <v>23</v>
      </c>
      <c r="D252">
        <v>10</v>
      </c>
      <c r="E252">
        <v>3</v>
      </c>
      <c r="F252" t="s">
        <v>29</v>
      </c>
      <c r="G252">
        <v>1</v>
      </c>
      <c r="H252">
        <v>3</v>
      </c>
      <c r="I252" t="s">
        <v>30</v>
      </c>
      <c r="J252">
        <v>10048</v>
      </c>
      <c r="K252">
        <v>6</v>
      </c>
      <c r="L252">
        <v>3</v>
      </c>
      <c r="M252">
        <v>1</v>
      </c>
      <c r="N252" t="s">
        <v>25</v>
      </c>
      <c r="O252" t="s">
        <v>31</v>
      </c>
      <c r="P252">
        <v>81466189</v>
      </c>
    </row>
    <row r="253" spans="1:16" ht="14.25" x14ac:dyDescent="0.2">
      <c r="A253">
        <v>39</v>
      </c>
      <c r="B253" t="s">
        <v>22</v>
      </c>
      <c r="C253" t="s">
        <v>23</v>
      </c>
      <c r="D253">
        <v>2</v>
      </c>
      <c r="E253">
        <v>4</v>
      </c>
      <c r="F253" t="s">
        <v>37</v>
      </c>
      <c r="G253">
        <v>3</v>
      </c>
      <c r="H253">
        <v>3</v>
      </c>
      <c r="I253" t="s">
        <v>19</v>
      </c>
      <c r="J253">
        <v>10938</v>
      </c>
      <c r="K253">
        <v>0</v>
      </c>
      <c r="L253">
        <v>3</v>
      </c>
      <c r="M253">
        <v>19</v>
      </c>
      <c r="N253" t="s">
        <v>20</v>
      </c>
      <c r="O253" t="s">
        <v>32</v>
      </c>
      <c r="P253">
        <v>16426072</v>
      </c>
    </row>
    <row r="254" spans="1:16" ht="14.25" x14ac:dyDescent="0.2">
      <c r="A254">
        <v>29</v>
      </c>
      <c r="B254" t="s">
        <v>22</v>
      </c>
      <c r="C254" t="s">
        <v>23</v>
      </c>
      <c r="D254">
        <v>15</v>
      </c>
      <c r="E254">
        <v>3</v>
      </c>
      <c r="F254" t="s">
        <v>18</v>
      </c>
      <c r="G254">
        <v>3</v>
      </c>
      <c r="H254">
        <v>4</v>
      </c>
      <c r="I254" t="s">
        <v>19</v>
      </c>
      <c r="J254">
        <v>2340</v>
      </c>
      <c r="K254">
        <v>1</v>
      </c>
      <c r="L254">
        <v>3</v>
      </c>
      <c r="M254">
        <v>6</v>
      </c>
      <c r="N254" t="s">
        <v>25</v>
      </c>
      <c r="O254" t="s">
        <v>26</v>
      </c>
      <c r="P254">
        <v>12325464</v>
      </c>
    </row>
    <row r="255" spans="1:16" ht="14.25" x14ac:dyDescent="0.2">
      <c r="A255">
        <v>42</v>
      </c>
      <c r="B255" t="s">
        <v>22</v>
      </c>
      <c r="C255" t="s">
        <v>23</v>
      </c>
      <c r="D255">
        <v>17</v>
      </c>
      <c r="E255">
        <v>2</v>
      </c>
      <c r="F255" t="s">
        <v>18</v>
      </c>
      <c r="G255">
        <v>4</v>
      </c>
      <c r="H255">
        <v>1</v>
      </c>
      <c r="I255" t="s">
        <v>19</v>
      </c>
      <c r="J255">
        <v>6545</v>
      </c>
      <c r="K255">
        <v>3</v>
      </c>
      <c r="L255">
        <v>3</v>
      </c>
      <c r="M255">
        <v>3</v>
      </c>
      <c r="N255" t="s">
        <v>20</v>
      </c>
      <c r="O255" t="s">
        <v>26</v>
      </c>
      <c r="P255">
        <v>29516981</v>
      </c>
    </row>
    <row r="256" spans="1:16" ht="14.25" x14ac:dyDescent="0.2">
      <c r="A256">
        <v>29</v>
      </c>
      <c r="B256" t="s">
        <v>22</v>
      </c>
      <c r="C256" t="s">
        <v>17</v>
      </c>
      <c r="D256">
        <v>20</v>
      </c>
      <c r="E256">
        <v>2</v>
      </c>
      <c r="F256" t="s">
        <v>36</v>
      </c>
      <c r="G256">
        <v>4</v>
      </c>
      <c r="H256">
        <v>4</v>
      </c>
      <c r="I256" t="s">
        <v>30</v>
      </c>
      <c r="J256">
        <v>6931</v>
      </c>
      <c r="K256">
        <v>2</v>
      </c>
      <c r="L256">
        <v>3</v>
      </c>
      <c r="M256">
        <v>3</v>
      </c>
      <c r="N256" t="s">
        <v>25</v>
      </c>
      <c r="O256" t="s">
        <v>21</v>
      </c>
      <c r="P256">
        <v>67591497</v>
      </c>
    </row>
    <row r="257" spans="1:16" ht="14.25" x14ac:dyDescent="0.2">
      <c r="A257">
        <v>25</v>
      </c>
      <c r="B257" t="s">
        <v>22</v>
      </c>
      <c r="C257" t="s">
        <v>23</v>
      </c>
      <c r="D257">
        <v>1</v>
      </c>
      <c r="E257">
        <v>3</v>
      </c>
      <c r="F257" t="s">
        <v>18</v>
      </c>
      <c r="G257">
        <v>1</v>
      </c>
      <c r="H257">
        <v>3</v>
      </c>
      <c r="I257" t="s">
        <v>24</v>
      </c>
      <c r="J257">
        <v>4898</v>
      </c>
      <c r="K257">
        <v>0</v>
      </c>
      <c r="L257">
        <v>3</v>
      </c>
      <c r="M257">
        <v>4</v>
      </c>
      <c r="N257" t="s">
        <v>20</v>
      </c>
      <c r="O257" t="s">
        <v>31</v>
      </c>
      <c r="P257">
        <v>18438099</v>
      </c>
    </row>
    <row r="258" spans="1:16" ht="14.25" x14ac:dyDescent="0.2">
      <c r="A258">
        <v>42</v>
      </c>
      <c r="B258" t="s">
        <v>22</v>
      </c>
      <c r="C258" t="s">
        <v>23</v>
      </c>
      <c r="D258">
        <v>2</v>
      </c>
      <c r="E258">
        <v>3</v>
      </c>
      <c r="F258" t="s">
        <v>29</v>
      </c>
      <c r="G258">
        <v>4</v>
      </c>
      <c r="H258">
        <v>1</v>
      </c>
      <c r="I258" t="s">
        <v>30</v>
      </c>
      <c r="J258">
        <v>2593</v>
      </c>
      <c r="K258">
        <v>0</v>
      </c>
      <c r="L258">
        <v>3</v>
      </c>
      <c r="M258">
        <v>9</v>
      </c>
      <c r="N258" t="s">
        <v>20</v>
      </c>
      <c r="O258" t="s">
        <v>28</v>
      </c>
      <c r="P258">
        <v>14558989</v>
      </c>
    </row>
    <row r="259" spans="1:16" ht="14.25" x14ac:dyDescent="0.2">
      <c r="A259">
        <v>40</v>
      </c>
      <c r="B259" t="s">
        <v>22</v>
      </c>
      <c r="C259" t="s">
        <v>23</v>
      </c>
      <c r="D259">
        <v>2</v>
      </c>
      <c r="E259">
        <v>2</v>
      </c>
      <c r="F259" t="s">
        <v>29</v>
      </c>
      <c r="G259">
        <v>1</v>
      </c>
      <c r="H259">
        <v>3</v>
      </c>
      <c r="I259" t="s">
        <v>30</v>
      </c>
      <c r="J259">
        <v>19436</v>
      </c>
      <c r="K259">
        <v>0</v>
      </c>
      <c r="L259">
        <v>3</v>
      </c>
      <c r="M259">
        <v>21</v>
      </c>
      <c r="N259" t="s">
        <v>25</v>
      </c>
      <c r="O259" t="s">
        <v>35</v>
      </c>
      <c r="P259">
        <v>23564587</v>
      </c>
    </row>
    <row r="260" spans="1:16" ht="14.25" x14ac:dyDescent="0.2">
      <c r="A260">
        <v>51</v>
      </c>
      <c r="B260" t="s">
        <v>22</v>
      </c>
      <c r="C260" t="s">
        <v>23</v>
      </c>
      <c r="D260">
        <v>1</v>
      </c>
      <c r="E260">
        <v>3</v>
      </c>
      <c r="F260" t="s">
        <v>18</v>
      </c>
      <c r="G260">
        <v>3</v>
      </c>
      <c r="H260">
        <v>4</v>
      </c>
      <c r="I260" t="s">
        <v>24</v>
      </c>
      <c r="J260">
        <v>2723</v>
      </c>
      <c r="K260">
        <v>1</v>
      </c>
      <c r="L260">
        <v>2</v>
      </c>
      <c r="M260">
        <v>1</v>
      </c>
      <c r="N260" t="s">
        <v>25</v>
      </c>
      <c r="O260" t="s">
        <v>26</v>
      </c>
      <c r="P260">
        <v>32938752</v>
      </c>
    </row>
    <row r="261" spans="1:16" ht="14.25" x14ac:dyDescent="0.2">
      <c r="A261">
        <v>31</v>
      </c>
      <c r="B261" t="s">
        <v>16</v>
      </c>
      <c r="C261" t="s">
        <v>23</v>
      </c>
      <c r="D261">
        <v>29</v>
      </c>
      <c r="E261">
        <v>2</v>
      </c>
      <c r="F261" t="s">
        <v>29</v>
      </c>
      <c r="G261">
        <v>3</v>
      </c>
      <c r="H261">
        <v>2</v>
      </c>
      <c r="I261" t="s">
        <v>19</v>
      </c>
      <c r="J261">
        <v>3479</v>
      </c>
      <c r="K261">
        <v>0</v>
      </c>
      <c r="L261">
        <v>4</v>
      </c>
      <c r="M261">
        <v>5</v>
      </c>
      <c r="N261" t="s">
        <v>25</v>
      </c>
      <c r="O261" t="s">
        <v>28</v>
      </c>
      <c r="P261">
        <v>55381937</v>
      </c>
    </row>
    <row r="262" spans="1:16" ht="14.25" x14ac:dyDescent="0.2">
      <c r="A262">
        <v>32</v>
      </c>
      <c r="B262" t="s">
        <v>22</v>
      </c>
      <c r="C262" t="s">
        <v>23</v>
      </c>
      <c r="D262">
        <v>7</v>
      </c>
      <c r="E262">
        <v>3</v>
      </c>
      <c r="F262" t="s">
        <v>18</v>
      </c>
      <c r="G262">
        <v>2</v>
      </c>
      <c r="H262">
        <v>2</v>
      </c>
      <c r="I262" t="s">
        <v>24</v>
      </c>
      <c r="J262">
        <v>2794</v>
      </c>
      <c r="K262">
        <v>1</v>
      </c>
      <c r="L262">
        <v>1</v>
      </c>
      <c r="M262">
        <v>5</v>
      </c>
      <c r="N262" t="s">
        <v>25</v>
      </c>
      <c r="O262" t="s">
        <v>28</v>
      </c>
      <c r="P262">
        <v>48863799</v>
      </c>
    </row>
    <row r="263" spans="1:16" ht="14.25" x14ac:dyDescent="0.2">
      <c r="A263">
        <v>38</v>
      </c>
      <c r="B263" t="s">
        <v>22</v>
      </c>
      <c r="C263" t="s">
        <v>17</v>
      </c>
      <c r="D263">
        <v>2</v>
      </c>
      <c r="E263">
        <v>2</v>
      </c>
      <c r="F263" t="s">
        <v>18</v>
      </c>
      <c r="G263">
        <v>4</v>
      </c>
      <c r="H263">
        <v>4</v>
      </c>
      <c r="I263" t="s">
        <v>24</v>
      </c>
      <c r="J263">
        <v>5249</v>
      </c>
      <c r="K263">
        <v>3</v>
      </c>
      <c r="L263">
        <v>3</v>
      </c>
      <c r="M263">
        <v>8</v>
      </c>
      <c r="N263" t="s">
        <v>25</v>
      </c>
      <c r="O263" t="s">
        <v>21</v>
      </c>
      <c r="P263">
        <v>24515879</v>
      </c>
    </row>
    <row r="264" spans="1:16" ht="14.25" x14ac:dyDescent="0.2">
      <c r="A264">
        <v>32</v>
      </c>
      <c r="B264" t="s">
        <v>22</v>
      </c>
      <c r="C264" t="s">
        <v>23</v>
      </c>
      <c r="D264">
        <v>2</v>
      </c>
      <c r="E264">
        <v>1</v>
      </c>
      <c r="F264" t="s">
        <v>37</v>
      </c>
      <c r="G264">
        <v>4</v>
      </c>
      <c r="H264">
        <v>1</v>
      </c>
      <c r="I264" t="s">
        <v>19</v>
      </c>
      <c r="J264">
        <v>2176</v>
      </c>
      <c r="K264">
        <v>4</v>
      </c>
      <c r="L264">
        <v>3</v>
      </c>
      <c r="M264">
        <v>6</v>
      </c>
      <c r="N264" t="s">
        <v>25</v>
      </c>
      <c r="O264" t="s">
        <v>28</v>
      </c>
      <c r="P264">
        <v>25654577</v>
      </c>
    </row>
    <row r="265" spans="1:16" ht="14.25" x14ac:dyDescent="0.2">
      <c r="A265">
        <v>46</v>
      </c>
      <c r="B265" t="s">
        <v>22</v>
      </c>
      <c r="C265" t="s">
        <v>17</v>
      </c>
      <c r="D265">
        <v>2</v>
      </c>
      <c r="E265">
        <v>3</v>
      </c>
      <c r="F265" t="s">
        <v>37</v>
      </c>
      <c r="G265">
        <v>3</v>
      </c>
      <c r="H265">
        <v>2</v>
      </c>
      <c r="I265" t="s">
        <v>24</v>
      </c>
      <c r="J265">
        <v>16872</v>
      </c>
      <c r="K265">
        <v>3</v>
      </c>
      <c r="L265">
        <v>2</v>
      </c>
      <c r="M265">
        <v>7</v>
      </c>
      <c r="N265" t="s">
        <v>20</v>
      </c>
      <c r="O265" t="s">
        <v>33</v>
      </c>
      <c r="P265">
        <v>48427275</v>
      </c>
    </row>
    <row r="266" spans="1:16" ht="14.25" x14ac:dyDescent="0.2">
      <c r="A266">
        <v>28</v>
      </c>
      <c r="B266" t="s">
        <v>16</v>
      </c>
      <c r="C266" t="s">
        <v>23</v>
      </c>
      <c r="D266">
        <v>2</v>
      </c>
      <c r="E266">
        <v>4</v>
      </c>
      <c r="F266" t="s">
        <v>18</v>
      </c>
      <c r="G266">
        <v>1</v>
      </c>
      <c r="H266">
        <v>3</v>
      </c>
      <c r="I266" t="s">
        <v>19</v>
      </c>
      <c r="J266">
        <v>3485</v>
      </c>
      <c r="K266">
        <v>2</v>
      </c>
      <c r="L266">
        <v>1</v>
      </c>
      <c r="M266">
        <v>0</v>
      </c>
      <c r="N266" t="s">
        <v>25</v>
      </c>
      <c r="O266" t="s">
        <v>28</v>
      </c>
      <c r="P266">
        <v>35700578</v>
      </c>
    </row>
    <row r="267" spans="1:16" ht="14.25" x14ac:dyDescent="0.2">
      <c r="A267">
        <v>29</v>
      </c>
      <c r="B267" t="s">
        <v>22</v>
      </c>
      <c r="C267" t="s">
        <v>17</v>
      </c>
      <c r="D267">
        <v>2</v>
      </c>
      <c r="E267">
        <v>3</v>
      </c>
      <c r="F267" t="s">
        <v>29</v>
      </c>
      <c r="G267">
        <v>1</v>
      </c>
      <c r="H267">
        <v>2</v>
      </c>
      <c r="I267" t="s">
        <v>24</v>
      </c>
      <c r="J267">
        <v>6644</v>
      </c>
      <c r="K267">
        <v>2</v>
      </c>
      <c r="L267">
        <v>3</v>
      </c>
      <c r="M267">
        <v>0</v>
      </c>
      <c r="N267" t="s">
        <v>25</v>
      </c>
      <c r="O267" t="s">
        <v>21</v>
      </c>
      <c r="P267">
        <v>50954240</v>
      </c>
    </row>
    <row r="268" spans="1:16" ht="14.25" x14ac:dyDescent="0.2">
      <c r="A268">
        <v>31</v>
      </c>
      <c r="B268" t="s">
        <v>22</v>
      </c>
      <c r="C268" t="s">
        <v>23</v>
      </c>
      <c r="D268">
        <v>23</v>
      </c>
      <c r="E268">
        <v>3</v>
      </c>
      <c r="F268" t="s">
        <v>29</v>
      </c>
      <c r="G268">
        <v>2</v>
      </c>
      <c r="H268">
        <v>4</v>
      </c>
      <c r="I268" t="s">
        <v>24</v>
      </c>
      <c r="J268">
        <v>5582</v>
      </c>
      <c r="K268">
        <v>0</v>
      </c>
      <c r="L268">
        <v>3</v>
      </c>
      <c r="M268">
        <v>9</v>
      </c>
      <c r="N268" t="s">
        <v>25</v>
      </c>
      <c r="O268" t="s">
        <v>32</v>
      </c>
      <c r="P268">
        <v>66074101</v>
      </c>
    </row>
    <row r="269" spans="1:16" ht="14.25" x14ac:dyDescent="0.2">
      <c r="A269">
        <v>25</v>
      </c>
      <c r="B269" t="s">
        <v>22</v>
      </c>
      <c r="C269" t="s">
        <v>23</v>
      </c>
      <c r="D269">
        <v>5</v>
      </c>
      <c r="E269">
        <v>2</v>
      </c>
      <c r="F269" t="s">
        <v>18</v>
      </c>
      <c r="G269">
        <v>2</v>
      </c>
      <c r="H269">
        <v>1</v>
      </c>
      <c r="I269" t="s">
        <v>30</v>
      </c>
      <c r="J269">
        <v>4000</v>
      </c>
      <c r="K269">
        <v>1</v>
      </c>
      <c r="L269">
        <v>3</v>
      </c>
      <c r="M269">
        <v>6</v>
      </c>
      <c r="N269" t="s">
        <v>25</v>
      </c>
      <c r="O269" t="s">
        <v>32</v>
      </c>
      <c r="P269">
        <v>54549638</v>
      </c>
    </row>
    <row r="270" spans="1:16" ht="14.25" x14ac:dyDescent="0.2">
      <c r="A270">
        <v>45</v>
      </c>
      <c r="B270" t="s">
        <v>22</v>
      </c>
      <c r="C270" t="s">
        <v>23</v>
      </c>
      <c r="D270">
        <v>20</v>
      </c>
      <c r="E270">
        <v>2</v>
      </c>
      <c r="F270" t="s">
        <v>29</v>
      </c>
      <c r="G270">
        <v>3</v>
      </c>
      <c r="H270">
        <v>4</v>
      </c>
      <c r="I270" t="s">
        <v>24</v>
      </c>
      <c r="J270">
        <v>13496</v>
      </c>
      <c r="K270">
        <v>0</v>
      </c>
      <c r="L270">
        <v>3</v>
      </c>
      <c r="M270">
        <v>20</v>
      </c>
      <c r="N270" t="s">
        <v>25</v>
      </c>
      <c r="O270" t="s">
        <v>32</v>
      </c>
      <c r="P270">
        <v>54597644</v>
      </c>
    </row>
    <row r="271" spans="1:16" ht="14.25" x14ac:dyDescent="0.2">
      <c r="A271">
        <v>36</v>
      </c>
      <c r="B271" t="s">
        <v>22</v>
      </c>
      <c r="C271" t="s">
        <v>23</v>
      </c>
      <c r="D271">
        <v>6</v>
      </c>
      <c r="E271">
        <v>3</v>
      </c>
      <c r="F271" t="s">
        <v>18</v>
      </c>
      <c r="G271">
        <v>4</v>
      </c>
      <c r="H271">
        <v>4</v>
      </c>
      <c r="I271" t="s">
        <v>24</v>
      </c>
      <c r="J271">
        <v>3210</v>
      </c>
      <c r="K271">
        <v>0</v>
      </c>
      <c r="L271">
        <v>3</v>
      </c>
      <c r="M271">
        <v>15</v>
      </c>
      <c r="N271" t="s">
        <v>25</v>
      </c>
      <c r="O271" t="s">
        <v>28</v>
      </c>
      <c r="P271">
        <v>27403967</v>
      </c>
    </row>
    <row r="272" spans="1:16" ht="14.25" x14ac:dyDescent="0.2">
      <c r="A272">
        <v>55</v>
      </c>
      <c r="B272" t="s">
        <v>22</v>
      </c>
      <c r="C272" t="s">
        <v>23</v>
      </c>
      <c r="D272">
        <v>1</v>
      </c>
      <c r="E272">
        <v>3</v>
      </c>
      <c r="F272" t="s">
        <v>29</v>
      </c>
      <c r="G272">
        <v>4</v>
      </c>
      <c r="H272">
        <v>1</v>
      </c>
      <c r="I272" t="s">
        <v>19</v>
      </c>
      <c r="J272">
        <v>19045</v>
      </c>
      <c r="K272">
        <v>0</v>
      </c>
      <c r="L272">
        <v>3</v>
      </c>
      <c r="M272">
        <v>36</v>
      </c>
      <c r="N272" t="s">
        <v>25</v>
      </c>
      <c r="O272" t="s">
        <v>33</v>
      </c>
      <c r="P272">
        <v>51022838</v>
      </c>
    </row>
    <row r="273" spans="1:16" ht="14.25" x14ac:dyDescent="0.2">
      <c r="A273">
        <v>47</v>
      </c>
      <c r="B273" t="s">
        <v>16</v>
      </c>
      <c r="C273" t="s">
        <v>23</v>
      </c>
      <c r="D273">
        <v>29</v>
      </c>
      <c r="E273">
        <v>4</v>
      </c>
      <c r="F273" t="s">
        <v>18</v>
      </c>
      <c r="G273">
        <v>1</v>
      </c>
      <c r="H273">
        <v>2</v>
      </c>
      <c r="I273" t="s">
        <v>24</v>
      </c>
      <c r="J273">
        <v>11849</v>
      </c>
      <c r="K273">
        <v>1</v>
      </c>
      <c r="L273">
        <v>2</v>
      </c>
      <c r="M273">
        <v>10</v>
      </c>
      <c r="N273" t="s">
        <v>25</v>
      </c>
      <c r="O273" t="s">
        <v>33</v>
      </c>
      <c r="P273">
        <v>64406571</v>
      </c>
    </row>
    <row r="274" spans="1:16" ht="14.25" x14ac:dyDescent="0.2">
      <c r="A274">
        <v>28</v>
      </c>
      <c r="B274" t="s">
        <v>22</v>
      </c>
      <c r="C274" t="s">
        <v>23</v>
      </c>
      <c r="D274">
        <v>9</v>
      </c>
      <c r="E274">
        <v>3</v>
      </c>
      <c r="F274" t="s">
        <v>29</v>
      </c>
      <c r="G274">
        <v>4</v>
      </c>
      <c r="H274">
        <v>4</v>
      </c>
      <c r="I274" t="s">
        <v>24</v>
      </c>
      <c r="J274">
        <v>2070</v>
      </c>
      <c r="K274">
        <v>1</v>
      </c>
      <c r="L274">
        <v>2</v>
      </c>
      <c r="M274">
        <v>5</v>
      </c>
      <c r="N274" t="s">
        <v>25</v>
      </c>
      <c r="O274" t="s">
        <v>26</v>
      </c>
      <c r="P274">
        <v>38605872</v>
      </c>
    </row>
    <row r="275" spans="1:16" ht="14.25" x14ac:dyDescent="0.2">
      <c r="A275">
        <v>37</v>
      </c>
      <c r="B275" t="s">
        <v>22</v>
      </c>
      <c r="C275" t="s">
        <v>17</v>
      </c>
      <c r="D275">
        <v>6</v>
      </c>
      <c r="E275">
        <v>4</v>
      </c>
      <c r="F275" t="s">
        <v>29</v>
      </c>
      <c r="G275">
        <v>3</v>
      </c>
      <c r="H275">
        <v>4</v>
      </c>
      <c r="I275" t="s">
        <v>24</v>
      </c>
      <c r="J275">
        <v>6502</v>
      </c>
      <c r="K275">
        <v>4</v>
      </c>
      <c r="L275">
        <v>4</v>
      </c>
      <c r="M275">
        <v>5</v>
      </c>
      <c r="N275" t="s">
        <v>25</v>
      </c>
      <c r="O275" t="s">
        <v>21</v>
      </c>
      <c r="P275">
        <v>11245755</v>
      </c>
    </row>
    <row r="276" spans="1:16" ht="14.25" x14ac:dyDescent="0.2">
      <c r="A276">
        <v>21</v>
      </c>
      <c r="B276" t="s">
        <v>22</v>
      </c>
      <c r="C276" t="s">
        <v>23</v>
      </c>
      <c r="D276">
        <v>3</v>
      </c>
      <c r="E276">
        <v>2</v>
      </c>
      <c r="F276" t="s">
        <v>29</v>
      </c>
      <c r="G276">
        <v>4</v>
      </c>
      <c r="H276">
        <v>3</v>
      </c>
      <c r="I276" t="s">
        <v>19</v>
      </c>
      <c r="J276">
        <v>3230</v>
      </c>
      <c r="K276">
        <v>1</v>
      </c>
      <c r="L276">
        <v>4</v>
      </c>
      <c r="M276">
        <v>3</v>
      </c>
      <c r="N276" t="s">
        <v>25</v>
      </c>
      <c r="O276" t="s">
        <v>26</v>
      </c>
      <c r="P276">
        <v>23450646</v>
      </c>
    </row>
    <row r="277" spans="1:16" ht="14.25" x14ac:dyDescent="0.2">
      <c r="A277">
        <v>37</v>
      </c>
      <c r="B277" t="s">
        <v>22</v>
      </c>
      <c r="C277" t="s">
        <v>23</v>
      </c>
      <c r="D277">
        <v>1</v>
      </c>
      <c r="E277">
        <v>4</v>
      </c>
      <c r="F277" t="s">
        <v>29</v>
      </c>
      <c r="G277">
        <v>1</v>
      </c>
      <c r="H277">
        <v>4</v>
      </c>
      <c r="I277" t="s">
        <v>30</v>
      </c>
      <c r="J277">
        <v>13603</v>
      </c>
      <c r="K277">
        <v>2</v>
      </c>
      <c r="L277">
        <v>3</v>
      </c>
      <c r="M277">
        <v>5</v>
      </c>
      <c r="N277" t="s">
        <v>20</v>
      </c>
      <c r="O277" t="s">
        <v>35</v>
      </c>
      <c r="P277">
        <v>26531180</v>
      </c>
    </row>
    <row r="278" spans="1:16" ht="14.25" x14ac:dyDescent="0.2">
      <c r="A278">
        <v>35</v>
      </c>
      <c r="B278" t="s">
        <v>22</v>
      </c>
      <c r="C278" t="s">
        <v>23</v>
      </c>
      <c r="D278">
        <v>22</v>
      </c>
      <c r="E278">
        <v>3</v>
      </c>
      <c r="F278" t="s">
        <v>18</v>
      </c>
      <c r="G278">
        <v>2</v>
      </c>
      <c r="H278">
        <v>2</v>
      </c>
      <c r="I278" t="s">
        <v>30</v>
      </c>
      <c r="J278">
        <v>11996</v>
      </c>
      <c r="K278">
        <v>7</v>
      </c>
      <c r="L278">
        <v>2</v>
      </c>
      <c r="M278">
        <v>7</v>
      </c>
      <c r="N278" t="s">
        <v>20</v>
      </c>
      <c r="O278" t="s">
        <v>33</v>
      </c>
      <c r="P278">
        <v>55695753</v>
      </c>
    </row>
    <row r="279" spans="1:16" ht="14.25" x14ac:dyDescent="0.2">
      <c r="A279">
        <v>38</v>
      </c>
      <c r="B279" t="s">
        <v>22</v>
      </c>
      <c r="C279" t="s">
        <v>17</v>
      </c>
      <c r="D279">
        <v>7</v>
      </c>
      <c r="E279">
        <v>2</v>
      </c>
      <c r="F279" t="s">
        <v>29</v>
      </c>
      <c r="G279">
        <v>1</v>
      </c>
      <c r="H279">
        <v>1</v>
      </c>
      <c r="I279" t="s">
        <v>30</v>
      </c>
      <c r="J279">
        <v>5605</v>
      </c>
      <c r="K279">
        <v>1</v>
      </c>
      <c r="L279">
        <v>3</v>
      </c>
      <c r="M279">
        <v>8</v>
      </c>
      <c r="N279" t="s">
        <v>20</v>
      </c>
      <c r="O279" t="s">
        <v>21</v>
      </c>
      <c r="P279">
        <v>18080045</v>
      </c>
    </row>
    <row r="280" spans="1:16" ht="14.25" x14ac:dyDescent="0.2">
      <c r="A280">
        <v>26</v>
      </c>
      <c r="B280" t="s">
        <v>22</v>
      </c>
      <c r="C280" t="s">
        <v>23</v>
      </c>
      <c r="D280">
        <v>1</v>
      </c>
      <c r="E280">
        <v>3</v>
      </c>
      <c r="F280" t="s">
        <v>18</v>
      </c>
      <c r="G280">
        <v>3</v>
      </c>
      <c r="H280">
        <v>2</v>
      </c>
      <c r="I280" t="s">
        <v>30</v>
      </c>
      <c r="J280">
        <v>6397</v>
      </c>
      <c r="K280">
        <v>1</v>
      </c>
      <c r="L280">
        <v>1</v>
      </c>
      <c r="M280">
        <v>6</v>
      </c>
      <c r="N280" t="s">
        <v>20</v>
      </c>
      <c r="O280" t="s">
        <v>31</v>
      </c>
      <c r="P280">
        <v>69161375</v>
      </c>
    </row>
    <row r="281" spans="1:16" ht="14.25" x14ac:dyDescent="0.2">
      <c r="A281">
        <v>50</v>
      </c>
      <c r="B281" t="s">
        <v>22</v>
      </c>
      <c r="C281" t="s">
        <v>23</v>
      </c>
      <c r="D281">
        <v>4</v>
      </c>
      <c r="E281">
        <v>1</v>
      </c>
      <c r="F281" t="s">
        <v>18</v>
      </c>
      <c r="G281">
        <v>1</v>
      </c>
      <c r="H281">
        <v>2</v>
      </c>
      <c r="I281" t="s">
        <v>30</v>
      </c>
      <c r="J281">
        <v>19144</v>
      </c>
      <c r="K281">
        <v>3</v>
      </c>
      <c r="L281">
        <v>2</v>
      </c>
      <c r="M281">
        <v>10</v>
      </c>
      <c r="N281" t="s">
        <v>25</v>
      </c>
      <c r="O281" t="s">
        <v>35</v>
      </c>
      <c r="P281">
        <v>65724620</v>
      </c>
    </row>
    <row r="282" spans="1:16" ht="14.25" x14ac:dyDescent="0.2">
      <c r="A282">
        <v>53</v>
      </c>
      <c r="B282" t="s">
        <v>22</v>
      </c>
      <c r="C282" t="s">
        <v>23</v>
      </c>
      <c r="D282">
        <v>3</v>
      </c>
      <c r="E282">
        <v>4</v>
      </c>
      <c r="F282" t="s">
        <v>29</v>
      </c>
      <c r="G282">
        <v>3</v>
      </c>
      <c r="H282">
        <v>3</v>
      </c>
      <c r="I282" t="s">
        <v>24</v>
      </c>
      <c r="J282">
        <v>17584</v>
      </c>
      <c r="K282">
        <v>3</v>
      </c>
      <c r="L282">
        <v>2</v>
      </c>
      <c r="M282">
        <v>5</v>
      </c>
      <c r="N282" t="s">
        <v>25</v>
      </c>
      <c r="O282" t="s">
        <v>35</v>
      </c>
      <c r="P282">
        <v>24279128</v>
      </c>
    </row>
    <row r="283" spans="1:16" ht="14.25" x14ac:dyDescent="0.2">
      <c r="A283">
        <v>42</v>
      </c>
      <c r="B283" t="s">
        <v>22</v>
      </c>
      <c r="C283" t="s">
        <v>17</v>
      </c>
      <c r="D283">
        <v>1</v>
      </c>
      <c r="E283">
        <v>1</v>
      </c>
      <c r="F283" t="s">
        <v>18</v>
      </c>
      <c r="G283">
        <v>2</v>
      </c>
      <c r="H283">
        <v>3</v>
      </c>
      <c r="I283" t="s">
        <v>24</v>
      </c>
      <c r="J283">
        <v>4907</v>
      </c>
      <c r="K283">
        <v>1</v>
      </c>
      <c r="L283">
        <v>3</v>
      </c>
      <c r="M283">
        <v>20</v>
      </c>
      <c r="N283" t="s">
        <v>25</v>
      </c>
      <c r="O283" t="s">
        <v>21</v>
      </c>
      <c r="P283">
        <v>72976508</v>
      </c>
    </row>
    <row r="284" spans="1:16" ht="14.25" x14ac:dyDescent="0.2">
      <c r="A284">
        <v>29</v>
      </c>
      <c r="B284" t="s">
        <v>22</v>
      </c>
      <c r="C284" t="s">
        <v>17</v>
      </c>
      <c r="D284">
        <v>2</v>
      </c>
      <c r="E284">
        <v>2</v>
      </c>
      <c r="F284" t="s">
        <v>18</v>
      </c>
      <c r="G284">
        <v>2</v>
      </c>
      <c r="H284">
        <v>4</v>
      </c>
      <c r="I284" t="s">
        <v>19</v>
      </c>
      <c r="J284">
        <v>4554</v>
      </c>
      <c r="K284">
        <v>1</v>
      </c>
      <c r="L284">
        <v>2</v>
      </c>
      <c r="M284">
        <v>10</v>
      </c>
      <c r="N284" t="s">
        <v>25</v>
      </c>
      <c r="O284" t="s">
        <v>21</v>
      </c>
      <c r="P284">
        <v>74522705</v>
      </c>
    </row>
    <row r="285" spans="1:16" ht="14.25" x14ac:dyDescent="0.2">
      <c r="A285">
        <v>55</v>
      </c>
      <c r="B285" t="s">
        <v>22</v>
      </c>
      <c r="C285" t="s">
        <v>23</v>
      </c>
      <c r="D285">
        <v>20</v>
      </c>
      <c r="E285">
        <v>2</v>
      </c>
      <c r="F285" t="s">
        <v>37</v>
      </c>
      <c r="G285">
        <v>2</v>
      </c>
      <c r="H285">
        <v>4</v>
      </c>
      <c r="I285" t="s">
        <v>24</v>
      </c>
      <c r="J285">
        <v>5415</v>
      </c>
      <c r="K285">
        <v>3</v>
      </c>
      <c r="L285">
        <v>3</v>
      </c>
      <c r="M285">
        <v>10</v>
      </c>
      <c r="N285" t="s">
        <v>25</v>
      </c>
      <c r="O285" t="s">
        <v>28</v>
      </c>
      <c r="P285">
        <v>21650645</v>
      </c>
    </row>
    <row r="286" spans="1:16" ht="14.25" x14ac:dyDescent="0.2">
      <c r="A286">
        <v>26</v>
      </c>
      <c r="B286" t="s">
        <v>22</v>
      </c>
      <c r="C286" t="s">
        <v>23</v>
      </c>
      <c r="D286">
        <v>11</v>
      </c>
      <c r="E286">
        <v>2</v>
      </c>
      <c r="F286" t="s">
        <v>29</v>
      </c>
      <c r="G286">
        <v>1</v>
      </c>
      <c r="H286">
        <v>1</v>
      </c>
      <c r="I286" t="s">
        <v>24</v>
      </c>
      <c r="J286">
        <v>4741</v>
      </c>
      <c r="K286">
        <v>1</v>
      </c>
      <c r="L286">
        <v>3</v>
      </c>
      <c r="M286">
        <v>5</v>
      </c>
      <c r="N286" t="s">
        <v>25</v>
      </c>
      <c r="O286" t="s">
        <v>32</v>
      </c>
      <c r="P286">
        <v>36911099</v>
      </c>
    </row>
    <row r="287" spans="1:16" ht="14.25" x14ac:dyDescent="0.2">
      <c r="A287">
        <v>37</v>
      </c>
      <c r="B287" t="s">
        <v>22</v>
      </c>
      <c r="C287" t="s">
        <v>23</v>
      </c>
      <c r="D287">
        <v>1</v>
      </c>
      <c r="E287">
        <v>3</v>
      </c>
      <c r="F287" t="s">
        <v>18</v>
      </c>
      <c r="G287">
        <v>4</v>
      </c>
      <c r="H287">
        <v>4</v>
      </c>
      <c r="I287" t="s">
        <v>19</v>
      </c>
      <c r="J287">
        <v>2115</v>
      </c>
      <c r="K287">
        <v>1</v>
      </c>
      <c r="L287">
        <v>3</v>
      </c>
      <c r="M287">
        <v>17</v>
      </c>
      <c r="N287" t="s">
        <v>20</v>
      </c>
      <c r="O287" t="s">
        <v>26</v>
      </c>
      <c r="P287">
        <v>52521119</v>
      </c>
    </row>
    <row r="288" spans="1:16" ht="14.25" x14ac:dyDescent="0.2">
      <c r="A288">
        <v>44</v>
      </c>
      <c r="B288" t="s">
        <v>16</v>
      </c>
      <c r="C288" t="s">
        <v>23</v>
      </c>
      <c r="D288">
        <v>24</v>
      </c>
      <c r="E288">
        <v>3</v>
      </c>
      <c r="F288" t="s">
        <v>18</v>
      </c>
      <c r="G288">
        <v>4</v>
      </c>
      <c r="H288">
        <v>3</v>
      </c>
      <c r="I288" t="s">
        <v>30</v>
      </c>
      <c r="J288">
        <v>3161</v>
      </c>
      <c r="K288">
        <v>3</v>
      </c>
      <c r="L288">
        <v>1</v>
      </c>
      <c r="M288">
        <v>1</v>
      </c>
      <c r="N288" t="s">
        <v>25</v>
      </c>
      <c r="O288" t="s">
        <v>28</v>
      </c>
      <c r="P288">
        <v>22894536</v>
      </c>
    </row>
    <row r="289" spans="1:16" ht="14.25" x14ac:dyDescent="0.2">
      <c r="A289">
        <v>38</v>
      </c>
      <c r="B289" t="s">
        <v>22</v>
      </c>
      <c r="C289" t="s">
        <v>23</v>
      </c>
      <c r="D289">
        <v>23</v>
      </c>
      <c r="E289">
        <v>4</v>
      </c>
      <c r="F289" t="s">
        <v>18</v>
      </c>
      <c r="G289">
        <v>4</v>
      </c>
      <c r="H289">
        <v>4</v>
      </c>
      <c r="I289" t="s">
        <v>30</v>
      </c>
      <c r="J289">
        <v>5745</v>
      </c>
      <c r="K289">
        <v>9</v>
      </c>
      <c r="L289">
        <v>3</v>
      </c>
      <c r="M289">
        <v>2</v>
      </c>
      <c r="N289" t="s">
        <v>25</v>
      </c>
      <c r="O289" t="s">
        <v>32</v>
      </c>
      <c r="P289">
        <v>25356954</v>
      </c>
    </row>
    <row r="290" spans="1:16" ht="14.25" x14ac:dyDescent="0.2">
      <c r="A290">
        <v>26</v>
      </c>
      <c r="B290" t="s">
        <v>16</v>
      </c>
      <c r="C290" t="s">
        <v>23</v>
      </c>
      <c r="D290">
        <v>16</v>
      </c>
      <c r="E290">
        <v>4</v>
      </c>
      <c r="F290" t="s">
        <v>29</v>
      </c>
      <c r="G290">
        <v>1</v>
      </c>
      <c r="H290">
        <v>2</v>
      </c>
      <c r="I290" t="s">
        <v>30</v>
      </c>
      <c r="J290">
        <v>2373</v>
      </c>
      <c r="K290">
        <v>2</v>
      </c>
      <c r="L290">
        <v>3</v>
      </c>
      <c r="M290">
        <v>3</v>
      </c>
      <c r="N290" t="s">
        <v>25</v>
      </c>
      <c r="O290" t="s">
        <v>28</v>
      </c>
      <c r="P290">
        <v>81029631</v>
      </c>
    </row>
    <row r="291" spans="1:16" ht="14.25" x14ac:dyDescent="0.2">
      <c r="A291">
        <v>28</v>
      </c>
      <c r="B291" t="s">
        <v>22</v>
      </c>
      <c r="C291" t="s">
        <v>23</v>
      </c>
      <c r="D291">
        <v>8</v>
      </c>
      <c r="E291">
        <v>2</v>
      </c>
      <c r="F291" t="s">
        <v>18</v>
      </c>
      <c r="G291">
        <v>4</v>
      </c>
      <c r="H291">
        <v>4</v>
      </c>
      <c r="I291" t="s">
        <v>19</v>
      </c>
      <c r="J291">
        <v>3310</v>
      </c>
      <c r="K291">
        <v>1</v>
      </c>
      <c r="L291">
        <v>3</v>
      </c>
      <c r="M291">
        <v>5</v>
      </c>
      <c r="N291" t="s">
        <v>20</v>
      </c>
      <c r="O291" t="s">
        <v>26</v>
      </c>
      <c r="P291">
        <v>70602620</v>
      </c>
    </row>
    <row r="292" spans="1:16" ht="14.25" x14ac:dyDescent="0.2">
      <c r="A292">
        <v>49</v>
      </c>
      <c r="B292" t="s">
        <v>22</v>
      </c>
      <c r="C292" t="s">
        <v>23</v>
      </c>
      <c r="D292">
        <v>10</v>
      </c>
      <c r="E292">
        <v>4</v>
      </c>
      <c r="F292" t="s">
        <v>18</v>
      </c>
      <c r="G292">
        <v>3</v>
      </c>
      <c r="H292">
        <v>1</v>
      </c>
      <c r="I292" t="s">
        <v>19</v>
      </c>
      <c r="J292">
        <v>18665</v>
      </c>
      <c r="K292">
        <v>9</v>
      </c>
      <c r="L292">
        <v>3</v>
      </c>
      <c r="M292">
        <v>3</v>
      </c>
      <c r="N292" t="s">
        <v>20</v>
      </c>
      <c r="O292" t="s">
        <v>35</v>
      </c>
      <c r="P292">
        <v>14498373</v>
      </c>
    </row>
    <row r="293" spans="1:16" ht="14.25" x14ac:dyDescent="0.2">
      <c r="A293">
        <v>36</v>
      </c>
      <c r="B293" t="s">
        <v>22</v>
      </c>
      <c r="C293" t="s">
        <v>23</v>
      </c>
      <c r="D293">
        <v>3</v>
      </c>
      <c r="E293">
        <v>3</v>
      </c>
      <c r="F293" t="s">
        <v>37</v>
      </c>
      <c r="G293">
        <v>3</v>
      </c>
      <c r="H293">
        <v>2</v>
      </c>
      <c r="I293" t="s">
        <v>19</v>
      </c>
      <c r="J293">
        <v>4485</v>
      </c>
      <c r="K293">
        <v>4</v>
      </c>
      <c r="L293">
        <v>3</v>
      </c>
      <c r="M293">
        <v>8</v>
      </c>
      <c r="N293" t="s">
        <v>25</v>
      </c>
      <c r="O293" t="s">
        <v>26</v>
      </c>
      <c r="P293">
        <v>24430773</v>
      </c>
    </row>
    <row r="294" spans="1:16" ht="14.25" x14ac:dyDescent="0.2">
      <c r="A294">
        <v>31</v>
      </c>
      <c r="B294" t="s">
        <v>22</v>
      </c>
      <c r="C294" t="s">
        <v>17</v>
      </c>
      <c r="D294">
        <v>5</v>
      </c>
      <c r="E294">
        <v>3</v>
      </c>
      <c r="F294" t="s">
        <v>36</v>
      </c>
      <c r="G294">
        <v>4</v>
      </c>
      <c r="H294">
        <v>2</v>
      </c>
      <c r="I294" t="s">
        <v>30</v>
      </c>
      <c r="J294">
        <v>2789</v>
      </c>
      <c r="K294">
        <v>1</v>
      </c>
      <c r="L294">
        <v>2</v>
      </c>
      <c r="M294">
        <v>2</v>
      </c>
      <c r="N294" t="s">
        <v>20</v>
      </c>
      <c r="O294" t="s">
        <v>34</v>
      </c>
      <c r="P294">
        <v>86901257</v>
      </c>
    </row>
    <row r="295" spans="1:16" ht="14.25" x14ac:dyDescent="0.2">
      <c r="A295">
        <v>26</v>
      </c>
      <c r="B295" t="s">
        <v>16</v>
      </c>
      <c r="C295" t="s">
        <v>17</v>
      </c>
      <c r="D295">
        <v>4</v>
      </c>
      <c r="E295">
        <v>4</v>
      </c>
      <c r="F295" t="s">
        <v>36</v>
      </c>
      <c r="G295">
        <v>4</v>
      </c>
      <c r="H295">
        <v>4</v>
      </c>
      <c r="I295" t="s">
        <v>19</v>
      </c>
      <c r="J295">
        <v>5828</v>
      </c>
      <c r="K295">
        <v>1</v>
      </c>
      <c r="L295">
        <v>3</v>
      </c>
      <c r="M295">
        <v>8</v>
      </c>
      <c r="N295" t="s">
        <v>25</v>
      </c>
      <c r="O295" t="s">
        <v>21</v>
      </c>
      <c r="P295">
        <v>27657204</v>
      </c>
    </row>
    <row r="296" spans="1:16" ht="14.25" x14ac:dyDescent="0.2">
      <c r="A296">
        <v>37</v>
      </c>
      <c r="B296" t="s">
        <v>22</v>
      </c>
      <c r="C296" t="s">
        <v>23</v>
      </c>
      <c r="D296">
        <v>9</v>
      </c>
      <c r="E296">
        <v>3</v>
      </c>
      <c r="F296" t="s">
        <v>29</v>
      </c>
      <c r="G296">
        <v>2</v>
      </c>
      <c r="H296">
        <v>4</v>
      </c>
      <c r="I296" t="s">
        <v>24</v>
      </c>
      <c r="J296">
        <v>2326</v>
      </c>
      <c r="K296">
        <v>1</v>
      </c>
      <c r="L296">
        <v>2</v>
      </c>
      <c r="M296">
        <v>4</v>
      </c>
      <c r="N296" t="s">
        <v>25</v>
      </c>
      <c r="O296" t="s">
        <v>26</v>
      </c>
      <c r="P296">
        <v>61506734</v>
      </c>
    </row>
    <row r="297" spans="1:16" ht="14.25" x14ac:dyDescent="0.2">
      <c r="A297">
        <v>42</v>
      </c>
      <c r="B297" t="s">
        <v>22</v>
      </c>
      <c r="C297" t="s">
        <v>17</v>
      </c>
      <c r="D297">
        <v>26</v>
      </c>
      <c r="E297">
        <v>3</v>
      </c>
      <c r="F297" t="s">
        <v>36</v>
      </c>
      <c r="G297">
        <v>3</v>
      </c>
      <c r="H297">
        <v>2</v>
      </c>
      <c r="I297" t="s">
        <v>24</v>
      </c>
      <c r="J297">
        <v>13525</v>
      </c>
      <c r="K297">
        <v>5</v>
      </c>
      <c r="L297">
        <v>4</v>
      </c>
      <c r="M297">
        <v>20</v>
      </c>
      <c r="N297" t="s">
        <v>20</v>
      </c>
      <c r="O297" t="s">
        <v>21</v>
      </c>
      <c r="P297">
        <v>52148067</v>
      </c>
    </row>
    <row r="298" spans="1:16" ht="14.25" x14ac:dyDescent="0.2">
      <c r="A298">
        <v>18</v>
      </c>
      <c r="B298" t="s">
        <v>16</v>
      </c>
      <c r="C298" t="s">
        <v>23</v>
      </c>
      <c r="D298">
        <v>3</v>
      </c>
      <c r="E298">
        <v>3</v>
      </c>
      <c r="F298" t="s">
        <v>18</v>
      </c>
      <c r="G298">
        <v>3</v>
      </c>
      <c r="H298">
        <v>3</v>
      </c>
      <c r="I298" t="s">
        <v>19</v>
      </c>
      <c r="J298">
        <v>1420</v>
      </c>
      <c r="K298">
        <v>1</v>
      </c>
      <c r="L298">
        <v>3</v>
      </c>
      <c r="M298">
        <v>0</v>
      </c>
      <c r="N298" t="s">
        <v>25</v>
      </c>
      <c r="O298" t="s">
        <v>28</v>
      </c>
      <c r="P298">
        <v>80271988</v>
      </c>
    </row>
    <row r="299" spans="1:16" ht="14.25" x14ac:dyDescent="0.2">
      <c r="A299">
        <v>35</v>
      </c>
      <c r="B299" t="s">
        <v>22</v>
      </c>
      <c r="C299" t="s">
        <v>17</v>
      </c>
      <c r="D299">
        <v>16</v>
      </c>
      <c r="E299">
        <v>3</v>
      </c>
      <c r="F299" t="s">
        <v>36</v>
      </c>
      <c r="G299">
        <v>3</v>
      </c>
      <c r="H299">
        <v>2</v>
      </c>
      <c r="I299" t="s">
        <v>24</v>
      </c>
      <c r="J299">
        <v>8020</v>
      </c>
      <c r="K299">
        <v>0</v>
      </c>
      <c r="L299">
        <v>2</v>
      </c>
      <c r="M299">
        <v>11</v>
      </c>
      <c r="N299" t="s">
        <v>25</v>
      </c>
      <c r="O299" t="s">
        <v>21</v>
      </c>
      <c r="P299">
        <v>25781153</v>
      </c>
    </row>
    <row r="300" spans="1:16" ht="14.25" x14ac:dyDescent="0.2">
      <c r="A300">
        <v>36</v>
      </c>
      <c r="B300" t="s">
        <v>22</v>
      </c>
      <c r="C300" t="s">
        <v>23</v>
      </c>
      <c r="D300">
        <v>18</v>
      </c>
      <c r="E300">
        <v>4</v>
      </c>
      <c r="F300" t="s">
        <v>18</v>
      </c>
      <c r="G300">
        <v>3</v>
      </c>
      <c r="H300">
        <v>4</v>
      </c>
      <c r="I300" t="s">
        <v>24</v>
      </c>
      <c r="J300">
        <v>3688</v>
      </c>
      <c r="K300">
        <v>4</v>
      </c>
      <c r="L300">
        <v>3</v>
      </c>
      <c r="M300">
        <v>1</v>
      </c>
      <c r="N300" t="s">
        <v>25</v>
      </c>
      <c r="O300" t="s">
        <v>28</v>
      </c>
      <c r="P300">
        <v>58766522</v>
      </c>
    </row>
    <row r="301" spans="1:16" ht="14.25" x14ac:dyDescent="0.2">
      <c r="A301">
        <v>51</v>
      </c>
      <c r="B301" t="s">
        <v>22</v>
      </c>
      <c r="C301" t="s">
        <v>23</v>
      </c>
      <c r="D301">
        <v>2</v>
      </c>
      <c r="E301">
        <v>3</v>
      </c>
      <c r="F301" t="s">
        <v>29</v>
      </c>
      <c r="G301">
        <v>4</v>
      </c>
      <c r="H301">
        <v>2</v>
      </c>
      <c r="I301" t="s">
        <v>30</v>
      </c>
      <c r="J301">
        <v>5482</v>
      </c>
      <c r="K301">
        <v>5</v>
      </c>
      <c r="L301">
        <v>3</v>
      </c>
      <c r="M301">
        <v>4</v>
      </c>
      <c r="N301" t="s">
        <v>25</v>
      </c>
      <c r="O301" t="s">
        <v>31</v>
      </c>
      <c r="P301">
        <v>57259268</v>
      </c>
    </row>
    <row r="302" spans="1:16" ht="14.25" x14ac:dyDescent="0.2">
      <c r="A302">
        <v>41</v>
      </c>
      <c r="B302" t="s">
        <v>22</v>
      </c>
      <c r="C302" t="s">
        <v>17</v>
      </c>
      <c r="D302">
        <v>2</v>
      </c>
      <c r="E302">
        <v>4</v>
      </c>
      <c r="F302" t="s">
        <v>18</v>
      </c>
      <c r="G302">
        <v>4</v>
      </c>
      <c r="H302">
        <v>2</v>
      </c>
      <c r="I302" t="s">
        <v>19</v>
      </c>
      <c r="J302">
        <v>16015</v>
      </c>
      <c r="K302">
        <v>1</v>
      </c>
      <c r="L302">
        <v>3</v>
      </c>
      <c r="M302">
        <v>22</v>
      </c>
      <c r="N302" t="s">
        <v>25</v>
      </c>
      <c r="O302" t="s">
        <v>33</v>
      </c>
      <c r="P302">
        <v>31071504</v>
      </c>
    </row>
    <row r="303" spans="1:16" ht="14.25" x14ac:dyDescent="0.2">
      <c r="A303">
        <v>18</v>
      </c>
      <c r="B303" t="s">
        <v>22</v>
      </c>
      <c r="C303" t="s">
        <v>17</v>
      </c>
      <c r="D303">
        <v>10</v>
      </c>
      <c r="E303">
        <v>3</v>
      </c>
      <c r="F303" t="s">
        <v>29</v>
      </c>
      <c r="G303">
        <v>4</v>
      </c>
      <c r="H303">
        <v>3</v>
      </c>
      <c r="I303" t="s">
        <v>19</v>
      </c>
      <c r="J303">
        <v>1200</v>
      </c>
      <c r="K303">
        <v>1</v>
      </c>
      <c r="L303">
        <v>3</v>
      </c>
      <c r="M303">
        <v>0</v>
      </c>
      <c r="N303" t="s">
        <v>20</v>
      </c>
      <c r="O303" t="s">
        <v>34</v>
      </c>
      <c r="P303">
        <v>51271068</v>
      </c>
    </row>
    <row r="304" spans="1:16" ht="14.25" x14ac:dyDescent="0.2">
      <c r="A304">
        <v>28</v>
      </c>
      <c r="B304" t="s">
        <v>22</v>
      </c>
      <c r="C304" t="s">
        <v>23</v>
      </c>
      <c r="D304">
        <v>16</v>
      </c>
      <c r="E304">
        <v>2</v>
      </c>
      <c r="F304" t="s">
        <v>29</v>
      </c>
      <c r="G304">
        <v>2</v>
      </c>
      <c r="H304">
        <v>1</v>
      </c>
      <c r="I304" t="s">
        <v>19</v>
      </c>
      <c r="J304">
        <v>5661</v>
      </c>
      <c r="K304">
        <v>0</v>
      </c>
      <c r="L304">
        <v>3</v>
      </c>
      <c r="M304">
        <v>8</v>
      </c>
      <c r="N304" t="s">
        <v>25</v>
      </c>
      <c r="O304" t="s">
        <v>32</v>
      </c>
      <c r="P304">
        <v>12942615</v>
      </c>
    </row>
    <row r="305" spans="1:16" ht="14.25" x14ac:dyDescent="0.2">
      <c r="A305">
        <v>31</v>
      </c>
      <c r="B305" t="s">
        <v>22</v>
      </c>
      <c r="C305" t="s">
        <v>17</v>
      </c>
      <c r="D305">
        <v>7</v>
      </c>
      <c r="E305">
        <v>3</v>
      </c>
      <c r="F305" t="s">
        <v>37</v>
      </c>
      <c r="G305">
        <v>2</v>
      </c>
      <c r="H305">
        <v>4</v>
      </c>
      <c r="I305" t="s">
        <v>24</v>
      </c>
      <c r="J305">
        <v>6929</v>
      </c>
      <c r="K305">
        <v>4</v>
      </c>
      <c r="L305">
        <v>2</v>
      </c>
      <c r="M305">
        <v>8</v>
      </c>
      <c r="N305" t="s">
        <v>25</v>
      </c>
      <c r="O305" t="s">
        <v>21</v>
      </c>
      <c r="P305">
        <v>81668095</v>
      </c>
    </row>
    <row r="306" spans="1:16" ht="14.25" x14ac:dyDescent="0.2">
      <c r="A306">
        <v>39</v>
      </c>
      <c r="B306" t="s">
        <v>22</v>
      </c>
      <c r="C306" t="s">
        <v>23</v>
      </c>
      <c r="D306">
        <v>1</v>
      </c>
      <c r="E306">
        <v>3</v>
      </c>
      <c r="F306" t="s">
        <v>29</v>
      </c>
      <c r="G306">
        <v>3</v>
      </c>
      <c r="H306">
        <v>4</v>
      </c>
      <c r="I306" t="s">
        <v>30</v>
      </c>
      <c r="J306">
        <v>9613</v>
      </c>
      <c r="K306">
        <v>0</v>
      </c>
      <c r="L306">
        <v>2</v>
      </c>
      <c r="M306">
        <v>18</v>
      </c>
      <c r="N306" t="s">
        <v>25</v>
      </c>
      <c r="O306" t="s">
        <v>32</v>
      </c>
      <c r="P306">
        <v>11668425</v>
      </c>
    </row>
    <row r="307" spans="1:16" ht="14.25" x14ac:dyDescent="0.2">
      <c r="A307">
        <v>36</v>
      </c>
      <c r="B307" t="s">
        <v>22</v>
      </c>
      <c r="C307" t="s">
        <v>23</v>
      </c>
      <c r="D307">
        <v>24</v>
      </c>
      <c r="E307">
        <v>4</v>
      </c>
      <c r="F307" t="s">
        <v>18</v>
      </c>
      <c r="G307">
        <v>2</v>
      </c>
      <c r="H307">
        <v>2</v>
      </c>
      <c r="I307" t="s">
        <v>24</v>
      </c>
      <c r="J307">
        <v>5674</v>
      </c>
      <c r="K307">
        <v>7</v>
      </c>
      <c r="L307">
        <v>3</v>
      </c>
      <c r="M307">
        <v>9</v>
      </c>
      <c r="N307" t="s">
        <v>20</v>
      </c>
      <c r="O307" t="s">
        <v>28</v>
      </c>
      <c r="P307">
        <v>66613082</v>
      </c>
    </row>
    <row r="308" spans="1:16" ht="14.25" x14ac:dyDescent="0.2">
      <c r="A308">
        <v>32</v>
      </c>
      <c r="B308" t="s">
        <v>22</v>
      </c>
      <c r="C308" t="s">
        <v>17</v>
      </c>
      <c r="D308">
        <v>7</v>
      </c>
      <c r="E308">
        <v>3</v>
      </c>
      <c r="F308" t="s">
        <v>18</v>
      </c>
      <c r="G308">
        <v>4</v>
      </c>
      <c r="H308">
        <v>3</v>
      </c>
      <c r="I308" t="s">
        <v>24</v>
      </c>
      <c r="J308">
        <v>5484</v>
      </c>
      <c r="K308">
        <v>1</v>
      </c>
      <c r="L308">
        <v>2</v>
      </c>
      <c r="M308">
        <v>13</v>
      </c>
      <c r="N308" t="s">
        <v>25</v>
      </c>
      <c r="O308" t="s">
        <v>21</v>
      </c>
      <c r="P308">
        <v>64433926</v>
      </c>
    </row>
    <row r="309" spans="1:16" ht="14.25" x14ac:dyDescent="0.2">
      <c r="A309">
        <v>38</v>
      </c>
      <c r="B309" t="s">
        <v>22</v>
      </c>
      <c r="C309" t="s">
        <v>23</v>
      </c>
      <c r="D309">
        <v>25</v>
      </c>
      <c r="E309">
        <v>2</v>
      </c>
      <c r="F309" t="s">
        <v>18</v>
      </c>
      <c r="G309">
        <v>1</v>
      </c>
      <c r="H309">
        <v>2</v>
      </c>
      <c r="I309" t="s">
        <v>24</v>
      </c>
      <c r="J309">
        <v>12061</v>
      </c>
      <c r="K309">
        <v>3</v>
      </c>
      <c r="L309">
        <v>3</v>
      </c>
      <c r="M309">
        <v>10</v>
      </c>
      <c r="N309" t="s">
        <v>20</v>
      </c>
      <c r="O309" t="s">
        <v>35</v>
      </c>
      <c r="P309">
        <v>68689296</v>
      </c>
    </row>
    <row r="310" spans="1:16" ht="14.25" x14ac:dyDescent="0.2">
      <c r="A310">
        <v>58</v>
      </c>
      <c r="B310" t="s">
        <v>22</v>
      </c>
      <c r="C310" t="s">
        <v>23</v>
      </c>
      <c r="D310">
        <v>1</v>
      </c>
      <c r="E310">
        <v>4</v>
      </c>
      <c r="F310" t="s">
        <v>18</v>
      </c>
      <c r="G310">
        <v>4</v>
      </c>
      <c r="H310">
        <v>3</v>
      </c>
      <c r="I310" t="s">
        <v>30</v>
      </c>
      <c r="J310">
        <v>5660</v>
      </c>
      <c r="K310">
        <v>2</v>
      </c>
      <c r="L310">
        <v>3</v>
      </c>
      <c r="M310">
        <v>5</v>
      </c>
      <c r="N310" t="s">
        <v>25</v>
      </c>
      <c r="O310" t="s">
        <v>32</v>
      </c>
      <c r="P310">
        <v>80116339</v>
      </c>
    </row>
    <row r="311" spans="1:16" ht="14.25" x14ac:dyDescent="0.2">
      <c r="A311">
        <v>31</v>
      </c>
      <c r="B311" t="s">
        <v>22</v>
      </c>
      <c r="C311" t="s">
        <v>23</v>
      </c>
      <c r="D311">
        <v>5</v>
      </c>
      <c r="E311">
        <v>4</v>
      </c>
      <c r="F311" t="s">
        <v>37</v>
      </c>
      <c r="G311">
        <v>3</v>
      </c>
      <c r="H311">
        <v>4</v>
      </c>
      <c r="I311" t="s">
        <v>24</v>
      </c>
      <c r="J311">
        <v>4821</v>
      </c>
      <c r="K311">
        <v>0</v>
      </c>
      <c r="L311">
        <v>3</v>
      </c>
      <c r="M311">
        <v>5</v>
      </c>
      <c r="N311" t="s">
        <v>25</v>
      </c>
      <c r="O311" t="s">
        <v>26</v>
      </c>
      <c r="P311">
        <v>76955127</v>
      </c>
    </row>
    <row r="312" spans="1:16" ht="14.25" x14ac:dyDescent="0.2">
      <c r="A312">
        <v>31</v>
      </c>
      <c r="B312" t="s">
        <v>22</v>
      </c>
      <c r="C312" t="s">
        <v>38</v>
      </c>
      <c r="D312">
        <v>2</v>
      </c>
      <c r="E312">
        <v>3</v>
      </c>
      <c r="F312" t="s">
        <v>38</v>
      </c>
      <c r="G312">
        <v>1</v>
      </c>
      <c r="H312">
        <v>1</v>
      </c>
      <c r="I312" t="s">
        <v>24</v>
      </c>
      <c r="J312">
        <v>6410</v>
      </c>
      <c r="K312">
        <v>3</v>
      </c>
      <c r="L312">
        <v>3</v>
      </c>
      <c r="M312">
        <v>2</v>
      </c>
      <c r="N312" t="s">
        <v>25</v>
      </c>
      <c r="O312" t="s">
        <v>38</v>
      </c>
      <c r="P312">
        <v>52865979</v>
      </c>
    </row>
    <row r="313" spans="1:16" ht="14.25" x14ac:dyDescent="0.2">
      <c r="A313">
        <v>45</v>
      </c>
      <c r="B313" t="s">
        <v>22</v>
      </c>
      <c r="C313" t="s">
        <v>23</v>
      </c>
      <c r="D313">
        <v>7</v>
      </c>
      <c r="E313">
        <v>3</v>
      </c>
      <c r="F313" t="s">
        <v>18</v>
      </c>
      <c r="G313">
        <v>1</v>
      </c>
      <c r="H313">
        <v>1</v>
      </c>
      <c r="I313" t="s">
        <v>30</v>
      </c>
      <c r="J313">
        <v>5210</v>
      </c>
      <c r="K313">
        <v>1</v>
      </c>
      <c r="L313">
        <v>3</v>
      </c>
      <c r="M313">
        <v>24</v>
      </c>
      <c r="N313" t="s">
        <v>25</v>
      </c>
      <c r="O313" t="s">
        <v>28</v>
      </c>
      <c r="P313">
        <v>18352737</v>
      </c>
    </row>
    <row r="314" spans="1:16" ht="14.25" x14ac:dyDescent="0.2">
      <c r="A314">
        <v>31</v>
      </c>
      <c r="B314" t="s">
        <v>22</v>
      </c>
      <c r="C314" t="s">
        <v>23</v>
      </c>
      <c r="D314">
        <v>2</v>
      </c>
      <c r="E314">
        <v>4</v>
      </c>
      <c r="F314" t="s">
        <v>18</v>
      </c>
      <c r="G314">
        <v>3</v>
      </c>
      <c r="H314">
        <v>4</v>
      </c>
      <c r="I314" t="s">
        <v>30</v>
      </c>
      <c r="J314">
        <v>2695</v>
      </c>
      <c r="K314">
        <v>0</v>
      </c>
      <c r="L314">
        <v>1</v>
      </c>
      <c r="M314">
        <v>2</v>
      </c>
      <c r="N314" t="s">
        <v>25</v>
      </c>
      <c r="O314" t="s">
        <v>26</v>
      </c>
      <c r="P314">
        <v>30620555</v>
      </c>
    </row>
    <row r="315" spans="1:16" ht="14.25" x14ac:dyDescent="0.2">
      <c r="A315">
        <v>33</v>
      </c>
      <c r="B315" t="s">
        <v>22</v>
      </c>
      <c r="C315" t="s">
        <v>23</v>
      </c>
      <c r="D315">
        <v>5</v>
      </c>
      <c r="E315">
        <v>4</v>
      </c>
      <c r="F315" t="s">
        <v>18</v>
      </c>
      <c r="G315">
        <v>4</v>
      </c>
      <c r="H315">
        <v>2</v>
      </c>
      <c r="I315" t="s">
        <v>24</v>
      </c>
      <c r="J315">
        <v>11878</v>
      </c>
      <c r="K315">
        <v>6</v>
      </c>
      <c r="L315">
        <v>3</v>
      </c>
      <c r="M315">
        <v>10</v>
      </c>
      <c r="N315" t="s">
        <v>20</v>
      </c>
      <c r="O315" t="s">
        <v>33</v>
      </c>
      <c r="P315">
        <v>44149248</v>
      </c>
    </row>
    <row r="316" spans="1:16" ht="14.25" x14ac:dyDescent="0.2">
      <c r="A316">
        <v>39</v>
      </c>
      <c r="B316" t="s">
        <v>22</v>
      </c>
      <c r="C316" t="s">
        <v>23</v>
      </c>
      <c r="D316">
        <v>10</v>
      </c>
      <c r="E316">
        <v>1</v>
      </c>
      <c r="F316" t="s">
        <v>29</v>
      </c>
      <c r="G316">
        <v>3</v>
      </c>
      <c r="H316">
        <v>1</v>
      </c>
      <c r="I316" t="s">
        <v>24</v>
      </c>
      <c r="J316">
        <v>17068</v>
      </c>
      <c r="K316">
        <v>1</v>
      </c>
      <c r="L316">
        <v>3</v>
      </c>
      <c r="M316">
        <v>21</v>
      </c>
      <c r="N316" t="s">
        <v>25</v>
      </c>
      <c r="O316" t="s">
        <v>33</v>
      </c>
      <c r="P316">
        <v>73252720</v>
      </c>
    </row>
    <row r="317" spans="1:16" ht="14.25" x14ac:dyDescent="0.2">
      <c r="A317">
        <v>43</v>
      </c>
      <c r="B317" t="s">
        <v>22</v>
      </c>
      <c r="C317" t="s">
        <v>23</v>
      </c>
      <c r="D317">
        <v>10</v>
      </c>
      <c r="E317">
        <v>4</v>
      </c>
      <c r="F317" t="s">
        <v>18</v>
      </c>
      <c r="G317">
        <v>3</v>
      </c>
      <c r="H317">
        <v>4</v>
      </c>
      <c r="I317" t="s">
        <v>19</v>
      </c>
      <c r="J317">
        <v>2455</v>
      </c>
      <c r="K317">
        <v>0</v>
      </c>
      <c r="L317">
        <v>3</v>
      </c>
      <c r="M317">
        <v>8</v>
      </c>
      <c r="N317" t="s">
        <v>20</v>
      </c>
      <c r="O317" t="s">
        <v>28</v>
      </c>
      <c r="P317">
        <v>75947845</v>
      </c>
    </row>
    <row r="318" spans="1:16" ht="14.25" x14ac:dyDescent="0.2">
      <c r="A318">
        <v>49</v>
      </c>
      <c r="B318" t="s">
        <v>22</v>
      </c>
      <c r="C318" t="s">
        <v>23</v>
      </c>
      <c r="D318">
        <v>1</v>
      </c>
      <c r="E318">
        <v>2</v>
      </c>
      <c r="F318" t="s">
        <v>37</v>
      </c>
      <c r="G318">
        <v>3</v>
      </c>
      <c r="H318">
        <v>3</v>
      </c>
      <c r="I318" t="s">
        <v>19</v>
      </c>
      <c r="J318">
        <v>13964</v>
      </c>
      <c r="K318">
        <v>7</v>
      </c>
      <c r="L318">
        <v>3</v>
      </c>
      <c r="M318">
        <v>7</v>
      </c>
      <c r="N318" t="s">
        <v>20</v>
      </c>
      <c r="O318" t="s">
        <v>32</v>
      </c>
      <c r="P318">
        <v>81455793</v>
      </c>
    </row>
    <row r="319" spans="1:16" ht="14.25" x14ac:dyDescent="0.2">
      <c r="A319">
        <v>52</v>
      </c>
      <c r="B319" t="s">
        <v>16</v>
      </c>
      <c r="C319" t="s">
        <v>23</v>
      </c>
      <c r="D319">
        <v>8</v>
      </c>
      <c r="E319">
        <v>4</v>
      </c>
      <c r="F319" t="s">
        <v>29</v>
      </c>
      <c r="G319">
        <v>3</v>
      </c>
      <c r="H319">
        <v>2</v>
      </c>
      <c r="I319" t="s">
        <v>24</v>
      </c>
      <c r="J319">
        <v>4941</v>
      </c>
      <c r="K319">
        <v>2</v>
      </c>
      <c r="L319">
        <v>2</v>
      </c>
      <c r="M319">
        <v>8</v>
      </c>
      <c r="N319" t="s">
        <v>25</v>
      </c>
      <c r="O319" t="s">
        <v>26</v>
      </c>
      <c r="P319">
        <v>13137839</v>
      </c>
    </row>
    <row r="320" spans="1:16" ht="14.25" x14ac:dyDescent="0.2">
      <c r="A320">
        <v>27</v>
      </c>
      <c r="B320" t="s">
        <v>22</v>
      </c>
      <c r="C320" t="s">
        <v>23</v>
      </c>
      <c r="D320">
        <v>5</v>
      </c>
      <c r="E320">
        <v>3</v>
      </c>
      <c r="F320" t="s">
        <v>18</v>
      </c>
      <c r="G320">
        <v>3</v>
      </c>
      <c r="H320">
        <v>2</v>
      </c>
      <c r="I320" t="s">
        <v>19</v>
      </c>
      <c r="J320">
        <v>2478</v>
      </c>
      <c r="K320">
        <v>1</v>
      </c>
      <c r="L320">
        <v>2</v>
      </c>
      <c r="M320">
        <v>4</v>
      </c>
      <c r="N320" t="s">
        <v>20</v>
      </c>
      <c r="O320" t="s">
        <v>26</v>
      </c>
      <c r="P320">
        <v>85420101</v>
      </c>
    </row>
    <row r="321" spans="1:16" ht="14.25" x14ac:dyDescent="0.2">
      <c r="A321">
        <v>32</v>
      </c>
      <c r="B321" t="s">
        <v>22</v>
      </c>
      <c r="C321" t="s">
        <v>17</v>
      </c>
      <c r="D321">
        <v>8</v>
      </c>
      <c r="E321">
        <v>2</v>
      </c>
      <c r="F321" t="s">
        <v>37</v>
      </c>
      <c r="G321">
        <v>3</v>
      </c>
      <c r="H321">
        <v>2</v>
      </c>
      <c r="I321" t="s">
        <v>24</v>
      </c>
      <c r="J321">
        <v>5228</v>
      </c>
      <c r="K321">
        <v>1</v>
      </c>
      <c r="L321">
        <v>3</v>
      </c>
      <c r="M321">
        <v>13</v>
      </c>
      <c r="N321" t="s">
        <v>20</v>
      </c>
      <c r="O321" t="s">
        <v>21</v>
      </c>
      <c r="P321">
        <v>22291417</v>
      </c>
    </row>
    <row r="322" spans="1:16" ht="14.25" x14ac:dyDescent="0.2">
      <c r="A322">
        <v>27</v>
      </c>
      <c r="B322" t="s">
        <v>22</v>
      </c>
      <c r="C322" t="s">
        <v>17</v>
      </c>
      <c r="D322">
        <v>2</v>
      </c>
      <c r="E322">
        <v>3</v>
      </c>
      <c r="F322" t="s">
        <v>18</v>
      </c>
      <c r="G322">
        <v>4</v>
      </c>
      <c r="H322">
        <v>3</v>
      </c>
      <c r="I322" t="s">
        <v>19</v>
      </c>
      <c r="J322">
        <v>4478</v>
      </c>
      <c r="K322">
        <v>1</v>
      </c>
      <c r="L322">
        <v>3</v>
      </c>
      <c r="M322">
        <v>5</v>
      </c>
      <c r="N322" t="s">
        <v>25</v>
      </c>
      <c r="O322" t="s">
        <v>21</v>
      </c>
      <c r="P322">
        <v>13167347</v>
      </c>
    </row>
    <row r="323" spans="1:16" ht="14.25" x14ac:dyDescent="0.2">
      <c r="A323">
        <v>31</v>
      </c>
      <c r="B323" t="s">
        <v>22</v>
      </c>
      <c r="C323" t="s">
        <v>17</v>
      </c>
      <c r="D323">
        <v>7</v>
      </c>
      <c r="E323">
        <v>3</v>
      </c>
      <c r="F323" t="s">
        <v>36</v>
      </c>
      <c r="G323">
        <v>4</v>
      </c>
      <c r="H323">
        <v>4</v>
      </c>
      <c r="I323" t="s">
        <v>30</v>
      </c>
      <c r="J323">
        <v>7547</v>
      </c>
      <c r="K323">
        <v>4</v>
      </c>
      <c r="L323">
        <v>3</v>
      </c>
      <c r="M323">
        <v>7</v>
      </c>
      <c r="N323" t="s">
        <v>25</v>
      </c>
      <c r="O323" t="s">
        <v>21</v>
      </c>
      <c r="P323">
        <v>62042137</v>
      </c>
    </row>
    <row r="324" spans="1:16" ht="14.25" x14ac:dyDescent="0.2">
      <c r="A324">
        <v>32</v>
      </c>
      <c r="B324" t="s">
        <v>22</v>
      </c>
      <c r="C324" t="s">
        <v>23</v>
      </c>
      <c r="D324">
        <v>2</v>
      </c>
      <c r="E324">
        <v>4</v>
      </c>
      <c r="F324" t="s">
        <v>29</v>
      </c>
      <c r="G324">
        <v>1</v>
      </c>
      <c r="H324">
        <v>4</v>
      </c>
      <c r="I324" t="s">
        <v>19</v>
      </c>
      <c r="J324">
        <v>5055</v>
      </c>
      <c r="K324">
        <v>7</v>
      </c>
      <c r="L324">
        <v>2</v>
      </c>
      <c r="M324">
        <v>7</v>
      </c>
      <c r="N324" t="s">
        <v>20</v>
      </c>
      <c r="O324" t="s">
        <v>26</v>
      </c>
      <c r="P324">
        <v>30056288</v>
      </c>
    </row>
    <row r="325" spans="1:16" ht="14.25" x14ac:dyDescent="0.2">
      <c r="A325">
        <v>28</v>
      </c>
      <c r="B325" t="s">
        <v>16</v>
      </c>
      <c r="C325" t="s">
        <v>23</v>
      </c>
      <c r="D325">
        <v>2</v>
      </c>
      <c r="E325">
        <v>4</v>
      </c>
      <c r="F325" t="s">
        <v>29</v>
      </c>
      <c r="G325">
        <v>1</v>
      </c>
      <c r="H325">
        <v>4</v>
      </c>
      <c r="I325" t="s">
        <v>24</v>
      </c>
      <c r="J325">
        <v>3464</v>
      </c>
      <c r="K325">
        <v>5</v>
      </c>
      <c r="L325">
        <v>2</v>
      </c>
      <c r="M325">
        <v>3</v>
      </c>
      <c r="N325" t="s">
        <v>25</v>
      </c>
      <c r="O325" t="s">
        <v>26</v>
      </c>
      <c r="P325">
        <v>63530197</v>
      </c>
    </row>
    <row r="326" spans="1:16" ht="14.25" x14ac:dyDescent="0.2">
      <c r="A326">
        <v>30</v>
      </c>
      <c r="B326" t="s">
        <v>22</v>
      </c>
      <c r="C326" t="s">
        <v>23</v>
      </c>
      <c r="D326">
        <v>28</v>
      </c>
      <c r="E326">
        <v>2</v>
      </c>
      <c r="F326" t="s">
        <v>29</v>
      </c>
      <c r="G326">
        <v>4</v>
      </c>
      <c r="H326">
        <v>4</v>
      </c>
      <c r="I326" t="s">
        <v>24</v>
      </c>
      <c r="J326">
        <v>5775</v>
      </c>
      <c r="K326">
        <v>1</v>
      </c>
      <c r="L326">
        <v>3</v>
      </c>
      <c r="M326">
        <v>10</v>
      </c>
      <c r="N326" t="s">
        <v>20</v>
      </c>
      <c r="O326" t="s">
        <v>26</v>
      </c>
      <c r="P326">
        <v>17398393</v>
      </c>
    </row>
    <row r="327" spans="1:16" ht="14.25" x14ac:dyDescent="0.2">
      <c r="A327">
        <v>31</v>
      </c>
      <c r="B327" t="s">
        <v>22</v>
      </c>
      <c r="C327" t="s">
        <v>23</v>
      </c>
      <c r="D327">
        <v>7</v>
      </c>
      <c r="E327">
        <v>2</v>
      </c>
      <c r="F327" t="s">
        <v>18</v>
      </c>
      <c r="G327">
        <v>3</v>
      </c>
      <c r="H327">
        <v>3</v>
      </c>
      <c r="I327" t="s">
        <v>24</v>
      </c>
      <c r="J327">
        <v>8943</v>
      </c>
      <c r="K327">
        <v>1</v>
      </c>
      <c r="L327">
        <v>3</v>
      </c>
      <c r="M327">
        <v>10</v>
      </c>
      <c r="N327" t="s">
        <v>20</v>
      </c>
      <c r="O327" t="s">
        <v>31</v>
      </c>
      <c r="P327">
        <v>43352109</v>
      </c>
    </row>
    <row r="328" spans="1:16" ht="14.25" x14ac:dyDescent="0.2">
      <c r="A328">
        <v>39</v>
      </c>
      <c r="B328" t="s">
        <v>22</v>
      </c>
      <c r="C328" t="s">
        <v>23</v>
      </c>
      <c r="D328">
        <v>7</v>
      </c>
      <c r="E328">
        <v>2</v>
      </c>
      <c r="F328" t="s">
        <v>29</v>
      </c>
      <c r="G328">
        <v>3</v>
      </c>
      <c r="H328">
        <v>4</v>
      </c>
      <c r="I328" t="s">
        <v>24</v>
      </c>
      <c r="J328">
        <v>19272</v>
      </c>
      <c r="K328">
        <v>1</v>
      </c>
      <c r="L328">
        <v>3</v>
      </c>
      <c r="M328">
        <v>21</v>
      </c>
      <c r="N328" t="s">
        <v>25</v>
      </c>
      <c r="O328" t="s">
        <v>33</v>
      </c>
      <c r="P328">
        <v>84788010</v>
      </c>
    </row>
    <row r="329" spans="1:16" ht="14.25" x14ac:dyDescent="0.2">
      <c r="A329">
        <v>39</v>
      </c>
      <c r="B329" t="s">
        <v>16</v>
      </c>
      <c r="C329" t="s">
        <v>17</v>
      </c>
      <c r="D329">
        <v>3</v>
      </c>
      <c r="E329">
        <v>2</v>
      </c>
      <c r="F329" t="s">
        <v>29</v>
      </c>
      <c r="G329">
        <v>4</v>
      </c>
      <c r="H329">
        <v>3</v>
      </c>
      <c r="I329" t="s">
        <v>24</v>
      </c>
      <c r="J329">
        <v>5238</v>
      </c>
      <c r="K329">
        <v>4</v>
      </c>
      <c r="L329">
        <v>2</v>
      </c>
      <c r="M329">
        <v>1</v>
      </c>
      <c r="N329" t="s">
        <v>20</v>
      </c>
      <c r="O329" t="s">
        <v>21</v>
      </c>
      <c r="P329">
        <v>53826437</v>
      </c>
    </row>
    <row r="330" spans="1:16" ht="14.25" x14ac:dyDescent="0.2">
      <c r="A330">
        <v>33</v>
      </c>
      <c r="B330" t="s">
        <v>22</v>
      </c>
      <c r="C330" t="s">
        <v>17</v>
      </c>
      <c r="D330">
        <v>10</v>
      </c>
      <c r="E330">
        <v>3</v>
      </c>
      <c r="F330" t="s">
        <v>36</v>
      </c>
      <c r="G330">
        <v>2</v>
      </c>
      <c r="H330">
        <v>4</v>
      </c>
      <c r="I330" t="s">
        <v>19</v>
      </c>
      <c r="J330">
        <v>4682</v>
      </c>
      <c r="K330">
        <v>3</v>
      </c>
      <c r="L330">
        <v>2</v>
      </c>
      <c r="M330">
        <v>7</v>
      </c>
      <c r="N330" t="s">
        <v>25</v>
      </c>
      <c r="O330" t="s">
        <v>21</v>
      </c>
      <c r="P330">
        <v>75627113</v>
      </c>
    </row>
    <row r="331" spans="1:16" ht="14.25" x14ac:dyDescent="0.2">
      <c r="A331">
        <v>47</v>
      </c>
      <c r="B331" t="s">
        <v>22</v>
      </c>
      <c r="C331" t="s">
        <v>23</v>
      </c>
      <c r="D331">
        <v>5</v>
      </c>
      <c r="E331">
        <v>5</v>
      </c>
      <c r="F331" t="s">
        <v>18</v>
      </c>
      <c r="G331">
        <v>4</v>
      </c>
      <c r="H331">
        <v>3</v>
      </c>
      <c r="I331" t="s">
        <v>24</v>
      </c>
      <c r="J331">
        <v>18300</v>
      </c>
      <c r="K331">
        <v>4</v>
      </c>
      <c r="L331">
        <v>3</v>
      </c>
      <c r="M331">
        <v>3</v>
      </c>
      <c r="N331" t="s">
        <v>25</v>
      </c>
      <c r="O331" t="s">
        <v>35</v>
      </c>
      <c r="P331">
        <v>51026969</v>
      </c>
    </row>
    <row r="332" spans="1:16" ht="14.25" x14ac:dyDescent="0.2">
      <c r="A332">
        <v>43</v>
      </c>
      <c r="B332" t="s">
        <v>22</v>
      </c>
      <c r="C332" t="s">
        <v>23</v>
      </c>
      <c r="D332">
        <v>10</v>
      </c>
      <c r="E332">
        <v>4</v>
      </c>
      <c r="F332" t="s">
        <v>18</v>
      </c>
      <c r="G332">
        <v>3</v>
      </c>
      <c r="H332">
        <v>3</v>
      </c>
      <c r="I332" t="s">
        <v>30</v>
      </c>
      <c r="J332">
        <v>5257</v>
      </c>
      <c r="K332">
        <v>1</v>
      </c>
      <c r="L332">
        <v>4</v>
      </c>
      <c r="M332">
        <v>9</v>
      </c>
      <c r="N332" t="s">
        <v>20</v>
      </c>
      <c r="O332" t="s">
        <v>28</v>
      </c>
      <c r="P332">
        <v>17429481</v>
      </c>
    </row>
    <row r="333" spans="1:16" ht="14.25" x14ac:dyDescent="0.2">
      <c r="A333">
        <v>27</v>
      </c>
      <c r="B333" t="s">
        <v>22</v>
      </c>
      <c r="C333" t="s">
        <v>17</v>
      </c>
      <c r="D333">
        <v>1</v>
      </c>
      <c r="E333">
        <v>1</v>
      </c>
      <c r="F333" t="s">
        <v>36</v>
      </c>
      <c r="G333">
        <v>3</v>
      </c>
      <c r="H333">
        <v>2</v>
      </c>
      <c r="I333" t="s">
        <v>24</v>
      </c>
      <c r="J333">
        <v>6349</v>
      </c>
      <c r="K333">
        <v>0</v>
      </c>
      <c r="L333">
        <v>3</v>
      </c>
      <c r="M333">
        <v>5</v>
      </c>
      <c r="N333" t="s">
        <v>25</v>
      </c>
      <c r="O333" t="s">
        <v>21</v>
      </c>
      <c r="P333">
        <v>48130075</v>
      </c>
    </row>
    <row r="334" spans="1:16" ht="14.25" x14ac:dyDescent="0.2">
      <c r="A334">
        <v>54</v>
      </c>
      <c r="B334" t="s">
        <v>22</v>
      </c>
      <c r="C334" t="s">
        <v>23</v>
      </c>
      <c r="D334">
        <v>20</v>
      </c>
      <c r="E334">
        <v>4</v>
      </c>
      <c r="F334" t="s">
        <v>18</v>
      </c>
      <c r="G334">
        <v>4</v>
      </c>
      <c r="H334">
        <v>3</v>
      </c>
      <c r="I334" t="s">
        <v>19</v>
      </c>
      <c r="J334">
        <v>4869</v>
      </c>
      <c r="K334">
        <v>3</v>
      </c>
      <c r="L334">
        <v>2</v>
      </c>
      <c r="M334">
        <v>4</v>
      </c>
      <c r="N334" t="s">
        <v>20</v>
      </c>
      <c r="O334" t="s">
        <v>26</v>
      </c>
      <c r="P334">
        <v>21217161</v>
      </c>
    </row>
    <row r="335" spans="1:16" ht="14.25" x14ac:dyDescent="0.2">
      <c r="A335">
        <v>43</v>
      </c>
      <c r="B335" t="s">
        <v>22</v>
      </c>
      <c r="C335" t="s">
        <v>23</v>
      </c>
      <c r="D335">
        <v>7</v>
      </c>
      <c r="E335">
        <v>3</v>
      </c>
      <c r="F335" t="s">
        <v>18</v>
      </c>
      <c r="G335">
        <v>3</v>
      </c>
      <c r="H335">
        <v>1</v>
      </c>
      <c r="I335" t="s">
        <v>24</v>
      </c>
      <c r="J335">
        <v>9985</v>
      </c>
      <c r="K335">
        <v>8</v>
      </c>
      <c r="L335">
        <v>2</v>
      </c>
      <c r="M335">
        <v>1</v>
      </c>
      <c r="N335" t="s">
        <v>20</v>
      </c>
      <c r="O335" t="s">
        <v>32</v>
      </c>
      <c r="P335">
        <v>67695878</v>
      </c>
    </row>
    <row r="336" spans="1:16" ht="14.25" x14ac:dyDescent="0.2">
      <c r="A336">
        <v>45</v>
      </c>
      <c r="B336" t="s">
        <v>22</v>
      </c>
      <c r="C336" t="s">
        <v>23</v>
      </c>
      <c r="D336">
        <v>8</v>
      </c>
      <c r="E336">
        <v>4</v>
      </c>
      <c r="F336" t="s">
        <v>27</v>
      </c>
      <c r="G336">
        <v>4</v>
      </c>
      <c r="H336">
        <v>4</v>
      </c>
      <c r="I336" t="s">
        <v>24</v>
      </c>
      <c r="J336">
        <v>3697</v>
      </c>
      <c r="K336">
        <v>9</v>
      </c>
      <c r="L336">
        <v>3</v>
      </c>
      <c r="M336">
        <v>10</v>
      </c>
      <c r="N336" t="s">
        <v>25</v>
      </c>
      <c r="O336" t="s">
        <v>26</v>
      </c>
      <c r="P336">
        <v>72473898</v>
      </c>
    </row>
    <row r="337" spans="1:16" ht="14.25" x14ac:dyDescent="0.2">
      <c r="A337">
        <v>40</v>
      </c>
      <c r="B337" t="s">
        <v>22</v>
      </c>
      <c r="C337" t="s">
        <v>17</v>
      </c>
      <c r="D337">
        <v>1</v>
      </c>
      <c r="E337">
        <v>2</v>
      </c>
      <c r="F337" t="s">
        <v>29</v>
      </c>
      <c r="G337">
        <v>2</v>
      </c>
      <c r="H337">
        <v>4</v>
      </c>
      <c r="I337" t="s">
        <v>24</v>
      </c>
      <c r="J337">
        <v>7457</v>
      </c>
      <c r="K337">
        <v>2</v>
      </c>
      <c r="L337">
        <v>2</v>
      </c>
      <c r="M337">
        <v>4</v>
      </c>
      <c r="N337" t="s">
        <v>25</v>
      </c>
      <c r="O337" t="s">
        <v>21</v>
      </c>
      <c r="P337">
        <v>47029204</v>
      </c>
    </row>
    <row r="338" spans="1:16" ht="14.25" x14ac:dyDescent="0.2">
      <c r="A338">
        <v>29</v>
      </c>
      <c r="B338" t="s">
        <v>16</v>
      </c>
      <c r="C338" t="s">
        <v>23</v>
      </c>
      <c r="D338">
        <v>8</v>
      </c>
      <c r="E338">
        <v>4</v>
      </c>
      <c r="F338" t="s">
        <v>27</v>
      </c>
      <c r="G338">
        <v>2</v>
      </c>
      <c r="H338">
        <v>1</v>
      </c>
      <c r="I338" t="s">
        <v>24</v>
      </c>
      <c r="J338">
        <v>2119</v>
      </c>
      <c r="K338">
        <v>1</v>
      </c>
      <c r="L338">
        <v>2</v>
      </c>
      <c r="M338">
        <v>7</v>
      </c>
      <c r="N338" t="s">
        <v>25</v>
      </c>
      <c r="O338" t="s">
        <v>28</v>
      </c>
      <c r="P338">
        <v>16103995</v>
      </c>
    </row>
    <row r="339" spans="1:16" ht="14.25" x14ac:dyDescent="0.2">
      <c r="A339">
        <v>29</v>
      </c>
      <c r="B339" t="s">
        <v>22</v>
      </c>
      <c r="C339" t="s">
        <v>23</v>
      </c>
      <c r="D339">
        <v>9</v>
      </c>
      <c r="E339">
        <v>5</v>
      </c>
      <c r="F339" t="s">
        <v>27</v>
      </c>
      <c r="G339">
        <v>2</v>
      </c>
      <c r="H339">
        <v>4</v>
      </c>
      <c r="I339" t="s">
        <v>19</v>
      </c>
      <c r="J339">
        <v>3983</v>
      </c>
      <c r="K339">
        <v>0</v>
      </c>
      <c r="L339">
        <v>3</v>
      </c>
      <c r="M339">
        <v>3</v>
      </c>
      <c r="N339" t="s">
        <v>25</v>
      </c>
      <c r="O339" t="s">
        <v>28</v>
      </c>
      <c r="P339">
        <v>33599809</v>
      </c>
    </row>
    <row r="340" spans="1:16" ht="14.25" x14ac:dyDescent="0.2">
      <c r="A340">
        <v>30</v>
      </c>
      <c r="B340" t="s">
        <v>22</v>
      </c>
      <c r="C340" t="s">
        <v>17</v>
      </c>
      <c r="D340">
        <v>5</v>
      </c>
      <c r="E340">
        <v>3</v>
      </c>
      <c r="F340" t="s">
        <v>36</v>
      </c>
      <c r="G340">
        <v>4</v>
      </c>
      <c r="H340">
        <v>3</v>
      </c>
      <c r="I340" t="s">
        <v>30</v>
      </c>
      <c r="J340">
        <v>6118</v>
      </c>
      <c r="K340">
        <v>1</v>
      </c>
      <c r="L340">
        <v>3</v>
      </c>
      <c r="M340">
        <v>10</v>
      </c>
      <c r="N340" t="s">
        <v>20</v>
      </c>
      <c r="O340" t="s">
        <v>21</v>
      </c>
      <c r="P340">
        <v>57251946</v>
      </c>
    </row>
    <row r="341" spans="1:16" ht="14.25" x14ac:dyDescent="0.2">
      <c r="A341">
        <v>27</v>
      </c>
      <c r="B341" t="s">
        <v>22</v>
      </c>
      <c r="C341" t="s">
        <v>17</v>
      </c>
      <c r="D341">
        <v>8</v>
      </c>
      <c r="E341">
        <v>4</v>
      </c>
      <c r="F341" t="s">
        <v>36</v>
      </c>
      <c r="G341">
        <v>2</v>
      </c>
      <c r="H341">
        <v>2</v>
      </c>
      <c r="I341" t="s">
        <v>24</v>
      </c>
      <c r="J341">
        <v>6214</v>
      </c>
      <c r="K341">
        <v>1</v>
      </c>
      <c r="L341">
        <v>3</v>
      </c>
      <c r="M341">
        <v>8</v>
      </c>
      <c r="N341" t="s">
        <v>20</v>
      </c>
      <c r="O341" t="s">
        <v>21</v>
      </c>
      <c r="P341">
        <v>68433145</v>
      </c>
    </row>
    <row r="342" spans="1:16" ht="14.25" x14ac:dyDescent="0.2">
      <c r="A342">
        <v>37</v>
      </c>
      <c r="B342" t="s">
        <v>22</v>
      </c>
      <c r="C342" t="s">
        <v>23</v>
      </c>
      <c r="D342">
        <v>5</v>
      </c>
      <c r="E342">
        <v>2</v>
      </c>
      <c r="F342" t="s">
        <v>29</v>
      </c>
      <c r="G342">
        <v>4</v>
      </c>
      <c r="H342">
        <v>4</v>
      </c>
      <c r="I342" t="s">
        <v>30</v>
      </c>
      <c r="J342">
        <v>6347</v>
      </c>
      <c r="K342">
        <v>7</v>
      </c>
      <c r="L342">
        <v>2</v>
      </c>
      <c r="M342">
        <v>6</v>
      </c>
      <c r="N342" t="s">
        <v>25</v>
      </c>
      <c r="O342" t="s">
        <v>31</v>
      </c>
      <c r="P342">
        <v>82659988</v>
      </c>
    </row>
    <row r="343" spans="1:16" ht="14.25" x14ac:dyDescent="0.2">
      <c r="A343">
        <v>38</v>
      </c>
      <c r="B343" t="s">
        <v>22</v>
      </c>
      <c r="C343" t="s">
        <v>23</v>
      </c>
      <c r="D343">
        <v>15</v>
      </c>
      <c r="E343">
        <v>2</v>
      </c>
      <c r="F343" t="s">
        <v>18</v>
      </c>
      <c r="G343">
        <v>3</v>
      </c>
      <c r="H343">
        <v>4</v>
      </c>
      <c r="I343" t="s">
        <v>30</v>
      </c>
      <c r="J343">
        <v>11510</v>
      </c>
      <c r="K343">
        <v>0</v>
      </c>
      <c r="L343">
        <v>3</v>
      </c>
      <c r="M343">
        <v>11</v>
      </c>
      <c r="N343" t="s">
        <v>25</v>
      </c>
      <c r="O343" t="s">
        <v>35</v>
      </c>
      <c r="P343">
        <v>20205498</v>
      </c>
    </row>
    <row r="344" spans="1:16" ht="14.25" x14ac:dyDescent="0.2">
      <c r="A344">
        <v>31</v>
      </c>
      <c r="B344" t="s">
        <v>22</v>
      </c>
      <c r="C344" t="s">
        <v>23</v>
      </c>
      <c r="D344">
        <v>7</v>
      </c>
      <c r="E344">
        <v>4</v>
      </c>
      <c r="F344" t="s">
        <v>29</v>
      </c>
      <c r="G344">
        <v>3</v>
      </c>
      <c r="H344">
        <v>4</v>
      </c>
      <c r="I344" t="s">
        <v>19</v>
      </c>
      <c r="J344">
        <v>7143</v>
      </c>
      <c r="K344">
        <v>1</v>
      </c>
      <c r="L344">
        <v>2</v>
      </c>
      <c r="M344">
        <v>11</v>
      </c>
      <c r="N344" t="s">
        <v>20</v>
      </c>
      <c r="O344" t="s">
        <v>31</v>
      </c>
      <c r="P344">
        <v>32709739</v>
      </c>
    </row>
    <row r="345" spans="1:16" ht="14.25" x14ac:dyDescent="0.2">
      <c r="A345">
        <v>29</v>
      </c>
      <c r="B345" t="s">
        <v>22</v>
      </c>
      <c r="C345" t="s">
        <v>17</v>
      </c>
      <c r="D345">
        <v>10</v>
      </c>
      <c r="E345">
        <v>1</v>
      </c>
      <c r="F345" t="s">
        <v>36</v>
      </c>
      <c r="G345">
        <v>4</v>
      </c>
      <c r="H345">
        <v>2</v>
      </c>
      <c r="I345" t="s">
        <v>30</v>
      </c>
      <c r="J345">
        <v>8268</v>
      </c>
      <c r="K345">
        <v>1</v>
      </c>
      <c r="L345">
        <v>3</v>
      </c>
      <c r="M345">
        <v>7</v>
      </c>
      <c r="N345" t="s">
        <v>20</v>
      </c>
      <c r="O345" t="s">
        <v>21</v>
      </c>
      <c r="P345">
        <v>87998554</v>
      </c>
    </row>
    <row r="346" spans="1:16" ht="14.25" x14ac:dyDescent="0.2">
      <c r="A346">
        <v>35</v>
      </c>
      <c r="B346" t="s">
        <v>22</v>
      </c>
      <c r="C346" t="s">
        <v>23</v>
      </c>
      <c r="D346">
        <v>5</v>
      </c>
      <c r="E346">
        <v>4</v>
      </c>
      <c r="F346" t="s">
        <v>37</v>
      </c>
      <c r="G346">
        <v>3</v>
      </c>
      <c r="H346">
        <v>2</v>
      </c>
      <c r="I346" t="s">
        <v>19</v>
      </c>
      <c r="J346">
        <v>8095</v>
      </c>
      <c r="K346">
        <v>0</v>
      </c>
      <c r="L346">
        <v>3</v>
      </c>
      <c r="M346">
        <v>16</v>
      </c>
      <c r="N346" t="s">
        <v>25</v>
      </c>
      <c r="O346" t="s">
        <v>31</v>
      </c>
      <c r="P346">
        <v>69716420</v>
      </c>
    </row>
    <row r="347" spans="1:16" ht="14.25" x14ac:dyDescent="0.2">
      <c r="A347">
        <v>23</v>
      </c>
      <c r="B347" t="s">
        <v>22</v>
      </c>
      <c r="C347" t="s">
        <v>23</v>
      </c>
      <c r="D347">
        <v>26</v>
      </c>
      <c r="E347">
        <v>1</v>
      </c>
      <c r="F347" t="s">
        <v>18</v>
      </c>
      <c r="G347">
        <v>3</v>
      </c>
      <c r="H347">
        <v>4</v>
      </c>
      <c r="I347" t="s">
        <v>30</v>
      </c>
      <c r="J347">
        <v>2904</v>
      </c>
      <c r="K347">
        <v>1</v>
      </c>
      <c r="L347">
        <v>2</v>
      </c>
      <c r="M347">
        <v>4</v>
      </c>
      <c r="N347" t="s">
        <v>25</v>
      </c>
      <c r="O347" t="s">
        <v>26</v>
      </c>
      <c r="P347">
        <v>53092470</v>
      </c>
    </row>
    <row r="348" spans="1:16" ht="14.25" x14ac:dyDescent="0.2">
      <c r="A348">
        <v>41</v>
      </c>
      <c r="B348" t="s">
        <v>22</v>
      </c>
      <c r="C348" t="s">
        <v>23</v>
      </c>
      <c r="D348">
        <v>6</v>
      </c>
      <c r="E348">
        <v>3</v>
      </c>
      <c r="F348" t="s">
        <v>29</v>
      </c>
      <c r="G348">
        <v>4</v>
      </c>
      <c r="H348">
        <v>2</v>
      </c>
      <c r="I348" t="s">
        <v>19</v>
      </c>
      <c r="J348">
        <v>6032</v>
      </c>
      <c r="K348">
        <v>6</v>
      </c>
      <c r="L348">
        <v>3</v>
      </c>
      <c r="M348">
        <v>5</v>
      </c>
      <c r="N348" t="s">
        <v>25</v>
      </c>
      <c r="O348" t="s">
        <v>31</v>
      </c>
      <c r="P348">
        <v>87616316</v>
      </c>
    </row>
    <row r="349" spans="1:16" ht="14.25" x14ac:dyDescent="0.2">
      <c r="A349">
        <v>47</v>
      </c>
      <c r="B349" t="s">
        <v>22</v>
      </c>
      <c r="C349" t="s">
        <v>17</v>
      </c>
      <c r="D349">
        <v>4</v>
      </c>
      <c r="E349">
        <v>1</v>
      </c>
      <c r="F349" t="s">
        <v>29</v>
      </c>
      <c r="G349">
        <v>2</v>
      </c>
      <c r="H349">
        <v>3</v>
      </c>
      <c r="I349" t="s">
        <v>19</v>
      </c>
      <c r="J349">
        <v>2976</v>
      </c>
      <c r="K349">
        <v>3</v>
      </c>
      <c r="L349">
        <v>3</v>
      </c>
      <c r="M349">
        <v>0</v>
      </c>
      <c r="N349" t="s">
        <v>25</v>
      </c>
      <c r="O349" t="s">
        <v>34</v>
      </c>
      <c r="P349">
        <v>24009505</v>
      </c>
    </row>
    <row r="350" spans="1:16" ht="14.25" x14ac:dyDescent="0.2">
      <c r="A350">
        <v>42</v>
      </c>
      <c r="B350" t="s">
        <v>22</v>
      </c>
      <c r="C350" t="s">
        <v>23</v>
      </c>
      <c r="D350">
        <v>23</v>
      </c>
      <c r="E350">
        <v>5</v>
      </c>
      <c r="F350" t="s">
        <v>18</v>
      </c>
      <c r="G350">
        <v>1</v>
      </c>
      <c r="H350">
        <v>4</v>
      </c>
      <c r="I350" t="s">
        <v>19</v>
      </c>
      <c r="J350">
        <v>15992</v>
      </c>
      <c r="K350">
        <v>2</v>
      </c>
      <c r="L350">
        <v>3</v>
      </c>
      <c r="M350">
        <v>1</v>
      </c>
      <c r="N350" t="s">
        <v>20</v>
      </c>
      <c r="O350" t="s">
        <v>35</v>
      </c>
      <c r="P350">
        <v>31911571</v>
      </c>
    </row>
    <row r="351" spans="1:16" ht="14.25" x14ac:dyDescent="0.2">
      <c r="A351">
        <v>29</v>
      </c>
      <c r="B351" t="s">
        <v>22</v>
      </c>
      <c r="C351" t="s">
        <v>17</v>
      </c>
      <c r="D351">
        <v>2</v>
      </c>
      <c r="E351">
        <v>3</v>
      </c>
      <c r="F351" t="s">
        <v>18</v>
      </c>
      <c r="G351">
        <v>4</v>
      </c>
      <c r="H351">
        <v>3</v>
      </c>
      <c r="I351" t="s">
        <v>24</v>
      </c>
      <c r="J351">
        <v>4649</v>
      </c>
      <c r="K351">
        <v>1</v>
      </c>
      <c r="L351">
        <v>2</v>
      </c>
      <c r="M351">
        <v>4</v>
      </c>
      <c r="N351" t="s">
        <v>25</v>
      </c>
      <c r="O351" t="s">
        <v>21</v>
      </c>
      <c r="P351">
        <v>59300332</v>
      </c>
    </row>
    <row r="352" spans="1:16" ht="14.25" x14ac:dyDescent="0.2">
      <c r="A352">
        <v>42</v>
      </c>
      <c r="B352" t="s">
        <v>22</v>
      </c>
      <c r="C352" t="s">
        <v>38</v>
      </c>
      <c r="D352">
        <v>2</v>
      </c>
      <c r="E352">
        <v>1</v>
      </c>
      <c r="F352" t="s">
        <v>37</v>
      </c>
      <c r="G352">
        <v>3</v>
      </c>
      <c r="H352">
        <v>3</v>
      </c>
      <c r="I352" t="s">
        <v>30</v>
      </c>
      <c r="J352">
        <v>2696</v>
      </c>
      <c r="K352">
        <v>0</v>
      </c>
      <c r="L352">
        <v>3</v>
      </c>
      <c r="M352">
        <v>3</v>
      </c>
      <c r="N352" t="s">
        <v>25</v>
      </c>
      <c r="O352" t="s">
        <v>38</v>
      </c>
      <c r="P352">
        <v>38046654</v>
      </c>
    </row>
    <row r="353" spans="1:16" ht="14.25" x14ac:dyDescent="0.2">
      <c r="A353">
        <v>32</v>
      </c>
      <c r="B353" t="s">
        <v>22</v>
      </c>
      <c r="C353" t="s">
        <v>23</v>
      </c>
      <c r="D353">
        <v>2</v>
      </c>
      <c r="E353">
        <v>3</v>
      </c>
      <c r="F353" t="s">
        <v>29</v>
      </c>
      <c r="G353">
        <v>3</v>
      </c>
      <c r="H353">
        <v>2</v>
      </c>
      <c r="I353" t="s">
        <v>24</v>
      </c>
      <c r="J353">
        <v>2370</v>
      </c>
      <c r="K353">
        <v>1</v>
      </c>
      <c r="L353">
        <v>3</v>
      </c>
      <c r="M353">
        <v>8</v>
      </c>
      <c r="N353" t="s">
        <v>20</v>
      </c>
      <c r="O353" t="s">
        <v>28</v>
      </c>
      <c r="P353">
        <v>24374926</v>
      </c>
    </row>
    <row r="354" spans="1:16" ht="14.25" x14ac:dyDescent="0.2">
      <c r="A354">
        <v>48</v>
      </c>
      <c r="B354" t="s">
        <v>22</v>
      </c>
      <c r="C354" t="s">
        <v>17</v>
      </c>
      <c r="D354">
        <v>29</v>
      </c>
      <c r="E354">
        <v>1</v>
      </c>
      <c r="F354" t="s">
        <v>29</v>
      </c>
      <c r="G354">
        <v>1</v>
      </c>
      <c r="H354">
        <v>3</v>
      </c>
      <c r="I354" t="s">
        <v>24</v>
      </c>
      <c r="J354">
        <v>12504</v>
      </c>
      <c r="K354">
        <v>3</v>
      </c>
      <c r="L354">
        <v>1</v>
      </c>
      <c r="M354">
        <v>0</v>
      </c>
      <c r="N354" t="s">
        <v>20</v>
      </c>
      <c r="O354" t="s">
        <v>33</v>
      </c>
      <c r="P354">
        <v>75699377</v>
      </c>
    </row>
    <row r="355" spans="1:16" ht="14.25" x14ac:dyDescent="0.2">
      <c r="A355">
        <v>37</v>
      </c>
      <c r="B355" t="s">
        <v>22</v>
      </c>
      <c r="C355" t="s">
        <v>23</v>
      </c>
      <c r="D355">
        <v>6</v>
      </c>
      <c r="E355">
        <v>3</v>
      </c>
      <c r="F355" t="s">
        <v>29</v>
      </c>
      <c r="G355">
        <v>3</v>
      </c>
      <c r="H355">
        <v>1</v>
      </c>
      <c r="I355" t="s">
        <v>30</v>
      </c>
      <c r="J355">
        <v>5974</v>
      </c>
      <c r="K355">
        <v>4</v>
      </c>
      <c r="L355">
        <v>3</v>
      </c>
      <c r="M355">
        <v>7</v>
      </c>
      <c r="N355" t="s">
        <v>25</v>
      </c>
      <c r="O355" t="s">
        <v>26</v>
      </c>
      <c r="P355">
        <v>13920942</v>
      </c>
    </row>
    <row r="356" spans="1:16" ht="14.25" x14ac:dyDescent="0.2">
      <c r="A356">
        <v>30</v>
      </c>
      <c r="B356" t="s">
        <v>22</v>
      </c>
      <c r="C356" t="s">
        <v>17</v>
      </c>
      <c r="D356">
        <v>25</v>
      </c>
      <c r="E356">
        <v>2</v>
      </c>
      <c r="F356" t="s">
        <v>37</v>
      </c>
      <c r="G356">
        <v>4</v>
      </c>
      <c r="H356">
        <v>3</v>
      </c>
      <c r="I356" t="s">
        <v>24</v>
      </c>
      <c r="J356">
        <v>4736</v>
      </c>
      <c r="K356">
        <v>7</v>
      </c>
      <c r="L356">
        <v>4</v>
      </c>
      <c r="M356">
        <v>2</v>
      </c>
      <c r="N356" t="s">
        <v>20</v>
      </c>
      <c r="O356" t="s">
        <v>21</v>
      </c>
      <c r="P356">
        <v>48862219</v>
      </c>
    </row>
    <row r="357" spans="1:16" ht="14.25" x14ac:dyDescent="0.2">
      <c r="A357">
        <v>26</v>
      </c>
      <c r="B357" t="s">
        <v>22</v>
      </c>
      <c r="C357" t="s">
        <v>17</v>
      </c>
      <c r="D357">
        <v>1</v>
      </c>
      <c r="E357">
        <v>3</v>
      </c>
      <c r="F357" t="s">
        <v>18</v>
      </c>
      <c r="G357">
        <v>3</v>
      </c>
      <c r="H357">
        <v>3</v>
      </c>
      <c r="I357" t="s">
        <v>24</v>
      </c>
      <c r="J357">
        <v>5296</v>
      </c>
      <c r="K357">
        <v>1</v>
      </c>
      <c r="L357">
        <v>3</v>
      </c>
      <c r="M357">
        <v>8</v>
      </c>
      <c r="N357" t="s">
        <v>25</v>
      </c>
      <c r="O357" t="s">
        <v>21</v>
      </c>
      <c r="P357">
        <v>46659053</v>
      </c>
    </row>
    <row r="358" spans="1:16" ht="14.25" x14ac:dyDescent="0.2">
      <c r="A358">
        <v>42</v>
      </c>
      <c r="B358" t="s">
        <v>22</v>
      </c>
      <c r="C358" t="s">
        <v>23</v>
      </c>
      <c r="D358">
        <v>2</v>
      </c>
      <c r="E358">
        <v>4</v>
      </c>
      <c r="F358" t="s">
        <v>27</v>
      </c>
      <c r="G358">
        <v>1</v>
      </c>
      <c r="H358">
        <v>4</v>
      </c>
      <c r="I358" t="s">
        <v>19</v>
      </c>
      <c r="J358">
        <v>6781</v>
      </c>
      <c r="K358">
        <v>3</v>
      </c>
      <c r="L358">
        <v>3</v>
      </c>
      <c r="M358">
        <v>1</v>
      </c>
      <c r="N358" t="s">
        <v>25</v>
      </c>
      <c r="O358" t="s">
        <v>32</v>
      </c>
      <c r="P358">
        <v>89429756</v>
      </c>
    </row>
    <row r="359" spans="1:16" ht="14.25" x14ac:dyDescent="0.2">
      <c r="A359">
        <v>21</v>
      </c>
      <c r="B359" t="s">
        <v>16</v>
      </c>
      <c r="C359" t="s">
        <v>17</v>
      </c>
      <c r="D359">
        <v>1</v>
      </c>
      <c r="E359">
        <v>1</v>
      </c>
      <c r="F359" t="s">
        <v>37</v>
      </c>
      <c r="G359">
        <v>1</v>
      </c>
      <c r="H359">
        <v>2</v>
      </c>
      <c r="I359" t="s">
        <v>19</v>
      </c>
      <c r="J359">
        <v>2174</v>
      </c>
      <c r="K359">
        <v>1</v>
      </c>
      <c r="L359">
        <v>3</v>
      </c>
      <c r="M359">
        <v>3</v>
      </c>
      <c r="N359" t="s">
        <v>20</v>
      </c>
      <c r="O359" t="s">
        <v>34</v>
      </c>
      <c r="P359">
        <v>83814898</v>
      </c>
    </row>
    <row r="360" spans="1:16" ht="14.25" x14ac:dyDescent="0.2">
      <c r="A360">
        <v>36</v>
      </c>
      <c r="B360" t="s">
        <v>22</v>
      </c>
      <c r="C360" t="s">
        <v>17</v>
      </c>
      <c r="D360">
        <v>1</v>
      </c>
      <c r="E360">
        <v>5</v>
      </c>
      <c r="F360" t="s">
        <v>29</v>
      </c>
      <c r="G360">
        <v>4</v>
      </c>
      <c r="H360">
        <v>4</v>
      </c>
      <c r="I360" t="s">
        <v>19</v>
      </c>
      <c r="J360">
        <v>6653</v>
      </c>
      <c r="K360">
        <v>4</v>
      </c>
      <c r="L360">
        <v>3</v>
      </c>
      <c r="M360">
        <v>1</v>
      </c>
      <c r="N360" t="s">
        <v>20</v>
      </c>
      <c r="O360" t="s">
        <v>21</v>
      </c>
      <c r="P360">
        <v>52025339</v>
      </c>
    </row>
    <row r="361" spans="1:16" ht="14.25" x14ac:dyDescent="0.2">
      <c r="A361">
        <v>36</v>
      </c>
      <c r="B361" t="s">
        <v>22</v>
      </c>
      <c r="C361" t="s">
        <v>17</v>
      </c>
      <c r="D361">
        <v>3</v>
      </c>
      <c r="E361">
        <v>4</v>
      </c>
      <c r="F361" t="s">
        <v>29</v>
      </c>
      <c r="G361">
        <v>1</v>
      </c>
      <c r="H361">
        <v>4</v>
      </c>
      <c r="I361" t="s">
        <v>24</v>
      </c>
      <c r="J361">
        <v>9699</v>
      </c>
      <c r="K361">
        <v>4</v>
      </c>
      <c r="L361">
        <v>3</v>
      </c>
      <c r="M361">
        <v>13</v>
      </c>
      <c r="N361" t="s">
        <v>25</v>
      </c>
      <c r="O361" t="s">
        <v>21</v>
      </c>
      <c r="P361">
        <v>26667319</v>
      </c>
    </row>
    <row r="362" spans="1:16" ht="14.25" x14ac:dyDescent="0.2">
      <c r="A362">
        <v>57</v>
      </c>
      <c r="B362" t="s">
        <v>22</v>
      </c>
      <c r="C362" t="s">
        <v>23</v>
      </c>
      <c r="D362">
        <v>1</v>
      </c>
      <c r="E362">
        <v>4</v>
      </c>
      <c r="F362" t="s">
        <v>29</v>
      </c>
      <c r="G362">
        <v>4</v>
      </c>
      <c r="H362">
        <v>3</v>
      </c>
      <c r="I362" t="s">
        <v>24</v>
      </c>
      <c r="J362">
        <v>6755</v>
      </c>
      <c r="K362">
        <v>2</v>
      </c>
      <c r="L362">
        <v>3</v>
      </c>
      <c r="M362">
        <v>3</v>
      </c>
      <c r="N362" t="s">
        <v>25</v>
      </c>
      <c r="O362" t="s">
        <v>32</v>
      </c>
      <c r="P362">
        <v>40576040</v>
      </c>
    </row>
    <row r="363" spans="1:16" ht="14.25" x14ac:dyDescent="0.2">
      <c r="A363">
        <v>40</v>
      </c>
      <c r="B363" t="s">
        <v>22</v>
      </c>
      <c r="C363" t="s">
        <v>23</v>
      </c>
      <c r="D363">
        <v>10</v>
      </c>
      <c r="E363">
        <v>4</v>
      </c>
      <c r="F363" t="s">
        <v>18</v>
      </c>
      <c r="G363">
        <v>4</v>
      </c>
      <c r="H363">
        <v>3</v>
      </c>
      <c r="I363" t="s">
        <v>24</v>
      </c>
      <c r="J363">
        <v>2213</v>
      </c>
      <c r="K363">
        <v>3</v>
      </c>
      <c r="L363">
        <v>3</v>
      </c>
      <c r="M363">
        <v>7</v>
      </c>
      <c r="N363" t="s">
        <v>20</v>
      </c>
      <c r="O363" t="s">
        <v>28</v>
      </c>
      <c r="P363">
        <v>29071613</v>
      </c>
    </row>
    <row r="364" spans="1:16" ht="14.25" x14ac:dyDescent="0.2">
      <c r="A364">
        <v>21</v>
      </c>
      <c r="B364" t="s">
        <v>22</v>
      </c>
      <c r="C364" t="s">
        <v>17</v>
      </c>
      <c r="D364">
        <v>9</v>
      </c>
      <c r="E364">
        <v>2</v>
      </c>
      <c r="F364" t="s">
        <v>29</v>
      </c>
      <c r="G364">
        <v>1</v>
      </c>
      <c r="H364">
        <v>4</v>
      </c>
      <c r="I364" t="s">
        <v>19</v>
      </c>
      <c r="J364">
        <v>2610</v>
      </c>
      <c r="K364">
        <v>1</v>
      </c>
      <c r="L364">
        <v>2</v>
      </c>
      <c r="M364">
        <v>3</v>
      </c>
      <c r="N364" t="s">
        <v>25</v>
      </c>
      <c r="O364" t="s">
        <v>34</v>
      </c>
      <c r="P364">
        <v>72542926</v>
      </c>
    </row>
    <row r="365" spans="1:16" ht="14.25" x14ac:dyDescent="0.2">
      <c r="A365">
        <v>33</v>
      </c>
      <c r="B365" t="s">
        <v>16</v>
      </c>
      <c r="C365" t="s">
        <v>17</v>
      </c>
      <c r="D365">
        <v>5</v>
      </c>
      <c r="E365">
        <v>3</v>
      </c>
      <c r="F365" t="s">
        <v>36</v>
      </c>
      <c r="G365">
        <v>4</v>
      </c>
      <c r="H365">
        <v>3</v>
      </c>
      <c r="I365" t="s">
        <v>19</v>
      </c>
      <c r="J365">
        <v>2851</v>
      </c>
      <c r="K365">
        <v>1</v>
      </c>
      <c r="L365">
        <v>3</v>
      </c>
      <c r="M365">
        <v>1</v>
      </c>
      <c r="N365" t="s">
        <v>20</v>
      </c>
      <c r="O365" t="s">
        <v>34</v>
      </c>
      <c r="P365">
        <v>21380251</v>
      </c>
    </row>
    <row r="366" spans="1:16" ht="14.25" x14ac:dyDescent="0.2">
      <c r="A366">
        <v>37</v>
      </c>
      <c r="B366" t="s">
        <v>22</v>
      </c>
      <c r="C366" t="s">
        <v>23</v>
      </c>
      <c r="D366">
        <v>10</v>
      </c>
      <c r="E366">
        <v>3</v>
      </c>
      <c r="F366" t="s">
        <v>29</v>
      </c>
      <c r="G366">
        <v>3</v>
      </c>
      <c r="H366">
        <v>1</v>
      </c>
      <c r="I366" t="s">
        <v>24</v>
      </c>
      <c r="J366">
        <v>3452</v>
      </c>
      <c r="K366">
        <v>6</v>
      </c>
      <c r="L366">
        <v>3</v>
      </c>
      <c r="M366">
        <v>5</v>
      </c>
      <c r="N366" t="s">
        <v>20</v>
      </c>
      <c r="O366" t="s">
        <v>28</v>
      </c>
      <c r="P366">
        <v>44890544</v>
      </c>
    </row>
    <row r="367" spans="1:16" ht="14.25" x14ac:dyDescent="0.2">
      <c r="A367">
        <v>46</v>
      </c>
      <c r="B367" t="s">
        <v>22</v>
      </c>
      <c r="C367" t="s">
        <v>23</v>
      </c>
      <c r="D367">
        <v>7</v>
      </c>
      <c r="E367">
        <v>4</v>
      </c>
      <c r="F367" t="s">
        <v>29</v>
      </c>
      <c r="G367">
        <v>3</v>
      </c>
      <c r="H367">
        <v>3</v>
      </c>
      <c r="I367" t="s">
        <v>24</v>
      </c>
      <c r="J367">
        <v>5258</v>
      </c>
      <c r="K367">
        <v>2</v>
      </c>
      <c r="L367">
        <v>4</v>
      </c>
      <c r="M367">
        <v>1</v>
      </c>
      <c r="N367" t="s">
        <v>20</v>
      </c>
      <c r="O367" t="s">
        <v>31</v>
      </c>
      <c r="P367">
        <v>70591073</v>
      </c>
    </row>
    <row r="368" spans="1:16" ht="14.25" x14ac:dyDescent="0.2">
      <c r="A368">
        <v>41</v>
      </c>
      <c r="B368" t="s">
        <v>16</v>
      </c>
      <c r="C368" t="s">
        <v>17</v>
      </c>
      <c r="D368">
        <v>4</v>
      </c>
      <c r="E368">
        <v>3</v>
      </c>
      <c r="F368" t="s">
        <v>36</v>
      </c>
      <c r="G368">
        <v>1</v>
      </c>
      <c r="H368">
        <v>2</v>
      </c>
      <c r="I368" t="s">
        <v>19</v>
      </c>
      <c r="J368">
        <v>9355</v>
      </c>
      <c r="K368">
        <v>1</v>
      </c>
      <c r="L368">
        <v>3</v>
      </c>
      <c r="M368">
        <v>8</v>
      </c>
      <c r="N368" t="s">
        <v>25</v>
      </c>
      <c r="O368" t="s">
        <v>21</v>
      </c>
      <c r="P368">
        <v>10518082</v>
      </c>
    </row>
    <row r="369" spans="1:16" ht="14.25" x14ac:dyDescent="0.2">
      <c r="A369">
        <v>50</v>
      </c>
      <c r="B369" t="s">
        <v>22</v>
      </c>
      <c r="C369" t="s">
        <v>23</v>
      </c>
      <c r="D369">
        <v>10</v>
      </c>
      <c r="E369">
        <v>3</v>
      </c>
      <c r="F369" t="s">
        <v>37</v>
      </c>
      <c r="G369">
        <v>4</v>
      </c>
      <c r="H369">
        <v>4</v>
      </c>
      <c r="I369" t="s">
        <v>19</v>
      </c>
      <c r="J369">
        <v>10496</v>
      </c>
      <c r="K369">
        <v>6</v>
      </c>
      <c r="L369">
        <v>3</v>
      </c>
      <c r="M369">
        <v>4</v>
      </c>
      <c r="N369" t="s">
        <v>25</v>
      </c>
      <c r="O369" t="s">
        <v>32</v>
      </c>
      <c r="P369">
        <v>13137058</v>
      </c>
    </row>
    <row r="370" spans="1:16" ht="14.25" x14ac:dyDescent="0.2">
      <c r="A370">
        <v>40</v>
      </c>
      <c r="B370" t="s">
        <v>16</v>
      </c>
      <c r="C370" t="s">
        <v>17</v>
      </c>
      <c r="D370">
        <v>22</v>
      </c>
      <c r="E370">
        <v>2</v>
      </c>
      <c r="F370" t="s">
        <v>36</v>
      </c>
      <c r="G370">
        <v>3</v>
      </c>
      <c r="H370">
        <v>3</v>
      </c>
      <c r="I370" t="s">
        <v>24</v>
      </c>
      <c r="J370">
        <v>6380</v>
      </c>
      <c r="K370">
        <v>2</v>
      </c>
      <c r="L370">
        <v>3</v>
      </c>
      <c r="M370">
        <v>6</v>
      </c>
      <c r="N370" t="s">
        <v>25</v>
      </c>
      <c r="O370" t="s">
        <v>21</v>
      </c>
      <c r="P370">
        <v>38168124</v>
      </c>
    </row>
    <row r="371" spans="1:16" ht="14.25" x14ac:dyDescent="0.2">
      <c r="A371">
        <v>31</v>
      </c>
      <c r="B371" t="s">
        <v>22</v>
      </c>
      <c r="C371" t="s">
        <v>23</v>
      </c>
      <c r="D371">
        <v>9</v>
      </c>
      <c r="E371">
        <v>4</v>
      </c>
      <c r="F371" t="s">
        <v>18</v>
      </c>
      <c r="G371">
        <v>3</v>
      </c>
      <c r="H371">
        <v>2</v>
      </c>
      <c r="I371" t="s">
        <v>19</v>
      </c>
      <c r="J371">
        <v>2657</v>
      </c>
      <c r="K371">
        <v>0</v>
      </c>
      <c r="L371">
        <v>3</v>
      </c>
      <c r="M371">
        <v>2</v>
      </c>
      <c r="N371" t="s">
        <v>25</v>
      </c>
      <c r="O371" t="s">
        <v>26</v>
      </c>
      <c r="P371">
        <v>29705537</v>
      </c>
    </row>
    <row r="372" spans="1:16" ht="14.25" x14ac:dyDescent="0.2">
      <c r="A372">
        <v>21</v>
      </c>
      <c r="B372" t="s">
        <v>16</v>
      </c>
      <c r="C372" t="s">
        <v>17</v>
      </c>
      <c r="D372">
        <v>12</v>
      </c>
      <c r="E372">
        <v>3</v>
      </c>
      <c r="F372" t="s">
        <v>18</v>
      </c>
      <c r="G372">
        <v>3</v>
      </c>
      <c r="H372">
        <v>2</v>
      </c>
      <c r="I372" t="s">
        <v>19</v>
      </c>
      <c r="J372">
        <v>2716</v>
      </c>
      <c r="K372">
        <v>1</v>
      </c>
      <c r="L372">
        <v>3</v>
      </c>
      <c r="M372">
        <v>1</v>
      </c>
      <c r="N372" t="s">
        <v>20</v>
      </c>
      <c r="O372" t="s">
        <v>34</v>
      </c>
      <c r="P372">
        <v>86104036</v>
      </c>
    </row>
    <row r="373" spans="1:16" ht="14.25" x14ac:dyDescent="0.2">
      <c r="A373">
        <v>29</v>
      </c>
      <c r="B373" t="s">
        <v>22</v>
      </c>
      <c r="C373" t="s">
        <v>23</v>
      </c>
      <c r="D373">
        <v>23</v>
      </c>
      <c r="E373">
        <v>3</v>
      </c>
      <c r="F373" t="s">
        <v>18</v>
      </c>
      <c r="G373">
        <v>4</v>
      </c>
      <c r="H373">
        <v>4</v>
      </c>
      <c r="I373" t="s">
        <v>19</v>
      </c>
      <c r="J373">
        <v>2201</v>
      </c>
      <c r="K373">
        <v>9</v>
      </c>
      <c r="L373">
        <v>3</v>
      </c>
      <c r="M373">
        <v>3</v>
      </c>
      <c r="N373" t="s">
        <v>25</v>
      </c>
      <c r="O373" t="s">
        <v>26</v>
      </c>
      <c r="P373">
        <v>10346798</v>
      </c>
    </row>
    <row r="374" spans="1:16" ht="14.25" x14ac:dyDescent="0.2">
      <c r="A374">
        <v>35</v>
      </c>
      <c r="B374" t="s">
        <v>22</v>
      </c>
      <c r="C374" t="s">
        <v>23</v>
      </c>
      <c r="D374">
        <v>9</v>
      </c>
      <c r="E374">
        <v>4</v>
      </c>
      <c r="F374" t="s">
        <v>18</v>
      </c>
      <c r="G374">
        <v>3</v>
      </c>
      <c r="H374">
        <v>2</v>
      </c>
      <c r="I374" t="s">
        <v>19</v>
      </c>
      <c r="J374">
        <v>6540</v>
      </c>
      <c r="K374">
        <v>9</v>
      </c>
      <c r="L374">
        <v>3</v>
      </c>
      <c r="M374">
        <v>1</v>
      </c>
      <c r="N374" t="s">
        <v>25</v>
      </c>
      <c r="O374" t="s">
        <v>32</v>
      </c>
      <c r="P374">
        <v>31217216</v>
      </c>
    </row>
    <row r="375" spans="1:16" ht="14.25" x14ac:dyDescent="0.2">
      <c r="A375">
        <v>27</v>
      </c>
      <c r="B375" t="s">
        <v>22</v>
      </c>
      <c r="C375" t="s">
        <v>23</v>
      </c>
      <c r="D375">
        <v>1</v>
      </c>
      <c r="E375">
        <v>2</v>
      </c>
      <c r="F375" t="s">
        <v>29</v>
      </c>
      <c r="G375">
        <v>4</v>
      </c>
      <c r="H375">
        <v>2</v>
      </c>
      <c r="I375" t="s">
        <v>30</v>
      </c>
      <c r="J375">
        <v>3816</v>
      </c>
      <c r="K375">
        <v>1</v>
      </c>
      <c r="L375">
        <v>3</v>
      </c>
      <c r="M375">
        <v>5</v>
      </c>
      <c r="N375" t="s">
        <v>25</v>
      </c>
      <c r="O375" t="s">
        <v>28</v>
      </c>
      <c r="P375">
        <v>53249763</v>
      </c>
    </row>
    <row r="376" spans="1:16" ht="14.25" x14ac:dyDescent="0.2">
      <c r="A376">
        <v>28</v>
      </c>
      <c r="B376" t="s">
        <v>22</v>
      </c>
      <c r="C376" t="s">
        <v>17</v>
      </c>
      <c r="D376">
        <v>9</v>
      </c>
      <c r="E376">
        <v>4</v>
      </c>
      <c r="F376" t="s">
        <v>18</v>
      </c>
      <c r="G376">
        <v>2</v>
      </c>
      <c r="H376">
        <v>4</v>
      </c>
      <c r="I376" t="s">
        <v>19</v>
      </c>
      <c r="J376">
        <v>5253</v>
      </c>
      <c r="K376">
        <v>1</v>
      </c>
      <c r="L376">
        <v>3</v>
      </c>
      <c r="M376">
        <v>7</v>
      </c>
      <c r="N376" t="s">
        <v>25</v>
      </c>
      <c r="O376" t="s">
        <v>21</v>
      </c>
      <c r="P376">
        <v>17713165</v>
      </c>
    </row>
    <row r="377" spans="1:16" ht="14.25" x14ac:dyDescent="0.2">
      <c r="A377">
        <v>49</v>
      </c>
      <c r="B377" t="s">
        <v>22</v>
      </c>
      <c r="C377" t="s">
        <v>23</v>
      </c>
      <c r="D377">
        <v>7</v>
      </c>
      <c r="E377">
        <v>3</v>
      </c>
      <c r="F377" t="s">
        <v>27</v>
      </c>
      <c r="G377">
        <v>2</v>
      </c>
      <c r="H377">
        <v>3</v>
      </c>
      <c r="I377" t="s">
        <v>19</v>
      </c>
      <c r="J377">
        <v>10965</v>
      </c>
      <c r="K377">
        <v>8</v>
      </c>
      <c r="L377">
        <v>3</v>
      </c>
      <c r="M377">
        <v>5</v>
      </c>
      <c r="N377" t="s">
        <v>25</v>
      </c>
      <c r="O377" t="s">
        <v>32</v>
      </c>
      <c r="P377">
        <v>29815425</v>
      </c>
    </row>
    <row r="378" spans="1:16" ht="14.25" x14ac:dyDescent="0.2">
      <c r="A378">
        <v>51</v>
      </c>
      <c r="B378" t="s">
        <v>22</v>
      </c>
      <c r="C378" t="s">
        <v>17</v>
      </c>
      <c r="D378">
        <v>14</v>
      </c>
      <c r="E378">
        <v>2</v>
      </c>
      <c r="F378" t="s">
        <v>18</v>
      </c>
      <c r="G378">
        <v>3</v>
      </c>
      <c r="H378">
        <v>4</v>
      </c>
      <c r="I378" t="s">
        <v>24</v>
      </c>
      <c r="J378">
        <v>4936</v>
      </c>
      <c r="K378">
        <v>4</v>
      </c>
      <c r="L378">
        <v>2</v>
      </c>
      <c r="M378">
        <v>7</v>
      </c>
      <c r="N378" t="s">
        <v>20</v>
      </c>
      <c r="O378" t="s">
        <v>21</v>
      </c>
      <c r="P378">
        <v>26079553</v>
      </c>
    </row>
    <row r="379" spans="1:16" ht="14.25" x14ac:dyDescent="0.2">
      <c r="A379">
        <v>36</v>
      </c>
      <c r="B379" t="s">
        <v>22</v>
      </c>
      <c r="C379" t="s">
        <v>23</v>
      </c>
      <c r="D379">
        <v>2</v>
      </c>
      <c r="E379">
        <v>3</v>
      </c>
      <c r="F379" t="s">
        <v>18</v>
      </c>
      <c r="G379">
        <v>4</v>
      </c>
      <c r="H379">
        <v>3</v>
      </c>
      <c r="I379" t="s">
        <v>24</v>
      </c>
      <c r="J379">
        <v>2543</v>
      </c>
      <c r="K379">
        <v>4</v>
      </c>
      <c r="L379">
        <v>3</v>
      </c>
      <c r="M379">
        <v>2</v>
      </c>
      <c r="N379" t="s">
        <v>20</v>
      </c>
      <c r="O379" t="s">
        <v>26</v>
      </c>
      <c r="P379">
        <v>36184913</v>
      </c>
    </row>
    <row r="380" spans="1:16" ht="14.25" x14ac:dyDescent="0.2">
      <c r="A380">
        <v>34</v>
      </c>
      <c r="B380" t="s">
        <v>16</v>
      </c>
      <c r="C380" t="s">
        <v>17</v>
      </c>
      <c r="D380">
        <v>19</v>
      </c>
      <c r="E380">
        <v>3</v>
      </c>
      <c r="F380" t="s">
        <v>36</v>
      </c>
      <c r="G380">
        <v>1</v>
      </c>
      <c r="H380">
        <v>4</v>
      </c>
      <c r="I380" t="s">
        <v>19</v>
      </c>
      <c r="J380">
        <v>5304</v>
      </c>
      <c r="K380">
        <v>8</v>
      </c>
      <c r="L380">
        <v>2</v>
      </c>
      <c r="M380">
        <v>5</v>
      </c>
      <c r="N380" t="s">
        <v>25</v>
      </c>
      <c r="O380" t="s">
        <v>21</v>
      </c>
      <c r="P380">
        <v>64763136</v>
      </c>
    </row>
    <row r="381" spans="1:16" ht="14.25" x14ac:dyDescent="0.2">
      <c r="A381">
        <v>55</v>
      </c>
      <c r="B381" t="s">
        <v>22</v>
      </c>
      <c r="C381" t="s">
        <v>23</v>
      </c>
      <c r="D381">
        <v>2</v>
      </c>
      <c r="E381">
        <v>3</v>
      </c>
      <c r="F381" t="s">
        <v>18</v>
      </c>
      <c r="G381">
        <v>3</v>
      </c>
      <c r="H381">
        <v>4</v>
      </c>
      <c r="I381" t="s">
        <v>19</v>
      </c>
      <c r="J381">
        <v>16659</v>
      </c>
      <c r="K381">
        <v>2</v>
      </c>
      <c r="L381">
        <v>3</v>
      </c>
      <c r="M381">
        <v>5</v>
      </c>
      <c r="N381" t="s">
        <v>20</v>
      </c>
      <c r="O381" t="s">
        <v>33</v>
      </c>
      <c r="P381">
        <v>50316679</v>
      </c>
    </row>
    <row r="382" spans="1:16" ht="14.25" x14ac:dyDescent="0.2">
      <c r="A382">
        <v>24</v>
      </c>
      <c r="B382" t="s">
        <v>22</v>
      </c>
      <c r="C382" t="s">
        <v>17</v>
      </c>
      <c r="D382">
        <v>10</v>
      </c>
      <c r="E382">
        <v>4</v>
      </c>
      <c r="F382" t="s">
        <v>36</v>
      </c>
      <c r="G382">
        <v>4</v>
      </c>
      <c r="H382">
        <v>3</v>
      </c>
      <c r="I382" t="s">
        <v>30</v>
      </c>
      <c r="J382">
        <v>4260</v>
      </c>
      <c r="K382">
        <v>1</v>
      </c>
      <c r="L382">
        <v>4</v>
      </c>
      <c r="M382">
        <v>5</v>
      </c>
      <c r="N382" t="s">
        <v>20</v>
      </c>
      <c r="O382" t="s">
        <v>21</v>
      </c>
      <c r="P382">
        <v>21803653</v>
      </c>
    </row>
    <row r="383" spans="1:16" ht="14.25" x14ac:dyDescent="0.2">
      <c r="A383">
        <v>30</v>
      </c>
      <c r="B383" t="s">
        <v>22</v>
      </c>
      <c r="C383" t="s">
        <v>17</v>
      </c>
      <c r="D383">
        <v>2</v>
      </c>
      <c r="E383">
        <v>1</v>
      </c>
      <c r="F383" t="s">
        <v>37</v>
      </c>
      <c r="G383">
        <v>3</v>
      </c>
      <c r="H383">
        <v>2</v>
      </c>
      <c r="I383" t="s">
        <v>24</v>
      </c>
      <c r="J383">
        <v>2476</v>
      </c>
      <c r="K383">
        <v>1</v>
      </c>
      <c r="L383">
        <v>3</v>
      </c>
      <c r="M383">
        <v>1</v>
      </c>
      <c r="N383" t="s">
        <v>25</v>
      </c>
      <c r="O383" t="s">
        <v>34</v>
      </c>
      <c r="P383">
        <v>47780798</v>
      </c>
    </row>
    <row r="384" spans="1:16" ht="14.25" x14ac:dyDescent="0.2">
      <c r="A384">
        <v>26</v>
      </c>
      <c r="B384" t="s">
        <v>16</v>
      </c>
      <c r="C384" t="s">
        <v>23</v>
      </c>
      <c r="D384">
        <v>3</v>
      </c>
      <c r="E384">
        <v>1</v>
      </c>
      <c r="F384" t="s">
        <v>37</v>
      </c>
      <c r="G384">
        <v>3</v>
      </c>
      <c r="H384">
        <v>1</v>
      </c>
      <c r="I384" t="s">
        <v>19</v>
      </c>
      <c r="J384">
        <v>3102</v>
      </c>
      <c r="K384">
        <v>0</v>
      </c>
      <c r="L384">
        <v>3</v>
      </c>
      <c r="M384">
        <v>6</v>
      </c>
      <c r="N384" t="s">
        <v>25</v>
      </c>
      <c r="O384" t="s">
        <v>26</v>
      </c>
      <c r="P384">
        <v>40898189</v>
      </c>
    </row>
    <row r="385" spans="1:16" ht="14.25" x14ac:dyDescent="0.2">
      <c r="A385">
        <v>22</v>
      </c>
      <c r="B385" t="s">
        <v>22</v>
      </c>
      <c r="C385" t="s">
        <v>23</v>
      </c>
      <c r="D385">
        <v>11</v>
      </c>
      <c r="E385">
        <v>3</v>
      </c>
      <c r="F385" t="s">
        <v>29</v>
      </c>
      <c r="G385">
        <v>1</v>
      </c>
      <c r="H385">
        <v>2</v>
      </c>
      <c r="I385" t="s">
        <v>24</v>
      </c>
      <c r="J385">
        <v>2244</v>
      </c>
      <c r="K385">
        <v>1</v>
      </c>
      <c r="L385">
        <v>3</v>
      </c>
      <c r="M385">
        <v>2</v>
      </c>
      <c r="N385" t="s">
        <v>20</v>
      </c>
      <c r="O385" t="s">
        <v>26</v>
      </c>
      <c r="P385">
        <v>54253341</v>
      </c>
    </row>
    <row r="386" spans="1:16" ht="14.25" x14ac:dyDescent="0.2">
      <c r="A386">
        <v>36</v>
      </c>
      <c r="B386" t="s">
        <v>22</v>
      </c>
      <c r="C386" t="s">
        <v>17</v>
      </c>
      <c r="D386">
        <v>2</v>
      </c>
      <c r="E386">
        <v>2</v>
      </c>
      <c r="F386" t="s">
        <v>29</v>
      </c>
      <c r="G386">
        <v>2</v>
      </c>
      <c r="H386">
        <v>3</v>
      </c>
      <c r="I386" t="s">
        <v>24</v>
      </c>
      <c r="J386">
        <v>7596</v>
      </c>
      <c r="K386">
        <v>1</v>
      </c>
      <c r="L386">
        <v>3</v>
      </c>
      <c r="M386">
        <v>10</v>
      </c>
      <c r="N386" t="s">
        <v>25</v>
      </c>
      <c r="O386" t="s">
        <v>21</v>
      </c>
      <c r="P386">
        <v>89186028</v>
      </c>
    </row>
    <row r="387" spans="1:16" ht="14.25" x14ac:dyDescent="0.2">
      <c r="A387">
        <v>30</v>
      </c>
      <c r="B387" t="s">
        <v>16</v>
      </c>
      <c r="C387" t="s">
        <v>23</v>
      </c>
      <c r="D387">
        <v>4</v>
      </c>
      <c r="E387">
        <v>3</v>
      </c>
      <c r="F387" t="s">
        <v>37</v>
      </c>
      <c r="G387">
        <v>3</v>
      </c>
      <c r="H387">
        <v>4</v>
      </c>
      <c r="I387" t="s">
        <v>19</v>
      </c>
      <c r="J387">
        <v>2285</v>
      </c>
      <c r="K387">
        <v>9</v>
      </c>
      <c r="L387">
        <v>3</v>
      </c>
      <c r="M387">
        <v>1</v>
      </c>
      <c r="N387" t="s">
        <v>25</v>
      </c>
      <c r="O387" t="s">
        <v>26</v>
      </c>
      <c r="P387">
        <v>45513005</v>
      </c>
    </row>
    <row r="388" spans="1:16" ht="14.25" x14ac:dyDescent="0.2">
      <c r="A388">
        <v>37</v>
      </c>
      <c r="B388" t="s">
        <v>22</v>
      </c>
      <c r="C388" t="s">
        <v>23</v>
      </c>
      <c r="D388">
        <v>14</v>
      </c>
      <c r="E388">
        <v>3</v>
      </c>
      <c r="F388" t="s">
        <v>18</v>
      </c>
      <c r="G388">
        <v>4</v>
      </c>
      <c r="H388">
        <v>1</v>
      </c>
      <c r="I388" t="s">
        <v>30</v>
      </c>
      <c r="J388">
        <v>3034</v>
      </c>
      <c r="K388">
        <v>1</v>
      </c>
      <c r="L388">
        <v>2</v>
      </c>
      <c r="M388">
        <v>18</v>
      </c>
      <c r="N388" t="s">
        <v>20</v>
      </c>
      <c r="O388" t="s">
        <v>28</v>
      </c>
      <c r="P388">
        <v>17500333</v>
      </c>
    </row>
    <row r="389" spans="1:16" ht="14.25" x14ac:dyDescent="0.2">
      <c r="A389">
        <v>40</v>
      </c>
      <c r="B389" t="s">
        <v>22</v>
      </c>
      <c r="C389" t="s">
        <v>17</v>
      </c>
      <c r="D389">
        <v>2</v>
      </c>
      <c r="E389">
        <v>2</v>
      </c>
      <c r="F389" t="s">
        <v>36</v>
      </c>
      <c r="G389">
        <v>4</v>
      </c>
      <c r="H389">
        <v>2</v>
      </c>
      <c r="I389" t="s">
        <v>30</v>
      </c>
      <c r="J389">
        <v>5715</v>
      </c>
      <c r="K389">
        <v>7</v>
      </c>
      <c r="L389">
        <v>3</v>
      </c>
      <c r="M389">
        <v>5</v>
      </c>
      <c r="N389" t="s">
        <v>20</v>
      </c>
      <c r="O389" t="s">
        <v>21</v>
      </c>
      <c r="P389">
        <v>22883207</v>
      </c>
    </row>
    <row r="390" spans="1:16" ht="14.25" x14ac:dyDescent="0.2">
      <c r="A390">
        <v>42</v>
      </c>
      <c r="B390" t="s">
        <v>22</v>
      </c>
      <c r="C390" t="s">
        <v>23</v>
      </c>
      <c r="D390">
        <v>1</v>
      </c>
      <c r="E390">
        <v>4</v>
      </c>
      <c r="F390" t="s">
        <v>18</v>
      </c>
      <c r="G390">
        <v>2</v>
      </c>
      <c r="H390">
        <v>1</v>
      </c>
      <c r="I390" t="s">
        <v>30</v>
      </c>
      <c r="J390">
        <v>2576</v>
      </c>
      <c r="K390">
        <v>3</v>
      </c>
      <c r="L390">
        <v>3</v>
      </c>
      <c r="M390">
        <v>5</v>
      </c>
      <c r="N390" t="s">
        <v>20</v>
      </c>
      <c r="O390" t="s">
        <v>28</v>
      </c>
      <c r="P390">
        <v>85670839</v>
      </c>
    </row>
    <row r="391" spans="1:16" ht="14.25" x14ac:dyDescent="0.2">
      <c r="A391">
        <v>37</v>
      </c>
      <c r="B391" t="s">
        <v>22</v>
      </c>
      <c r="C391" t="s">
        <v>23</v>
      </c>
      <c r="D391">
        <v>10</v>
      </c>
      <c r="E391">
        <v>4</v>
      </c>
      <c r="F391" t="s">
        <v>18</v>
      </c>
      <c r="G391">
        <v>3</v>
      </c>
      <c r="H391">
        <v>2</v>
      </c>
      <c r="I391" t="s">
        <v>19</v>
      </c>
      <c r="J391">
        <v>4197</v>
      </c>
      <c r="K391">
        <v>2</v>
      </c>
      <c r="L391">
        <v>2</v>
      </c>
      <c r="M391">
        <v>1</v>
      </c>
      <c r="N391" t="s">
        <v>25</v>
      </c>
      <c r="O391" t="s">
        <v>31</v>
      </c>
      <c r="P391">
        <v>27964683</v>
      </c>
    </row>
    <row r="392" spans="1:16" ht="14.25" x14ac:dyDescent="0.2">
      <c r="A392">
        <v>43</v>
      </c>
      <c r="B392" t="s">
        <v>22</v>
      </c>
      <c r="C392" t="s">
        <v>23</v>
      </c>
      <c r="D392">
        <v>12</v>
      </c>
      <c r="E392">
        <v>3</v>
      </c>
      <c r="F392" t="s">
        <v>18</v>
      </c>
      <c r="G392">
        <v>1</v>
      </c>
      <c r="H392">
        <v>2</v>
      </c>
      <c r="I392" t="s">
        <v>30</v>
      </c>
      <c r="J392">
        <v>14336</v>
      </c>
      <c r="K392">
        <v>1</v>
      </c>
      <c r="L392">
        <v>3</v>
      </c>
      <c r="M392">
        <v>25</v>
      </c>
      <c r="N392" t="s">
        <v>25</v>
      </c>
      <c r="O392" t="s">
        <v>35</v>
      </c>
      <c r="P392">
        <v>42164074</v>
      </c>
    </row>
    <row r="393" spans="1:16" ht="14.25" x14ac:dyDescent="0.2">
      <c r="A393">
        <v>40</v>
      </c>
      <c r="B393" t="s">
        <v>22</v>
      </c>
      <c r="C393" t="s">
        <v>23</v>
      </c>
      <c r="D393">
        <v>2</v>
      </c>
      <c r="E393">
        <v>3</v>
      </c>
      <c r="F393" t="s">
        <v>29</v>
      </c>
      <c r="G393">
        <v>2</v>
      </c>
      <c r="H393">
        <v>3</v>
      </c>
      <c r="I393" t="s">
        <v>24</v>
      </c>
      <c r="J393">
        <v>3448</v>
      </c>
      <c r="K393">
        <v>6</v>
      </c>
      <c r="L393">
        <v>3</v>
      </c>
      <c r="M393">
        <v>1</v>
      </c>
      <c r="N393" t="s">
        <v>20</v>
      </c>
      <c r="O393" t="s">
        <v>28</v>
      </c>
      <c r="P393">
        <v>74536217</v>
      </c>
    </row>
    <row r="394" spans="1:16" ht="14.25" x14ac:dyDescent="0.2">
      <c r="A394">
        <v>54</v>
      </c>
      <c r="B394" t="s">
        <v>22</v>
      </c>
      <c r="C394" t="s">
        <v>23</v>
      </c>
      <c r="D394">
        <v>5</v>
      </c>
      <c r="E394">
        <v>2</v>
      </c>
      <c r="F394" t="s">
        <v>29</v>
      </c>
      <c r="G394">
        <v>1</v>
      </c>
      <c r="H394">
        <v>1</v>
      </c>
      <c r="I394" t="s">
        <v>24</v>
      </c>
      <c r="J394">
        <v>19406</v>
      </c>
      <c r="K394">
        <v>4</v>
      </c>
      <c r="L394">
        <v>2</v>
      </c>
      <c r="M394">
        <v>4</v>
      </c>
      <c r="N394" t="s">
        <v>25</v>
      </c>
      <c r="O394" t="s">
        <v>35</v>
      </c>
      <c r="P394">
        <v>18640144</v>
      </c>
    </row>
    <row r="395" spans="1:16" ht="14.25" x14ac:dyDescent="0.2">
      <c r="A395">
        <v>34</v>
      </c>
      <c r="B395" t="s">
        <v>22</v>
      </c>
      <c r="C395" t="s">
        <v>17</v>
      </c>
      <c r="D395">
        <v>4</v>
      </c>
      <c r="E395">
        <v>4</v>
      </c>
      <c r="F395" t="s">
        <v>36</v>
      </c>
      <c r="G395">
        <v>3</v>
      </c>
      <c r="H395">
        <v>3</v>
      </c>
      <c r="I395" t="s">
        <v>24</v>
      </c>
      <c r="J395">
        <v>6538</v>
      </c>
      <c r="K395">
        <v>9</v>
      </c>
      <c r="L395">
        <v>3</v>
      </c>
      <c r="M395">
        <v>3</v>
      </c>
      <c r="N395" t="s">
        <v>20</v>
      </c>
      <c r="O395" t="s">
        <v>21</v>
      </c>
      <c r="P395">
        <v>41243201</v>
      </c>
    </row>
    <row r="396" spans="1:16" ht="14.25" x14ac:dyDescent="0.2">
      <c r="A396">
        <v>31</v>
      </c>
      <c r="B396" t="s">
        <v>22</v>
      </c>
      <c r="C396" t="s">
        <v>23</v>
      </c>
      <c r="D396">
        <v>7</v>
      </c>
      <c r="E396">
        <v>2</v>
      </c>
      <c r="F396" t="s">
        <v>29</v>
      </c>
      <c r="G396">
        <v>2</v>
      </c>
      <c r="H396">
        <v>1</v>
      </c>
      <c r="I396" t="s">
        <v>24</v>
      </c>
      <c r="J396">
        <v>4306</v>
      </c>
      <c r="K396">
        <v>1</v>
      </c>
      <c r="L396">
        <v>1</v>
      </c>
      <c r="M396">
        <v>13</v>
      </c>
      <c r="N396" t="s">
        <v>20</v>
      </c>
      <c r="O396" t="s">
        <v>31</v>
      </c>
      <c r="P396">
        <v>31226141</v>
      </c>
    </row>
    <row r="397" spans="1:16" ht="14.25" x14ac:dyDescent="0.2">
      <c r="A397">
        <v>43</v>
      </c>
      <c r="B397" t="s">
        <v>22</v>
      </c>
      <c r="C397" t="s">
        <v>23</v>
      </c>
      <c r="D397">
        <v>21</v>
      </c>
      <c r="E397">
        <v>3</v>
      </c>
      <c r="F397" t="s">
        <v>29</v>
      </c>
      <c r="G397">
        <v>4</v>
      </c>
      <c r="H397">
        <v>4</v>
      </c>
      <c r="I397" t="s">
        <v>24</v>
      </c>
      <c r="J397">
        <v>2258</v>
      </c>
      <c r="K397">
        <v>7</v>
      </c>
      <c r="L397">
        <v>3</v>
      </c>
      <c r="M397">
        <v>3</v>
      </c>
      <c r="N397" t="s">
        <v>25</v>
      </c>
      <c r="O397" t="s">
        <v>28</v>
      </c>
      <c r="P397">
        <v>63697836</v>
      </c>
    </row>
    <row r="398" spans="1:16" ht="14.25" x14ac:dyDescent="0.2">
      <c r="A398">
        <v>43</v>
      </c>
      <c r="B398" t="s">
        <v>22</v>
      </c>
      <c r="C398" t="s">
        <v>23</v>
      </c>
      <c r="D398">
        <v>8</v>
      </c>
      <c r="E398">
        <v>4</v>
      </c>
      <c r="F398" t="s">
        <v>27</v>
      </c>
      <c r="G398">
        <v>3</v>
      </c>
      <c r="H398">
        <v>3</v>
      </c>
      <c r="I398" t="s">
        <v>30</v>
      </c>
      <c r="J398">
        <v>4522</v>
      </c>
      <c r="K398">
        <v>4</v>
      </c>
      <c r="L398">
        <v>3</v>
      </c>
      <c r="M398">
        <v>5</v>
      </c>
      <c r="N398" t="s">
        <v>20</v>
      </c>
      <c r="O398" t="s">
        <v>32</v>
      </c>
      <c r="P398">
        <v>26005340</v>
      </c>
    </row>
    <row r="399" spans="1:16" ht="14.25" x14ac:dyDescent="0.2">
      <c r="A399">
        <v>25</v>
      </c>
      <c r="B399" t="s">
        <v>22</v>
      </c>
      <c r="C399" t="s">
        <v>17</v>
      </c>
      <c r="D399">
        <v>4</v>
      </c>
      <c r="E399">
        <v>2</v>
      </c>
      <c r="F399" t="s">
        <v>18</v>
      </c>
      <c r="G399">
        <v>2</v>
      </c>
      <c r="H399">
        <v>4</v>
      </c>
      <c r="I399" t="s">
        <v>19</v>
      </c>
      <c r="J399">
        <v>4487</v>
      </c>
      <c r="K399">
        <v>1</v>
      </c>
      <c r="L399">
        <v>3</v>
      </c>
      <c r="M399">
        <v>5</v>
      </c>
      <c r="N399" t="s">
        <v>20</v>
      </c>
      <c r="O399" t="s">
        <v>21</v>
      </c>
      <c r="P399">
        <v>73444675</v>
      </c>
    </row>
    <row r="400" spans="1:16" ht="14.25" x14ac:dyDescent="0.2">
      <c r="A400">
        <v>37</v>
      </c>
      <c r="B400" t="s">
        <v>22</v>
      </c>
      <c r="C400" t="s">
        <v>23</v>
      </c>
      <c r="D400">
        <v>25</v>
      </c>
      <c r="E400">
        <v>5</v>
      </c>
      <c r="F400" t="s">
        <v>29</v>
      </c>
      <c r="G400">
        <v>2</v>
      </c>
      <c r="H400">
        <v>3</v>
      </c>
      <c r="I400" t="s">
        <v>24</v>
      </c>
      <c r="J400">
        <v>4449</v>
      </c>
      <c r="K400">
        <v>3</v>
      </c>
      <c r="L400">
        <v>3</v>
      </c>
      <c r="M400">
        <v>13</v>
      </c>
      <c r="N400" t="s">
        <v>20</v>
      </c>
      <c r="O400" t="s">
        <v>26</v>
      </c>
      <c r="P400">
        <v>78273666</v>
      </c>
    </row>
    <row r="401" spans="1:16" ht="14.25" x14ac:dyDescent="0.2">
      <c r="A401">
        <v>31</v>
      </c>
      <c r="B401" t="s">
        <v>22</v>
      </c>
      <c r="C401" t="s">
        <v>23</v>
      </c>
      <c r="D401">
        <v>1</v>
      </c>
      <c r="E401">
        <v>2</v>
      </c>
      <c r="F401" t="s">
        <v>18</v>
      </c>
      <c r="G401">
        <v>4</v>
      </c>
      <c r="H401">
        <v>1</v>
      </c>
      <c r="I401" t="s">
        <v>24</v>
      </c>
      <c r="J401">
        <v>2218</v>
      </c>
      <c r="K401">
        <v>1</v>
      </c>
      <c r="L401">
        <v>3</v>
      </c>
      <c r="M401">
        <v>4</v>
      </c>
      <c r="N401" t="s">
        <v>25</v>
      </c>
      <c r="O401" t="s">
        <v>28</v>
      </c>
      <c r="P401">
        <v>18327039</v>
      </c>
    </row>
    <row r="402" spans="1:16" ht="14.25" x14ac:dyDescent="0.2">
      <c r="A402">
        <v>39</v>
      </c>
      <c r="B402" t="s">
        <v>22</v>
      </c>
      <c r="C402" t="s">
        <v>23</v>
      </c>
      <c r="D402">
        <v>1</v>
      </c>
      <c r="E402">
        <v>1</v>
      </c>
      <c r="F402" t="s">
        <v>18</v>
      </c>
      <c r="G402">
        <v>2</v>
      </c>
      <c r="H402">
        <v>3</v>
      </c>
      <c r="I402" t="s">
        <v>30</v>
      </c>
      <c r="J402">
        <v>19197</v>
      </c>
      <c r="K402">
        <v>1</v>
      </c>
      <c r="L402">
        <v>3</v>
      </c>
      <c r="M402">
        <v>21</v>
      </c>
      <c r="N402" t="s">
        <v>25</v>
      </c>
      <c r="O402" t="s">
        <v>33</v>
      </c>
      <c r="P402">
        <v>70749356</v>
      </c>
    </row>
    <row r="403" spans="1:16" ht="14.25" x14ac:dyDescent="0.2">
      <c r="A403">
        <v>56</v>
      </c>
      <c r="B403" t="s">
        <v>22</v>
      </c>
      <c r="C403" t="s">
        <v>17</v>
      </c>
      <c r="D403">
        <v>6</v>
      </c>
      <c r="E403">
        <v>3</v>
      </c>
      <c r="F403" t="s">
        <v>18</v>
      </c>
      <c r="G403">
        <v>3</v>
      </c>
      <c r="H403">
        <v>1</v>
      </c>
      <c r="I403" t="s">
        <v>24</v>
      </c>
      <c r="J403">
        <v>13212</v>
      </c>
      <c r="K403">
        <v>9</v>
      </c>
      <c r="L403">
        <v>2</v>
      </c>
      <c r="M403">
        <v>7</v>
      </c>
      <c r="N403" t="s">
        <v>20</v>
      </c>
      <c r="O403" t="s">
        <v>21</v>
      </c>
      <c r="P403">
        <v>88975028</v>
      </c>
    </row>
    <row r="404" spans="1:16" ht="14.25" x14ac:dyDescent="0.2">
      <c r="A404">
        <v>30</v>
      </c>
      <c r="B404" t="s">
        <v>22</v>
      </c>
      <c r="C404" t="s">
        <v>17</v>
      </c>
      <c r="D404">
        <v>12</v>
      </c>
      <c r="E404">
        <v>3</v>
      </c>
      <c r="F404" t="s">
        <v>37</v>
      </c>
      <c r="G404">
        <v>2</v>
      </c>
      <c r="H404">
        <v>3</v>
      </c>
      <c r="I404" t="s">
        <v>19</v>
      </c>
      <c r="J404">
        <v>6577</v>
      </c>
      <c r="K404">
        <v>0</v>
      </c>
      <c r="L404">
        <v>3</v>
      </c>
      <c r="M404">
        <v>5</v>
      </c>
      <c r="N404" t="s">
        <v>20</v>
      </c>
      <c r="O404" t="s">
        <v>21</v>
      </c>
      <c r="P404">
        <v>41551420</v>
      </c>
    </row>
    <row r="405" spans="1:16" ht="14.25" x14ac:dyDescent="0.2">
      <c r="A405">
        <v>41</v>
      </c>
      <c r="B405" t="s">
        <v>22</v>
      </c>
      <c r="C405" t="s">
        <v>17</v>
      </c>
      <c r="D405">
        <v>1</v>
      </c>
      <c r="E405">
        <v>3</v>
      </c>
      <c r="F405" t="s">
        <v>36</v>
      </c>
      <c r="G405">
        <v>2</v>
      </c>
      <c r="H405">
        <v>1</v>
      </c>
      <c r="I405" t="s">
        <v>24</v>
      </c>
      <c r="J405">
        <v>8392</v>
      </c>
      <c r="K405">
        <v>1</v>
      </c>
      <c r="L405">
        <v>3</v>
      </c>
      <c r="M405">
        <v>10</v>
      </c>
      <c r="N405" t="s">
        <v>25</v>
      </c>
      <c r="O405" t="s">
        <v>21</v>
      </c>
      <c r="P405">
        <v>44045232</v>
      </c>
    </row>
    <row r="406" spans="1:16" ht="14.25" x14ac:dyDescent="0.2">
      <c r="A406">
        <v>28</v>
      </c>
      <c r="B406" t="s">
        <v>22</v>
      </c>
      <c r="C406" t="s">
        <v>23</v>
      </c>
      <c r="D406">
        <v>17</v>
      </c>
      <c r="E406">
        <v>2</v>
      </c>
      <c r="F406" t="s">
        <v>29</v>
      </c>
      <c r="G406">
        <v>3</v>
      </c>
      <c r="H406">
        <v>1</v>
      </c>
      <c r="I406" t="s">
        <v>30</v>
      </c>
      <c r="J406">
        <v>4558</v>
      </c>
      <c r="K406">
        <v>1</v>
      </c>
      <c r="L406">
        <v>3</v>
      </c>
      <c r="M406">
        <v>10</v>
      </c>
      <c r="N406" t="s">
        <v>25</v>
      </c>
      <c r="O406" t="s">
        <v>28</v>
      </c>
      <c r="P406">
        <v>81548209</v>
      </c>
    </row>
    <row r="407" spans="1:16" ht="14.25" x14ac:dyDescent="0.2">
      <c r="A407">
        <v>25</v>
      </c>
      <c r="B407" t="s">
        <v>16</v>
      </c>
      <c r="C407" t="s">
        <v>23</v>
      </c>
      <c r="D407">
        <v>3</v>
      </c>
      <c r="E407">
        <v>3</v>
      </c>
      <c r="F407" t="s">
        <v>29</v>
      </c>
      <c r="G407">
        <v>1</v>
      </c>
      <c r="H407">
        <v>1</v>
      </c>
      <c r="I407" t="s">
        <v>24</v>
      </c>
      <c r="J407">
        <v>4031</v>
      </c>
      <c r="K407">
        <v>5</v>
      </c>
      <c r="L407">
        <v>3</v>
      </c>
      <c r="M407">
        <v>2</v>
      </c>
      <c r="N407" t="s">
        <v>25</v>
      </c>
      <c r="O407" t="s">
        <v>28</v>
      </c>
      <c r="P407">
        <v>77866370</v>
      </c>
    </row>
    <row r="408" spans="1:16" ht="14.25" x14ac:dyDescent="0.2">
      <c r="A408">
        <v>52</v>
      </c>
      <c r="B408" t="s">
        <v>22</v>
      </c>
      <c r="C408" t="s">
        <v>23</v>
      </c>
      <c r="D408">
        <v>3</v>
      </c>
      <c r="E408">
        <v>3</v>
      </c>
      <c r="F408" t="s">
        <v>29</v>
      </c>
      <c r="G408">
        <v>4</v>
      </c>
      <c r="H408">
        <v>3</v>
      </c>
      <c r="I408" t="s">
        <v>24</v>
      </c>
      <c r="J408">
        <v>7969</v>
      </c>
      <c r="K408">
        <v>2</v>
      </c>
      <c r="L408">
        <v>3</v>
      </c>
      <c r="M408">
        <v>5</v>
      </c>
      <c r="N408" t="s">
        <v>25</v>
      </c>
      <c r="O408" t="s">
        <v>31</v>
      </c>
      <c r="P408">
        <v>25691813</v>
      </c>
    </row>
    <row r="409" spans="1:16" ht="14.25" x14ac:dyDescent="0.2">
      <c r="A409">
        <v>45</v>
      </c>
      <c r="B409" t="s">
        <v>22</v>
      </c>
      <c r="C409" t="s">
        <v>23</v>
      </c>
      <c r="D409">
        <v>10</v>
      </c>
      <c r="E409">
        <v>2</v>
      </c>
      <c r="F409" t="s">
        <v>18</v>
      </c>
      <c r="G409">
        <v>1</v>
      </c>
      <c r="H409">
        <v>4</v>
      </c>
      <c r="I409" t="s">
        <v>24</v>
      </c>
      <c r="J409">
        <v>2654</v>
      </c>
      <c r="K409">
        <v>3</v>
      </c>
      <c r="L409">
        <v>2</v>
      </c>
      <c r="M409">
        <v>2</v>
      </c>
      <c r="N409" t="s">
        <v>25</v>
      </c>
      <c r="O409" t="s">
        <v>26</v>
      </c>
      <c r="P409">
        <v>15729152</v>
      </c>
    </row>
    <row r="410" spans="1:16" ht="14.25" x14ac:dyDescent="0.2">
      <c r="A410">
        <v>52</v>
      </c>
      <c r="B410" t="s">
        <v>22</v>
      </c>
      <c r="C410" t="s">
        <v>23</v>
      </c>
      <c r="D410">
        <v>4</v>
      </c>
      <c r="E410">
        <v>2</v>
      </c>
      <c r="F410" t="s">
        <v>18</v>
      </c>
      <c r="G410">
        <v>4</v>
      </c>
      <c r="H410">
        <v>4</v>
      </c>
      <c r="I410" t="s">
        <v>24</v>
      </c>
      <c r="J410">
        <v>16555</v>
      </c>
      <c r="K410">
        <v>2</v>
      </c>
      <c r="L410">
        <v>1</v>
      </c>
      <c r="M410">
        <v>5</v>
      </c>
      <c r="N410" t="s">
        <v>20</v>
      </c>
      <c r="O410" t="s">
        <v>33</v>
      </c>
      <c r="P410">
        <v>81981661</v>
      </c>
    </row>
    <row r="411" spans="1:16" ht="14.25" x14ac:dyDescent="0.2">
      <c r="A411">
        <v>42</v>
      </c>
      <c r="B411" t="s">
        <v>22</v>
      </c>
      <c r="C411" t="s">
        <v>23</v>
      </c>
      <c r="D411">
        <v>29</v>
      </c>
      <c r="E411">
        <v>2</v>
      </c>
      <c r="F411" t="s">
        <v>18</v>
      </c>
      <c r="G411">
        <v>1</v>
      </c>
      <c r="H411">
        <v>3</v>
      </c>
      <c r="I411" t="s">
        <v>30</v>
      </c>
      <c r="J411">
        <v>4556</v>
      </c>
      <c r="K411">
        <v>2</v>
      </c>
      <c r="L411">
        <v>3</v>
      </c>
      <c r="M411">
        <v>5</v>
      </c>
      <c r="N411" t="s">
        <v>20</v>
      </c>
      <c r="O411" t="s">
        <v>26</v>
      </c>
      <c r="P411">
        <v>27102070</v>
      </c>
    </row>
    <row r="412" spans="1:16" ht="14.25" x14ac:dyDescent="0.2">
      <c r="A412">
        <v>30</v>
      </c>
      <c r="B412" t="s">
        <v>22</v>
      </c>
      <c r="C412" t="s">
        <v>23</v>
      </c>
      <c r="D412">
        <v>2</v>
      </c>
      <c r="E412">
        <v>3</v>
      </c>
      <c r="F412" t="s">
        <v>18</v>
      </c>
      <c r="G412">
        <v>3</v>
      </c>
      <c r="H412">
        <v>4</v>
      </c>
      <c r="I412" t="s">
        <v>19</v>
      </c>
      <c r="J412">
        <v>6091</v>
      </c>
      <c r="K412">
        <v>2</v>
      </c>
      <c r="L412">
        <v>3</v>
      </c>
      <c r="M412">
        <v>5</v>
      </c>
      <c r="N412" t="s">
        <v>20</v>
      </c>
      <c r="O412" t="s">
        <v>31</v>
      </c>
      <c r="P412">
        <v>53814025</v>
      </c>
    </row>
    <row r="413" spans="1:16" ht="14.25" x14ac:dyDescent="0.2">
      <c r="A413">
        <v>60</v>
      </c>
      <c r="B413" t="s">
        <v>22</v>
      </c>
      <c r="C413" t="s">
        <v>23</v>
      </c>
      <c r="D413">
        <v>7</v>
      </c>
      <c r="E413">
        <v>3</v>
      </c>
      <c r="F413" t="s">
        <v>18</v>
      </c>
      <c r="G413">
        <v>1</v>
      </c>
      <c r="H413">
        <v>1</v>
      </c>
      <c r="I413" t="s">
        <v>24</v>
      </c>
      <c r="J413">
        <v>19566</v>
      </c>
      <c r="K413">
        <v>5</v>
      </c>
      <c r="L413">
        <v>1</v>
      </c>
      <c r="M413">
        <v>29</v>
      </c>
      <c r="N413" t="s">
        <v>20</v>
      </c>
      <c r="O413" t="s">
        <v>33</v>
      </c>
      <c r="P413">
        <v>72039115</v>
      </c>
    </row>
    <row r="414" spans="1:16" ht="14.25" x14ac:dyDescent="0.2">
      <c r="A414">
        <v>46</v>
      </c>
      <c r="B414" t="s">
        <v>22</v>
      </c>
      <c r="C414" t="s">
        <v>23</v>
      </c>
      <c r="D414">
        <v>18</v>
      </c>
      <c r="E414">
        <v>3</v>
      </c>
      <c r="F414" t="s">
        <v>29</v>
      </c>
      <c r="G414">
        <v>3</v>
      </c>
      <c r="H414">
        <v>3</v>
      </c>
      <c r="I414" t="s">
        <v>30</v>
      </c>
      <c r="J414">
        <v>4810</v>
      </c>
      <c r="K414">
        <v>2</v>
      </c>
      <c r="L414">
        <v>2</v>
      </c>
      <c r="M414">
        <v>10</v>
      </c>
      <c r="N414" t="s">
        <v>20</v>
      </c>
      <c r="O414" t="s">
        <v>31</v>
      </c>
      <c r="P414">
        <v>18342288</v>
      </c>
    </row>
    <row r="415" spans="1:16" ht="14.25" x14ac:dyDescent="0.2">
      <c r="A415">
        <v>42</v>
      </c>
      <c r="B415" t="s">
        <v>22</v>
      </c>
      <c r="C415" t="s">
        <v>23</v>
      </c>
      <c r="D415">
        <v>28</v>
      </c>
      <c r="E415">
        <v>4</v>
      </c>
      <c r="F415" t="s">
        <v>37</v>
      </c>
      <c r="G415">
        <v>4</v>
      </c>
      <c r="H415">
        <v>4</v>
      </c>
      <c r="I415" t="s">
        <v>24</v>
      </c>
      <c r="J415">
        <v>4523</v>
      </c>
      <c r="K415">
        <v>0</v>
      </c>
      <c r="L415">
        <v>4</v>
      </c>
      <c r="M415">
        <v>6</v>
      </c>
      <c r="N415" t="s">
        <v>20</v>
      </c>
      <c r="O415" t="s">
        <v>32</v>
      </c>
      <c r="P415">
        <v>85756803</v>
      </c>
    </row>
    <row r="416" spans="1:16" ht="14.25" x14ac:dyDescent="0.2">
      <c r="A416">
        <v>24</v>
      </c>
      <c r="B416" t="s">
        <v>16</v>
      </c>
      <c r="C416" t="s">
        <v>17</v>
      </c>
      <c r="D416">
        <v>1</v>
      </c>
      <c r="E416">
        <v>1</v>
      </c>
      <c r="F416" t="s">
        <v>37</v>
      </c>
      <c r="G416">
        <v>1</v>
      </c>
      <c r="H416">
        <v>2</v>
      </c>
      <c r="I416" t="s">
        <v>19</v>
      </c>
      <c r="J416">
        <v>3202</v>
      </c>
      <c r="K416">
        <v>1</v>
      </c>
      <c r="L416">
        <v>3</v>
      </c>
      <c r="M416">
        <v>5</v>
      </c>
      <c r="N416" t="s">
        <v>20</v>
      </c>
      <c r="O416" t="s">
        <v>34</v>
      </c>
      <c r="P416">
        <v>86367380</v>
      </c>
    </row>
    <row r="417" spans="1:16" ht="14.25" x14ac:dyDescent="0.2">
      <c r="A417">
        <v>34</v>
      </c>
      <c r="B417" t="s">
        <v>16</v>
      </c>
      <c r="C417" t="s">
        <v>17</v>
      </c>
      <c r="D417">
        <v>6</v>
      </c>
      <c r="E417">
        <v>2</v>
      </c>
      <c r="F417" t="s">
        <v>36</v>
      </c>
      <c r="G417">
        <v>4</v>
      </c>
      <c r="H417">
        <v>3</v>
      </c>
      <c r="I417" t="s">
        <v>30</v>
      </c>
      <c r="J417">
        <v>2351</v>
      </c>
      <c r="K417">
        <v>0</v>
      </c>
      <c r="L417">
        <v>2</v>
      </c>
      <c r="M417">
        <v>2</v>
      </c>
      <c r="N417" t="s">
        <v>20</v>
      </c>
      <c r="O417" t="s">
        <v>34</v>
      </c>
      <c r="P417">
        <v>33560133</v>
      </c>
    </row>
    <row r="418" spans="1:16" ht="14.25" x14ac:dyDescent="0.2">
      <c r="A418">
        <v>38</v>
      </c>
      <c r="B418" t="s">
        <v>22</v>
      </c>
      <c r="C418" t="s">
        <v>23</v>
      </c>
      <c r="D418">
        <v>2</v>
      </c>
      <c r="E418">
        <v>2</v>
      </c>
      <c r="F418" t="s">
        <v>18</v>
      </c>
      <c r="G418">
        <v>4</v>
      </c>
      <c r="H418">
        <v>4</v>
      </c>
      <c r="I418" t="s">
        <v>24</v>
      </c>
      <c r="J418">
        <v>1702</v>
      </c>
      <c r="K418">
        <v>1</v>
      </c>
      <c r="L418">
        <v>3</v>
      </c>
      <c r="M418">
        <v>1</v>
      </c>
      <c r="N418" t="s">
        <v>25</v>
      </c>
      <c r="O418" t="s">
        <v>28</v>
      </c>
      <c r="P418">
        <v>32489310</v>
      </c>
    </row>
    <row r="419" spans="1:16" ht="14.25" x14ac:dyDescent="0.2">
      <c r="A419">
        <v>40</v>
      </c>
      <c r="B419" t="s">
        <v>22</v>
      </c>
      <c r="C419" t="s">
        <v>17</v>
      </c>
      <c r="D419">
        <v>2</v>
      </c>
      <c r="E419">
        <v>4</v>
      </c>
      <c r="F419" t="s">
        <v>18</v>
      </c>
      <c r="G419">
        <v>3</v>
      </c>
      <c r="H419">
        <v>3</v>
      </c>
      <c r="I419" t="s">
        <v>24</v>
      </c>
      <c r="J419">
        <v>18041</v>
      </c>
      <c r="K419">
        <v>0</v>
      </c>
      <c r="L419">
        <v>3</v>
      </c>
      <c r="M419">
        <v>20</v>
      </c>
      <c r="N419" t="s">
        <v>20</v>
      </c>
      <c r="O419" t="s">
        <v>33</v>
      </c>
      <c r="P419">
        <v>77848008</v>
      </c>
    </row>
    <row r="420" spans="1:16" ht="14.25" x14ac:dyDescent="0.2">
      <c r="A420">
        <v>26</v>
      </c>
      <c r="B420" t="s">
        <v>22</v>
      </c>
      <c r="C420" t="s">
        <v>23</v>
      </c>
      <c r="D420">
        <v>23</v>
      </c>
      <c r="E420">
        <v>3</v>
      </c>
      <c r="F420" t="s">
        <v>18</v>
      </c>
      <c r="G420">
        <v>1</v>
      </c>
      <c r="H420">
        <v>4</v>
      </c>
      <c r="I420" t="s">
        <v>30</v>
      </c>
      <c r="J420">
        <v>2886</v>
      </c>
      <c r="K420">
        <v>1</v>
      </c>
      <c r="L420">
        <v>1</v>
      </c>
      <c r="M420">
        <v>3</v>
      </c>
      <c r="N420" t="s">
        <v>20</v>
      </c>
      <c r="O420" t="s">
        <v>26</v>
      </c>
      <c r="P420">
        <v>17637652</v>
      </c>
    </row>
    <row r="421" spans="1:16" ht="14.25" x14ac:dyDescent="0.2">
      <c r="A421">
        <v>30</v>
      </c>
      <c r="B421" t="s">
        <v>22</v>
      </c>
      <c r="C421" t="s">
        <v>23</v>
      </c>
      <c r="D421">
        <v>3</v>
      </c>
      <c r="E421">
        <v>3</v>
      </c>
      <c r="F421" t="s">
        <v>18</v>
      </c>
      <c r="G421">
        <v>3</v>
      </c>
      <c r="H421">
        <v>4</v>
      </c>
      <c r="I421" t="s">
        <v>24</v>
      </c>
      <c r="J421">
        <v>2097</v>
      </c>
      <c r="K421">
        <v>4</v>
      </c>
      <c r="L421">
        <v>1</v>
      </c>
      <c r="M421">
        <v>5</v>
      </c>
      <c r="N421" t="s">
        <v>25</v>
      </c>
      <c r="O421" t="s">
        <v>28</v>
      </c>
      <c r="P421">
        <v>52669884</v>
      </c>
    </row>
    <row r="422" spans="1:16" ht="14.25" x14ac:dyDescent="0.2">
      <c r="A422">
        <v>29</v>
      </c>
      <c r="B422" t="s">
        <v>22</v>
      </c>
      <c r="C422" t="s">
        <v>23</v>
      </c>
      <c r="D422">
        <v>3</v>
      </c>
      <c r="E422">
        <v>4</v>
      </c>
      <c r="F422" t="s">
        <v>29</v>
      </c>
      <c r="G422">
        <v>2</v>
      </c>
      <c r="H422">
        <v>3</v>
      </c>
      <c r="I422" t="s">
        <v>24</v>
      </c>
      <c r="J422">
        <v>11935</v>
      </c>
      <c r="K422">
        <v>1</v>
      </c>
      <c r="L422">
        <v>3</v>
      </c>
      <c r="M422">
        <v>10</v>
      </c>
      <c r="N422" t="s">
        <v>25</v>
      </c>
      <c r="O422" t="s">
        <v>35</v>
      </c>
      <c r="P422">
        <v>87140652</v>
      </c>
    </row>
    <row r="423" spans="1:16" ht="14.25" x14ac:dyDescent="0.2">
      <c r="A423">
        <v>29</v>
      </c>
      <c r="B423" t="s">
        <v>16</v>
      </c>
      <c r="C423" t="s">
        <v>23</v>
      </c>
      <c r="D423">
        <v>25</v>
      </c>
      <c r="E423">
        <v>5</v>
      </c>
      <c r="F423" t="s">
        <v>37</v>
      </c>
      <c r="G423">
        <v>3</v>
      </c>
      <c r="H423">
        <v>2</v>
      </c>
      <c r="I423" t="s">
        <v>24</v>
      </c>
      <c r="J423">
        <v>2546</v>
      </c>
      <c r="K423">
        <v>5</v>
      </c>
      <c r="L423">
        <v>4</v>
      </c>
      <c r="M423">
        <v>2</v>
      </c>
      <c r="N423" t="s">
        <v>20</v>
      </c>
      <c r="O423" t="s">
        <v>26</v>
      </c>
      <c r="P423">
        <v>85617911</v>
      </c>
    </row>
    <row r="424" spans="1:16" ht="14.25" x14ac:dyDescent="0.2">
      <c r="A424">
        <v>19</v>
      </c>
      <c r="B424" t="s">
        <v>16</v>
      </c>
      <c r="C424" t="s">
        <v>38</v>
      </c>
      <c r="D424">
        <v>2</v>
      </c>
      <c r="E424">
        <v>2</v>
      </c>
      <c r="F424" t="s">
        <v>37</v>
      </c>
      <c r="G424">
        <v>1</v>
      </c>
      <c r="H424">
        <v>4</v>
      </c>
      <c r="I424" t="s">
        <v>19</v>
      </c>
      <c r="J424">
        <v>2564</v>
      </c>
      <c r="K424">
        <v>1</v>
      </c>
      <c r="L424">
        <v>4</v>
      </c>
      <c r="M424">
        <v>1</v>
      </c>
      <c r="N424" t="s">
        <v>25</v>
      </c>
      <c r="O424" t="s">
        <v>38</v>
      </c>
      <c r="P424">
        <v>14442298</v>
      </c>
    </row>
    <row r="425" spans="1:16" ht="14.25" x14ac:dyDescent="0.2">
      <c r="A425">
        <v>30</v>
      </c>
      <c r="B425" t="s">
        <v>22</v>
      </c>
      <c r="C425" t="s">
        <v>17</v>
      </c>
      <c r="D425">
        <v>22</v>
      </c>
      <c r="E425">
        <v>4</v>
      </c>
      <c r="F425" t="s">
        <v>27</v>
      </c>
      <c r="G425">
        <v>3</v>
      </c>
      <c r="H425">
        <v>1</v>
      </c>
      <c r="I425" t="s">
        <v>24</v>
      </c>
      <c r="J425">
        <v>8412</v>
      </c>
      <c r="K425">
        <v>0</v>
      </c>
      <c r="L425">
        <v>3</v>
      </c>
      <c r="M425">
        <v>9</v>
      </c>
      <c r="N425" t="s">
        <v>20</v>
      </c>
      <c r="O425" t="s">
        <v>21</v>
      </c>
      <c r="P425">
        <v>73401218</v>
      </c>
    </row>
    <row r="426" spans="1:16" ht="14.25" x14ac:dyDescent="0.2">
      <c r="A426">
        <v>57</v>
      </c>
      <c r="B426" t="s">
        <v>22</v>
      </c>
      <c r="C426" t="s">
        <v>17</v>
      </c>
      <c r="D426">
        <v>29</v>
      </c>
      <c r="E426">
        <v>3</v>
      </c>
      <c r="F426" t="s">
        <v>36</v>
      </c>
      <c r="G426">
        <v>1</v>
      </c>
      <c r="H426">
        <v>4</v>
      </c>
      <c r="I426" t="s">
        <v>30</v>
      </c>
      <c r="J426">
        <v>14118</v>
      </c>
      <c r="K426">
        <v>3</v>
      </c>
      <c r="L426">
        <v>2</v>
      </c>
      <c r="M426">
        <v>1</v>
      </c>
      <c r="N426" t="s">
        <v>25</v>
      </c>
      <c r="O426" t="s">
        <v>33</v>
      </c>
      <c r="P426">
        <v>29342921</v>
      </c>
    </row>
    <row r="427" spans="1:16" ht="14.25" x14ac:dyDescent="0.2">
      <c r="A427">
        <v>50</v>
      </c>
      <c r="B427" t="s">
        <v>22</v>
      </c>
      <c r="C427" t="s">
        <v>23</v>
      </c>
      <c r="D427">
        <v>29</v>
      </c>
      <c r="E427">
        <v>4</v>
      </c>
      <c r="F427" t="s">
        <v>18</v>
      </c>
      <c r="G427">
        <v>2</v>
      </c>
      <c r="H427">
        <v>3</v>
      </c>
      <c r="I427" t="s">
        <v>24</v>
      </c>
      <c r="J427">
        <v>17046</v>
      </c>
      <c r="K427">
        <v>0</v>
      </c>
      <c r="L427">
        <v>3</v>
      </c>
      <c r="M427">
        <v>27</v>
      </c>
      <c r="N427" t="s">
        <v>25</v>
      </c>
      <c r="O427" t="s">
        <v>33</v>
      </c>
      <c r="P427">
        <v>36874379</v>
      </c>
    </row>
    <row r="428" spans="1:16" ht="14.25" x14ac:dyDescent="0.2">
      <c r="A428">
        <v>30</v>
      </c>
      <c r="B428" t="s">
        <v>22</v>
      </c>
      <c r="C428" t="s">
        <v>23</v>
      </c>
      <c r="D428">
        <v>2</v>
      </c>
      <c r="E428">
        <v>3</v>
      </c>
      <c r="F428" t="s">
        <v>29</v>
      </c>
      <c r="G428">
        <v>3</v>
      </c>
      <c r="H428">
        <v>4</v>
      </c>
      <c r="I428" t="s">
        <v>19</v>
      </c>
      <c r="J428">
        <v>2564</v>
      </c>
      <c r="K428">
        <v>0</v>
      </c>
      <c r="L428">
        <v>2</v>
      </c>
      <c r="M428">
        <v>11</v>
      </c>
      <c r="N428" t="s">
        <v>20</v>
      </c>
      <c r="O428" t="s">
        <v>28</v>
      </c>
      <c r="P428">
        <v>84323586</v>
      </c>
    </row>
    <row r="429" spans="1:16" ht="14.25" x14ac:dyDescent="0.2">
      <c r="A429">
        <v>60</v>
      </c>
      <c r="B429" t="s">
        <v>22</v>
      </c>
      <c r="C429" t="s">
        <v>17</v>
      </c>
      <c r="D429">
        <v>28</v>
      </c>
      <c r="E429">
        <v>3</v>
      </c>
      <c r="F429" t="s">
        <v>36</v>
      </c>
      <c r="G429">
        <v>3</v>
      </c>
      <c r="H429">
        <v>1</v>
      </c>
      <c r="I429" t="s">
        <v>24</v>
      </c>
      <c r="J429">
        <v>10266</v>
      </c>
      <c r="K429">
        <v>4</v>
      </c>
      <c r="L429">
        <v>4</v>
      </c>
      <c r="M429">
        <v>18</v>
      </c>
      <c r="N429" t="s">
        <v>20</v>
      </c>
      <c r="O429" t="s">
        <v>21</v>
      </c>
      <c r="P429">
        <v>60112556</v>
      </c>
    </row>
    <row r="430" spans="1:16" ht="14.25" x14ac:dyDescent="0.2">
      <c r="A430">
        <v>47</v>
      </c>
      <c r="B430" t="s">
        <v>22</v>
      </c>
      <c r="C430" t="s">
        <v>23</v>
      </c>
      <c r="D430">
        <v>2</v>
      </c>
      <c r="E430">
        <v>2</v>
      </c>
      <c r="F430" t="s">
        <v>29</v>
      </c>
      <c r="G430">
        <v>1</v>
      </c>
      <c r="H430">
        <v>4</v>
      </c>
      <c r="I430" t="s">
        <v>30</v>
      </c>
      <c r="J430">
        <v>5070</v>
      </c>
      <c r="K430">
        <v>5</v>
      </c>
      <c r="L430">
        <v>3</v>
      </c>
      <c r="M430">
        <v>5</v>
      </c>
      <c r="N430" t="s">
        <v>20</v>
      </c>
      <c r="O430" t="s">
        <v>31</v>
      </c>
      <c r="P430">
        <v>41920556</v>
      </c>
    </row>
    <row r="431" spans="1:16" ht="14.25" x14ac:dyDescent="0.2">
      <c r="A431">
        <v>46</v>
      </c>
      <c r="B431" t="s">
        <v>22</v>
      </c>
      <c r="C431" t="s">
        <v>23</v>
      </c>
      <c r="D431">
        <v>2</v>
      </c>
      <c r="E431">
        <v>3</v>
      </c>
      <c r="F431" t="s">
        <v>18</v>
      </c>
      <c r="G431">
        <v>1</v>
      </c>
      <c r="H431">
        <v>3</v>
      </c>
      <c r="I431" t="s">
        <v>24</v>
      </c>
      <c r="J431">
        <v>17861</v>
      </c>
      <c r="K431">
        <v>6</v>
      </c>
      <c r="L431">
        <v>1</v>
      </c>
      <c r="M431">
        <v>3</v>
      </c>
      <c r="N431" t="s">
        <v>25</v>
      </c>
      <c r="O431" t="s">
        <v>35</v>
      </c>
      <c r="P431">
        <v>83413978</v>
      </c>
    </row>
    <row r="432" spans="1:16" ht="14.25" x14ac:dyDescent="0.2">
      <c r="A432">
        <v>35</v>
      </c>
      <c r="B432" t="s">
        <v>22</v>
      </c>
      <c r="C432" t="s">
        <v>23</v>
      </c>
      <c r="D432">
        <v>22</v>
      </c>
      <c r="E432">
        <v>3</v>
      </c>
      <c r="F432" t="s">
        <v>18</v>
      </c>
      <c r="G432">
        <v>4</v>
      </c>
      <c r="H432">
        <v>3</v>
      </c>
      <c r="I432" t="s">
        <v>19</v>
      </c>
      <c r="J432">
        <v>4230</v>
      </c>
      <c r="K432">
        <v>0</v>
      </c>
      <c r="L432">
        <v>3</v>
      </c>
      <c r="M432">
        <v>5</v>
      </c>
      <c r="N432" t="s">
        <v>25</v>
      </c>
      <c r="O432" t="s">
        <v>28</v>
      </c>
      <c r="P432">
        <v>46290929</v>
      </c>
    </row>
    <row r="433" spans="1:16" ht="14.25" x14ac:dyDescent="0.2">
      <c r="A433">
        <v>54</v>
      </c>
      <c r="B433" t="s">
        <v>22</v>
      </c>
      <c r="C433" t="s">
        <v>23</v>
      </c>
      <c r="D433">
        <v>8</v>
      </c>
      <c r="E433">
        <v>4</v>
      </c>
      <c r="F433" t="s">
        <v>18</v>
      </c>
      <c r="G433">
        <v>3</v>
      </c>
      <c r="H433">
        <v>3</v>
      </c>
      <c r="I433" t="s">
        <v>19</v>
      </c>
      <c r="J433">
        <v>3780</v>
      </c>
      <c r="K433">
        <v>7</v>
      </c>
      <c r="L433">
        <v>3</v>
      </c>
      <c r="M433">
        <v>1</v>
      </c>
      <c r="N433" t="s">
        <v>20</v>
      </c>
      <c r="O433" t="s">
        <v>28</v>
      </c>
      <c r="P433">
        <v>22052339</v>
      </c>
    </row>
    <row r="434" spans="1:16" ht="14.25" x14ac:dyDescent="0.2">
      <c r="A434">
        <v>34</v>
      </c>
      <c r="B434" t="s">
        <v>22</v>
      </c>
      <c r="C434" t="s">
        <v>23</v>
      </c>
      <c r="D434">
        <v>2</v>
      </c>
      <c r="E434">
        <v>4</v>
      </c>
      <c r="F434" t="s">
        <v>18</v>
      </c>
      <c r="G434">
        <v>4</v>
      </c>
      <c r="H434">
        <v>3</v>
      </c>
      <c r="I434" t="s">
        <v>30</v>
      </c>
      <c r="J434">
        <v>2768</v>
      </c>
      <c r="K434">
        <v>3</v>
      </c>
      <c r="L434">
        <v>3</v>
      </c>
      <c r="M434">
        <v>7</v>
      </c>
      <c r="N434" t="s">
        <v>25</v>
      </c>
      <c r="O434" t="s">
        <v>26</v>
      </c>
      <c r="P434">
        <v>38289961</v>
      </c>
    </row>
    <row r="435" spans="1:16" ht="14.25" x14ac:dyDescent="0.2">
      <c r="A435">
        <v>46</v>
      </c>
      <c r="B435" t="s">
        <v>22</v>
      </c>
      <c r="C435" t="s">
        <v>17</v>
      </c>
      <c r="D435">
        <v>10</v>
      </c>
      <c r="E435">
        <v>3</v>
      </c>
      <c r="F435" t="s">
        <v>36</v>
      </c>
      <c r="G435">
        <v>3</v>
      </c>
      <c r="H435">
        <v>4</v>
      </c>
      <c r="I435" t="s">
        <v>24</v>
      </c>
      <c r="J435">
        <v>9071</v>
      </c>
      <c r="K435">
        <v>2</v>
      </c>
      <c r="L435">
        <v>3</v>
      </c>
      <c r="M435">
        <v>3</v>
      </c>
      <c r="N435" t="s">
        <v>20</v>
      </c>
      <c r="O435" t="s">
        <v>21</v>
      </c>
      <c r="P435">
        <v>67313910</v>
      </c>
    </row>
    <row r="436" spans="1:16" ht="14.25" x14ac:dyDescent="0.2">
      <c r="A436">
        <v>31</v>
      </c>
      <c r="B436" t="s">
        <v>22</v>
      </c>
      <c r="C436" t="s">
        <v>23</v>
      </c>
      <c r="D436">
        <v>9</v>
      </c>
      <c r="E436">
        <v>1</v>
      </c>
      <c r="F436" t="s">
        <v>18</v>
      </c>
      <c r="G436">
        <v>3</v>
      </c>
      <c r="H436">
        <v>2</v>
      </c>
      <c r="I436" t="s">
        <v>30</v>
      </c>
      <c r="J436">
        <v>10648</v>
      </c>
      <c r="K436">
        <v>1</v>
      </c>
      <c r="L436">
        <v>4</v>
      </c>
      <c r="M436">
        <v>13</v>
      </c>
      <c r="N436" t="s">
        <v>25</v>
      </c>
      <c r="O436" t="s">
        <v>31</v>
      </c>
      <c r="P436">
        <v>72813068</v>
      </c>
    </row>
    <row r="437" spans="1:16" ht="14.25" x14ac:dyDescent="0.2">
      <c r="A437">
        <v>33</v>
      </c>
      <c r="B437" t="s">
        <v>16</v>
      </c>
      <c r="C437" t="s">
        <v>23</v>
      </c>
      <c r="D437">
        <v>15</v>
      </c>
      <c r="E437">
        <v>1</v>
      </c>
      <c r="F437" t="s">
        <v>29</v>
      </c>
      <c r="G437">
        <v>2</v>
      </c>
      <c r="H437">
        <v>3</v>
      </c>
      <c r="I437" t="s">
        <v>24</v>
      </c>
      <c r="J437">
        <v>13610</v>
      </c>
      <c r="K437">
        <v>7</v>
      </c>
      <c r="L437">
        <v>4</v>
      </c>
      <c r="M437">
        <v>7</v>
      </c>
      <c r="N437" t="s">
        <v>25</v>
      </c>
      <c r="O437" t="s">
        <v>33</v>
      </c>
      <c r="P437">
        <v>66842655</v>
      </c>
    </row>
    <row r="438" spans="1:16" ht="14.25" x14ac:dyDescent="0.2">
      <c r="A438">
        <v>33</v>
      </c>
      <c r="B438" t="s">
        <v>16</v>
      </c>
      <c r="C438" t="s">
        <v>23</v>
      </c>
      <c r="D438">
        <v>10</v>
      </c>
      <c r="E438">
        <v>1</v>
      </c>
      <c r="F438" t="s">
        <v>29</v>
      </c>
      <c r="G438">
        <v>1</v>
      </c>
      <c r="H438">
        <v>4</v>
      </c>
      <c r="I438" t="s">
        <v>30</v>
      </c>
      <c r="J438">
        <v>3408</v>
      </c>
      <c r="K438">
        <v>7</v>
      </c>
      <c r="L438">
        <v>3</v>
      </c>
      <c r="M438">
        <v>4</v>
      </c>
      <c r="N438" t="s">
        <v>25</v>
      </c>
      <c r="O438" t="s">
        <v>28</v>
      </c>
      <c r="P438">
        <v>16337065</v>
      </c>
    </row>
    <row r="439" spans="1:16" ht="14.25" x14ac:dyDescent="0.2">
      <c r="A439">
        <v>30</v>
      </c>
      <c r="B439" t="s">
        <v>22</v>
      </c>
      <c r="C439" t="s">
        <v>17</v>
      </c>
      <c r="D439">
        <v>7</v>
      </c>
      <c r="E439">
        <v>1</v>
      </c>
      <c r="F439" t="s">
        <v>36</v>
      </c>
      <c r="G439">
        <v>4</v>
      </c>
      <c r="H439">
        <v>2</v>
      </c>
      <c r="I439" t="s">
        <v>19</v>
      </c>
      <c r="J439">
        <v>2983</v>
      </c>
      <c r="K439">
        <v>0</v>
      </c>
      <c r="L439">
        <v>3</v>
      </c>
      <c r="M439">
        <v>3</v>
      </c>
      <c r="N439" t="s">
        <v>25</v>
      </c>
      <c r="O439" t="s">
        <v>34</v>
      </c>
      <c r="P439">
        <v>14311069</v>
      </c>
    </row>
    <row r="440" spans="1:16" ht="14.25" x14ac:dyDescent="0.2">
      <c r="A440">
        <v>35</v>
      </c>
      <c r="B440" t="s">
        <v>22</v>
      </c>
      <c r="C440" t="s">
        <v>23</v>
      </c>
      <c r="D440">
        <v>16</v>
      </c>
      <c r="E440">
        <v>3</v>
      </c>
      <c r="F440" t="s">
        <v>18</v>
      </c>
      <c r="G440">
        <v>4</v>
      </c>
      <c r="H440">
        <v>3</v>
      </c>
      <c r="I440" t="s">
        <v>24</v>
      </c>
      <c r="J440">
        <v>7632</v>
      </c>
      <c r="K440">
        <v>4</v>
      </c>
      <c r="L440">
        <v>3</v>
      </c>
      <c r="M440">
        <v>8</v>
      </c>
      <c r="N440" t="s">
        <v>25</v>
      </c>
      <c r="O440" t="s">
        <v>32</v>
      </c>
      <c r="P440">
        <v>73461895</v>
      </c>
    </row>
    <row r="441" spans="1:16" ht="14.25" x14ac:dyDescent="0.2">
      <c r="A441">
        <v>31</v>
      </c>
      <c r="B441" t="s">
        <v>16</v>
      </c>
      <c r="C441" t="s">
        <v>23</v>
      </c>
      <c r="D441">
        <v>20</v>
      </c>
      <c r="E441">
        <v>3</v>
      </c>
      <c r="F441" t="s">
        <v>18</v>
      </c>
      <c r="G441">
        <v>1</v>
      </c>
      <c r="H441">
        <v>3</v>
      </c>
      <c r="I441" t="s">
        <v>24</v>
      </c>
      <c r="J441">
        <v>9824</v>
      </c>
      <c r="K441">
        <v>3</v>
      </c>
      <c r="L441">
        <v>3</v>
      </c>
      <c r="M441">
        <v>1</v>
      </c>
      <c r="N441" t="s">
        <v>25</v>
      </c>
      <c r="O441" t="s">
        <v>32</v>
      </c>
      <c r="P441">
        <v>14256891</v>
      </c>
    </row>
    <row r="442" spans="1:16" ht="14.25" x14ac:dyDescent="0.2">
      <c r="A442">
        <v>34</v>
      </c>
      <c r="B442" t="s">
        <v>16</v>
      </c>
      <c r="C442" t="s">
        <v>38</v>
      </c>
      <c r="D442">
        <v>23</v>
      </c>
      <c r="E442">
        <v>3</v>
      </c>
      <c r="F442" t="s">
        <v>38</v>
      </c>
      <c r="G442">
        <v>2</v>
      </c>
      <c r="H442">
        <v>1</v>
      </c>
      <c r="I442" t="s">
        <v>30</v>
      </c>
      <c r="J442">
        <v>9950</v>
      </c>
      <c r="K442">
        <v>9</v>
      </c>
      <c r="L442">
        <v>3</v>
      </c>
      <c r="M442">
        <v>3</v>
      </c>
      <c r="N442" t="s">
        <v>20</v>
      </c>
      <c r="O442" t="s">
        <v>38</v>
      </c>
      <c r="P442">
        <v>53717821</v>
      </c>
    </row>
    <row r="443" spans="1:16" ht="14.25" x14ac:dyDescent="0.2">
      <c r="A443">
        <v>42</v>
      </c>
      <c r="B443" t="s">
        <v>22</v>
      </c>
      <c r="C443" t="s">
        <v>23</v>
      </c>
      <c r="D443">
        <v>5</v>
      </c>
      <c r="E443">
        <v>2</v>
      </c>
      <c r="F443" t="s">
        <v>27</v>
      </c>
      <c r="G443">
        <v>2</v>
      </c>
      <c r="H443">
        <v>3</v>
      </c>
      <c r="I443" t="s">
        <v>24</v>
      </c>
      <c r="J443">
        <v>2093</v>
      </c>
      <c r="K443">
        <v>4</v>
      </c>
      <c r="L443">
        <v>3</v>
      </c>
      <c r="M443">
        <v>2</v>
      </c>
      <c r="N443" t="s">
        <v>25</v>
      </c>
      <c r="O443" t="s">
        <v>28</v>
      </c>
      <c r="P443">
        <v>59257263</v>
      </c>
    </row>
    <row r="444" spans="1:16" ht="14.25" x14ac:dyDescent="0.2">
      <c r="A444">
        <v>36</v>
      </c>
      <c r="B444" t="s">
        <v>22</v>
      </c>
      <c r="C444" t="s">
        <v>17</v>
      </c>
      <c r="D444">
        <v>10</v>
      </c>
      <c r="E444">
        <v>4</v>
      </c>
      <c r="F444" t="s">
        <v>29</v>
      </c>
      <c r="G444">
        <v>2</v>
      </c>
      <c r="H444">
        <v>4</v>
      </c>
      <c r="I444" t="s">
        <v>19</v>
      </c>
      <c r="J444">
        <v>9980</v>
      </c>
      <c r="K444">
        <v>1</v>
      </c>
      <c r="L444">
        <v>2</v>
      </c>
      <c r="M444">
        <v>10</v>
      </c>
      <c r="N444" t="s">
        <v>25</v>
      </c>
      <c r="O444" t="s">
        <v>21</v>
      </c>
      <c r="P444">
        <v>49226214</v>
      </c>
    </row>
    <row r="445" spans="1:16" ht="14.25" x14ac:dyDescent="0.2">
      <c r="A445">
        <v>22</v>
      </c>
      <c r="B445" t="s">
        <v>16</v>
      </c>
      <c r="C445" t="s">
        <v>23</v>
      </c>
      <c r="D445">
        <v>4</v>
      </c>
      <c r="E445">
        <v>1</v>
      </c>
      <c r="F445" t="s">
        <v>37</v>
      </c>
      <c r="G445">
        <v>3</v>
      </c>
      <c r="H445">
        <v>3</v>
      </c>
      <c r="I445" t="s">
        <v>19</v>
      </c>
      <c r="J445">
        <v>3894</v>
      </c>
      <c r="K445">
        <v>5</v>
      </c>
      <c r="L445">
        <v>3</v>
      </c>
      <c r="M445">
        <v>2</v>
      </c>
      <c r="N445" t="s">
        <v>25</v>
      </c>
      <c r="O445" t="s">
        <v>28</v>
      </c>
      <c r="P445">
        <v>77326854</v>
      </c>
    </row>
    <row r="446" spans="1:16" ht="14.25" x14ac:dyDescent="0.2">
      <c r="A446">
        <v>48</v>
      </c>
      <c r="B446" t="s">
        <v>22</v>
      </c>
      <c r="C446" t="s">
        <v>17</v>
      </c>
      <c r="D446">
        <v>2</v>
      </c>
      <c r="E446">
        <v>5</v>
      </c>
      <c r="F446" t="s">
        <v>36</v>
      </c>
      <c r="G446">
        <v>2</v>
      </c>
      <c r="H446">
        <v>4</v>
      </c>
      <c r="I446" t="s">
        <v>24</v>
      </c>
      <c r="J446">
        <v>4051</v>
      </c>
      <c r="K446">
        <v>2</v>
      </c>
      <c r="L446">
        <v>3</v>
      </c>
      <c r="M446">
        <v>9</v>
      </c>
      <c r="N446" t="s">
        <v>20</v>
      </c>
      <c r="O446" t="s">
        <v>21</v>
      </c>
      <c r="P446">
        <v>51723629</v>
      </c>
    </row>
    <row r="447" spans="1:16" ht="14.25" x14ac:dyDescent="0.2">
      <c r="A447">
        <v>55</v>
      </c>
      <c r="B447" t="s">
        <v>22</v>
      </c>
      <c r="C447" t="s">
        <v>17</v>
      </c>
      <c r="D447">
        <v>18</v>
      </c>
      <c r="E447">
        <v>5</v>
      </c>
      <c r="F447" t="s">
        <v>18</v>
      </c>
      <c r="G447">
        <v>1</v>
      </c>
      <c r="H447">
        <v>2</v>
      </c>
      <c r="I447" t="s">
        <v>19</v>
      </c>
      <c r="J447">
        <v>16835</v>
      </c>
      <c r="K447">
        <v>3</v>
      </c>
      <c r="L447">
        <v>3</v>
      </c>
      <c r="M447">
        <v>10</v>
      </c>
      <c r="N447" t="s">
        <v>20</v>
      </c>
      <c r="O447" t="s">
        <v>33</v>
      </c>
      <c r="P447">
        <v>31806800</v>
      </c>
    </row>
    <row r="448" spans="1:16" ht="14.25" x14ac:dyDescent="0.2">
      <c r="A448">
        <v>41</v>
      </c>
      <c r="B448" t="s">
        <v>22</v>
      </c>
      <c r="C448" t="s">
        <v>17</v>
      </c>
      <c r="D448">
        <v>10</v>
      </c>
      <c r="E448">
        <v>2</v>
      </c>
      <c r="F448" t="s">
        <v>18</v>
      </c>
      <c r="G448">
        <v>4</v>
      </c>
      <c r="H448">
        <v>4</v>
      </c>
      <c r="I448" t="s">
        <v>19</v>
      </c>
      <c r="J448">
        <v>6230</v>
      </c>
      <c r="K448">
        <v>7</v>
      </c>
      <c r="L448">
        <v>3</v>
      </c>
      <c r="M448">
        <v>14</v>
      </c>
      <c r="N448" t="s">
        <v>25</v>
      </c>
      <c r="O448" t="s">
        <v>21</v>
      </c>
      <c r="P448">
        <v>83704405</v>
      </c>
    </row>
    <row r="449" spans="1:16" ht="14.25" x14ac:dyDescent="0.2">
      <c r="A449">
        <v>35</v>
      </c>
      <c r="B449" t="s">
        <v>22</v>
      </c>
      <c r="C449" t="s">
        <v>17</v>
      </c>
      <c r="D449">
        <v>1</v>
      </c>
      <c r="E449">
        <v>3</v>
      </c>
      <c r="F449" t="s">
        <v>36</v>
      </c>
      <c r="G449">
        <v>2</v>
      </c>
      <c r="H449">
        <v>3</v>
      </c>
      <c r="I449" t="s">
        <v>24</v>
      </c>
      <c r="J449">
        <v>4717</v>
      </c>
      <c r="K449">
        <v>9</v>
      </c>
      <c r="L449">
        <v>3</v>
      </c>
      <c r="M449">
        <v>11</v>
      </c>
      <c r="N449" t="s">
        <v>25</v>
      </c>
      <c r="O449" t="s">
        <v>21</v>
      </c>
      <c r="P449">
        <v>88426974</v>
      </c>
    </row>
    <row r="450" spans="1:16" ht="14.25" x14ac:dyDescent="0.2">
      <c r="A450">
        <v>40</v>
      </c>
      <c r="B450" t="s">
        <v>22</v>
      </c>
      <c r="C450" t="s">
        <v>23</v>
      </c>
      <c r="D450">
        <v>6</v>
      </c>
      <c r="E450">
        <v>3</v>
      </c>
      <c r="F450" t="s">
        <v>18</v>
      </c>
      <c r="G450">
        <v>2</v>
      </c>
      <c r="H450">
        <v>3</v>
      </c>
      <c r="I450" t="s">
        <v>19</v>
      </c>
      <c r="J450">
        <v>13237</v>
      </c>
      <c r="K450">
        <v>7</v>
      </c>
      <c r="L450">
        <v>3</v>
      </c>
      <c r="M450">
        <v>20</v>
      </c>
      <c r="N450" t="s">
        <v>20</v>
      </c>
      <c r="O450" t="s">
        <v>31</v>
      </c>
      <c r="P450">
        <v>63779699</v>
      </c>
    </row>
    <row r="451" spans="1:16" ht="14.25" x14ac:dyDescent="0.2">
      <c r="A451">
        <v>39</v>
      </c>
      <c r="B451" t="s">
        <v>22</v>
      </c>
      <c r="C451" t="s">
        <v>23</v>
      </c>
      <c r="D451">
        <v>8</v>
      </c>
      <c r="E451">
        <v>1</v>
      </c>
      <c r="F451" t="s">
        <v>18</v>
      </c>
      <c r="G451">
        <v>3</v>
      </c>
      <c r="H451">
        <v>3</v>
      </c>
      <c r="I451" t="s">
        <v>24</v>
      </c>
      <c r="J451">
        <v>3755</v>
      </c>
      <c r="K451">
        <v>1</v>
      </c>
      <c r="L451">
        <v>3</v>
      </c>
      <c r="M451">
        <v>8</v>
      </c>
      <c r="N451" t="s">
        <v>20</v>
      </c>
      <c r="O451" t="s">
        <v>28</v>
      </c>
      <c r="P451">
        <v>53191892</v>
      </c>
    </row>
    <row r="452" spans="1:16" ht="14.25" x14ac:dyDescent="0.2">
      <c r="A452">
        <v>31</v>
      </c>
      <c r="B452" t="s">
        <v>22</v>
      </c>
      <c r="C452" t="s">
        <v>17</v>
      </c>
      <c r="D452">
        <v>2</v>
      </c>
      <c r="E452">
        <v>1</v>
      </c>
      <c r="F452" t="s">
        <v>18</v>
      </c>
      <c r="G452">
        <v>2</v>
      </c>
      <c r="H452">
        <v>4</v>
      </c>
      <c r="I452" t="s">
        <v>19</v>
      </c>
      <c r="J452">
        <v>6582</v>
      </c>
      <c r="K452">
        <v>4</v>
      </c>
      <c r="L452">
        <v>4</v>
      </c>
      <c r="M452">
        <v>6</v>
      </c>
      <c r="N452" t="s">
        <v>25</v>
      </c>
      <c r="O452" t="s">
        <v>21</v>
      </c>
      <c r="P452">
        <v>15976588</v>
      </c>
    </row>
    <row r="453" spans="1:16" ht="14.25" x14ac:dyDescent="0.2">
      <c r="A453">
        <v>42</v>
      </c>
      <c r="B453" t="s">
        <v>22</v>
      </c>
      <c r="C453" t="s">
        <v>23</v>
      </c>
      <c r="D453">
        <v>24</v>
      </c>
      <c r="E453">
        <v>3</v>
      </c>
      <c r="F453" t="s">
        <v>29</v>
      </c>
      <c r="G453">
        <v>4</v>
      </c>
      <c r="H453">
        <v>1</v>
      </c>
      <c r="I453" t="s">
        <v>24</v>
      </c>
      <c r="J453">
        <v>7406</v>
      </c>
      <c r="K453">
        <v>1</v>
      </c>
      <c r="L453">
        <v>2</v>
      </c>
      <c r="M453">
        <v>10</v>
      </c>
      <c r="N453" t="s">
        <v>25</v>
      </c>
      <c r="O453" t="s">
        <v>31</v>
      </c>
      <c r="P453">
        <v>44605576</v>
      </c>
    </row>
    <row r="454" spans="1:16" ht="14.25" x14ac:dyDescent="0.2">
      <c r="A454">
        <v>45</v>
      </c>
      <c r="B454" t="s">
        <v>22</v>
      </c>
      <c r="C454" t="s">
        <v>17</v>
      </c>
      <c r="D454">
        <v>2</v>
      </c>
      <c r="E454">
        <v>3</v>
      </c>
      <c r="F454" t="s">
        <v>27</v>
      </c>
      <c r="G454">
        <v>4</v>
      </c>
      <c r="H454">
        <v>2</v>
      </c>
      <c r="I454" t="s">
        <v>24</v>
      </c>
      <c r="J454">
        <v>4805</v>
      </c>
      <c r="K454">
        <v>0</v>
      </c>
      <c r="L454">
        <v>4</v>
      </c>
      <c r="M454">
        <v>8</v>
      </c>
      <c r="N454" t="s">
        <v>25</v>
      </c>
      <c r="O454" t="s">
        <v>21</v>
      </c>
      <c r="P454">
        <v>44492476</v>
      </c>
    </row>
    <row r="455" spans="1:16" ht="14.25" x14ac:dyDescent="0.2">
      <c r="A455">
        <v>26</v>
      </c>
      <c r="B455" t="s">
        <v>16</v>
      </c>
      <c r="C455" t="s">
        <v>38</v>
      </c>
      <c r="D455">
        <v>17</v>
      </c>
      <c r="E455">
        <v>4</v>
      </c>
      <c r="F455" t="s">
        <v>18</v>
      </c>
      <c r="G455">
        <v>2</v>
      </c>
      <c r="H455">
        <v>3</v>
      </c>
      <c r="I455" t="s">
        <v>30</v>
      </c>
      <c r="J455">
        <v>2741</v>
      </c>
      <c r="K455">
        <v>0</v>
      </c>
      <c r="L455">
        <v>2</v>
      </c>
      <c r="M455">
        <v>7</v>
      </c>
      <c r="N455" t="s">
        <v>20</v>
      </c>
      <c r="O455" t="s">
        <v>38</v>
      </c>
      <c r="P455">
        <v>74262092</v>
      </c>
    </row>
    <row r="456" spans="1:16" ht="14.25" x14ac:dyDescent="0.2">
      <c r="A456">
        <v>29</v>
      </c>
      <c r="B456" t="s">
        <v>22</v>
      </c>
      <c r="C456" t="s">
        <v>23</v>
      </c>
      <c r="D456">
        <v>19</v>
      </c>
      <c r="E456">
        <v>3</v>
      </c>
      <c r="F456" t="s">
        <v>37</v>
      </c>
      <c r="G456">
        <v>4</v>
      </c>
      <c r="H456">
        <v>4</v>
      </c>
      <c r="I456" t="s">
        <v>30</v>
      </c>
      <c r="J456">
        <v>4262</v>
      </c>
      <c r="K456">
        <v>4</v>
      </c>
      <c r="L456">
        <v>4</v>
      </c>
      <c r="M456">
        <v>3</v>
      </c>
      <c r="N456" t="s">
        <v>25</v>
      </c>
      <c r="O456" t="s">
        <v>31</v>
      </c>
      <c r="P456">
        <v>35276904</v>
      </c>
    </row>
    <row r="457" spans="1:16" ht="14.25" x14ac:dyDescent="0.2">
      <c r="A457">
        <v>33</v>
      </c>
      <c r="B457" t="s">
        <v>22</v>
      </c>
      <c r="C457" t="s">
        <v>23</v>
      </c>
      <c r="D457">
        <v>1</v>
      </c>
      <c r="E457">
        <v>5</v>
      </c>
      <c r="F457" t="s">
        <v>29</v>
      </c>
      <c r="G457">
        <v>1</v>
      </c>
      <c r="H457">
        <v>3</v>
      </c>
      <c r="I457" t="s">
        <v>30</v>
      </c>
      <c r="J457">
        <v>16184</v>
      </c>
      <c r="K457">
        <v>4</v>
      </c>
      <c r="L457">
        <v>3</v>
      </c>
      <c r="M457">
        <v>6</v>
      </c>
      <c r="N457" t="s">
        <v>20</v>
      </c>
      <c r="O457" t="s">
        <v>35</v>
      </c>
      <c r="P457">
        <v>52838495</v>
      </c>
    </row>
    <row r="458" spans="1:16" ht="14.25" x14ac:dyDescent="0.2">
      <c r="A458">
        <v>31</v>
      </c>
      <c r="B458" t="s">
        <v>22</v>
      </c>
      <c r="C458" t="s">
        <v>17</v>
      </c>
      <c r="D458">
        <v>7</v>
      </c>
      <c r="E458">
        <v>3</v>
      </c>
      <c r="F458" t="s">
        <v>18</v>
      </c>
      <c r="G458">
        <v>3</v>
      </c>
      <c r="H458">
        <v>4</v>
      </c>
      <c r="I458" t="s">
        <v>30</v>
      </c>
      <c r="J458">
        <v>11557</v>
      </c>
      <c r="K458">
        <v>9</v>
      </c>
      <c r="L458">
        <v>2</v>
      </c>
      <c r="M458">
        <v>5</v>
      </c>
      <c r="N458" t="s">
        <v>25</v>
      </c>
      <c r="O458" t="s">
        <v>33</v>
      </c>
      <c r="P458">
        <v>84094107</v>
      </c>
    </row>
    <row r="459" spans="1:16" ht="14.25" x14ac:dyDescent="0.2">
      <c r="A459">
        <v>18</v>
      </c>
      <c r="B459" t="s">
        <v>16</v>
      </c>
      <c r="C459" t="s">
        <v>17</v>
      </c>
      <c r="D459">
        <v>5</v>
      </c>
      <c r="E459">
        <v>3</v>
      </c>
      <c r="F459" t="s">
        <v>36</v>
      </c>
      <c r="G459">
        <v>2</v>
      </c>
      <c r="H459">
        <v>2</v>
      </c>
      <c r="I459" t="s">
        <v>19</v>
      </c>
      <c r="J459">
        <v>1878</v>
      </c>
      <c r="K459">
        <v>1</v>
      </c>
      <c r="L459">
        <v>3</v>
      </c>
      <c r="M459">
        <v>0</v>
      </c>
      <c r="N459" t="s">
        <v>25</v>
      </c>
      <c r="O459" t="s">
        <v>34</v>
      </c>
      <c r="P459">
        <v>77919978</v>
      </c>
    </row>
    <row r="460" spans="1:16" ht="14.25" x14ac:dyDescent="0.2">
      <c r="A460">
        <v>40</v>
      </c>
      <c r="B460" t="s">
        <v>22</v>
      </c>
      <c r="C460" t="s">
        <v>17</v>
      </c>
      <c r="D460">
        <v>28</v>
      </c>
      <c r="E460">
        <v>3</v>
      </c>
      <c r="F460" t="s">
        <v>27</v>
      </c>
      <c r="G460">
        <v>3</v>
      </c>
      <c r="H460">
        <v>1</v>
      </c>
      <c r="I460" t="s">
        <v>30</v>
      </c>
      <c r="J460">
        <v>10932</v>
      </c>
      <c r="K460">
        <v>3</v>
      </c>
      <c r="L460">
        <v>3</v>
      </c>
      <c r="M460">
        <v>1</v>
      </c>
      <c r="N460" t="s">
        <v>25</v>
      </c>
      <c r="O460" t="s">
        <v>21</v>
      </c>
      <c r="P460">
        <v>24207595</v>
      </c>
    </row>
    <row r="461" spans="1:16" ht="14.25" x14ac:dyDescent="0.2">
      <c r="A461">
        <v>41</v>
      </c>
      <c r="B461" t="s">
        <v>22</v>
      </c>
      <c r="C461" t="s">
        <v>23</v>
      </c>
      <c r="D461">
        <v>2</v>
      </c>
      <c r="E461">
        <v>4</v>
      </c>
      <c r="F461" t="s">
        <v>27</v>
      </c>
      <c r="G461">
        <v>1</v>
      </c>
      <c r="H461">
        <v>3</v>
      </c>
      <c r="I461" t="s">
        <v>19</v>
      </c>
      <c r="J461">
        <v>6811</v>
      </c>
      <c r="K461">
        <v>2</v>
      </c>
      <c r="L461">
        <v>3</v>
      </c>
      <c r="M461">
        <v>8</v>
      </c>
      <c r="N461" t="s">
        <v>20</v>
      </c>
      <c r="O461" t="s">
        <v>32</v>
      </c>
      <c r="P461">
        <v>59625279</v>
      </c>
    </row>
    <row r="462" spans="1:16" ht="14.25" x14ac:dyDescent="0.2">
      <c r="A462">
        <v>26</v>
      </c>
      <c r="B462" t="s">
        <v>22</v>
      </c>
      <c r="C462" t="s">
        <v>17</v>
      </c>
      <c r="D462">
        <v>29</v>
      </c>
      <c r="E462">
        <v>2</v>
      </c>
      <c r="F462" t="s">
        <v>29</v>
      </c>
      <c r="G462">
        <v>1</v>
      </c>
      <c r="H462">
        <v>3</v>
      </c>
      <c r="I462" t="s">
        <v>30</v>
      </c>
      <c r="J462">
        <v>4306</v>
      </c>
      <c r="K462">
        <v>5</v>
      </c>
      <c r="L462">
        <v>3</v>
      </c>
      <c r="M462">
        <v>0</v>
      </c>
      <c r="N462" t="s">
        <v>25</v>
      </c>
      <c r="O462" t="s">
        <v>21</v>
      </c>
      <c r="P462">
        <v>37277705</v>
      </c>
    </row>
    <row r="463" spans="1:16" ht="14.25" x14ac:dyDescent="0.2">
      <c r="A463">
        <v>35</v>
      </c>
      <c r="B463" t="s">
        <v>22</v>
      </c>
      <c r="C463" t="s">
        <v>17</v>
      </c>
      <c r="D463">
        <v>1</v>
      </c>
      <c r="E463">
        <v>3</v>
      </c>
      <c r="F463" t="s">
        <v>29</v>
      </c>
      <c r="G463">
        <v>1</v>
      </c>
      <c r="H463">
        <v>3</v>
      </c>
      <c r="I463" t="s">
        <v>19</v>
      </c>
      <c r="J463">
        <v>4859</v>
      </c>
      <c r="K463">
        <v>1</v>
      </c>
      <c r="L463">
        <v>3</v>
      </c>
      <c r="M463">
        <v>5</v>
      </c>
      <c r="N463" t="s">
        <v>20</v>
      </c>
      <c r="O463" t="s">
        <v>21</v>
      </c>
      <c r="P463">
        <v>18347414</v>
      </c>
    </row>
    <row r="464" spans="1:16" ht="14.25" x14ac:dyDescent="0.2">
      <c r="A464">
        <v>34</v>
      </c>
      <c r="B464" t="s">
        <v>22</v>
      </c>
      <c r="C464" t="s">
        <v>17</v>
      </c>
      <c r="D464">
        <v>21</v>
      </c>
      <c r="E464">
        <v>4</v>
      </c>
      <c r="F464" t="s">
        <v>18</v>
      </c>
      <c r="G464">
        <v>4</v>
      </c>
      <c r="H464">
        <v>4</v>
      </c>
      <c r="I464" t="s">
        <v>19</v>
      </c>
      <c r="J464">
        <v>5337</v>
      </c>
      <c r="K464">
        <v>1</v>
      </c>
      <c r="L464">
        <v>3</v>
      </c>
      <c r="M464">
        <v>10</v>
      </c>
      <c r="N464" t="s">
        <v>25</v>
      </c>
      <c r="O464" t="s">
        <v>21</v>
      </c>
      <c r="P464">
        <v>38263065</v>
      </c>
    </row>
    <row r="465" spans="1:16" ht="14.25" x14ac:dyDescent="0.2">
      <c r="A465">
        <v>26</v>
      </c>
      <c r="B465" t="s">
        <v>16</v>
      </c>
      <c r="C465" t="s">
        <v>23</v>
      </c>
      <c r="D465">
        <v>24</v>
      </c>
      <c r="E465">
        <v>3</v>
      </c>
      <c r="F465" t="s">
        <v>37</v>
      </c>
      <c r="G465">
        <v>3</v>
      </c>
      <c r="H465">
        <v>4</v>
      </c>
      <c r="I465" t="s">
        <v>19</v>
      </c>
      <c r="J465">
        <v>2340</v>
      </c>
      <c r="K465">
        <v>1</v>
      </c>
      <c r="L465">
        <v>1</v>
      </c>
      <c r="M465">
        <v>1</v>
      </c>
      <c r="N465" t="s">
        <v>25</v>
      </c>
      <c r="O465" t="s">
        <v>28</v>
      </c>
      <c r="P465">
        <v>89158640</v>
      </c>
    </row>
    <row r="466" spans="1:16" ht="14.25" x14ac:dyDescent="0.2">
      <c r="A466">
        <v>37</v>
      </c>
      <c r="B466" t="s">
        <v>22</v>
      </c>
      <c r="C466" t="s">
        <v>23</v>
      </c>
      <c r="D466">
        <v>1</v>
      </c>
      <c r="E466">
        <v>3</v>
      </c>
      <c r="F466" t="s">
        <v>37</v>
      </c>
      <c r="G466">
        <v>2</v>
      </c>
      <c r="H466">
        <v>4</v>
      </c>
      <c r="I466" t="s">
        <v>19</v>
      </c>
      <c r="J466">
        <v>7491</v>
      </c>
      <c r="K466">
        <v>4</v>
      </c>
      <c r="L466">
        <v>4</v>
      </c>
      <c r="M466">
        <v>6</v>
      </c>
      <c r="N466" t="s">
        <v>20</v>
      </c>
      <c r="O466" t="s">
        <v>31</v>
      </c>
      <c r="P466">
        <v>88131906</v>
      </c>
    </row>
    <row r="467" spans="1:16" ht="14.25" x14ac:dyDescent="0.2">
      <c r="A467">
        <v>46</v>
      </c>
      <c r="B467" t="s">
        <v>22</v>
      </c>
      <c r="C467" t="s">
        <v>23</v>
      </c>
      <c r="D467">
        <v>18</v>
      </c>
      <c r="E467">
        <v>1</v>
      </c>
      <c r="F467" t="s">
        <v>29</v>
      </c>
      <c r="G467">
        <v>1</v>
      </c>
      <c r="H467">
        <v>3</v>
      </c>
      <c r="I467" t="s">
        <v>24</v>
      </c>
      <c r="J467">
        <v>10527</v>
      </c>
      <c r="K467">
        <v>5</v>
      </c>
      <c r="L467">
        <v>2</v>
      </c>
      <c r="M467">
        <v>2</v>
      </c>
      <c r="N467" t="s">
        <v>20</v>
      </c>
      <c r="O467" t="s">
        <v>32</v>
      </c>
      <c r="P467">
        <v>25407470</v>
      </c>
    </row>
    <row r="468" spans="1:16" ht="14.25" x14ac:dyDescent="0.2">
      <c r="A468">
        <v>41</v>
      </c>
      <c r="B468" t="s">
        <v>22</v>
      </c>
      <c r="C468" t="s">
        <v>17</v>
      </c>
      <c r="D468">
        <v>2</v>
      </c>
      <c r="E468">
        <v>5</v>
      </c>
      <c r="F468" t="s">
        <v>18</v>
      </c>
      <c r="G468">
        <v>2</v>
      </c>
      <c r="H468">
        <v>1</v>
      </c>
      <c r="I468" t="s">
        <v>24</v>
      </c>
      <c r="J468">
        <v>16595</v>
      </c>
      <c r="K468">
        <v>7</v>
      </c>
      <c r="L468">
        <v>3</v>
      </c>
      <c r="M468">
        <v>18</v>
      </c>
      <c r="N468" t="s">
        <v>20</v>
      </c>
      <c r="O468" t="s">
        <v>33</v>
      </c>
      <c r="P468">
        <v>49531515</v>
      </c>
    </row>
    <row r="469" spans="1:16" ht="14.25" x14ac:dyDescent="0.2">
      <c r="A469">
        <v>37</v>
      </c>
      <c r="B469" t="s">
        <v>22</v>
      </c>
      <c r="C469" t="s">
        <v>17</v>
      </c>
      <c r="D469">
        <v>9</v>
      </c>
      <c r="E469">
        <v>4</v>
      </c>
      <c r="F469" t="s">
        <v>29</v>
      </c>
      <c r="G469">
        <v>1</v>
      </c>
      <c r="H469">
        <v>2</v>
      </c>
      <c r="I469" t="s">
        <v>30</v>
      </c>
      <c r="J469">
        <v>8834</v>
      </c>
      <c r="K469">
        <v>1</v>
      </c>
      <c r="L469">
        <v>3</v>
      </c>
      <c r="M469">
        <v>9</v>
      </c>
      <c r="N469" t="s">
        <v>25</v>
      </c>
      <c r="O469" t="s">
        <v>21</v>
      </c>
      <c r="P469">
        <v>16350498</v>
      </c>
    </row>
    <row r="470" spans="1:16" ht="14.25" x14ac:dyDescent="0.2">
      <c r="A470">
        <v>52</v>
      </c>
      <c r="B470" t="s">
        <v>22</v>
      </c>
      <c r="C470" t="s">
        <v>23</v>
      </c>
      <c r="D470">
        <v>6</v>
      </c>
      <c r="E470">
        <v>2</v>
      </c>
      <c r="F470" t="s">
        <v>37</v>
      </c>
      <c r="G470">
        <v>4</v>
      </c>
      <c r="H470">
        <v>1</v>
      </c>
      <c r="I470" t="s">
        <v>30</v>
      </c>
      <c r="J470">
        <v>5577</v>
      </c>
      <c r="K470">
        <v>3</v>
      </c>
      <c r="L470">
        <v>3</v>
      </c>
      <c r="M470">
        <v>10</v>
      </c>
      <c r="N470" t="s">
        <v>25</v>
      </c>
      <c r="O470" t="s">
        <v>26</v>
      </c>
      <c r="P470">
        <v>38601517</v>
      </c>
    </row>
    <row r="471" spans="1:16" ht="14.25" x14ac:dyDescent="0.2">
      <c r="A471">
        <v>32</v>
      </c>
      <c r="B471" t="s">
        <v>16</v>
      </c>
      <c r="C471" t="s">
        <v>17</v>
      </c>
      <c r="D471">
        <v>11</v>
      </c>
      <c r="E471">
        <v>4</v>
      </c>
      <c r="F471" t="s">
        <v>27</v>
      </c>
      <c r="G471">
        <v>4</v>
      </c>
      <c r="H471">
        <v>3</v>
      </c>
      <c r="I471" t="s">
        <v>24</v>
      </c>
      <c r="J471">
        <v>4707</v>
      </c>
      <c r="K471">
        <v>8</v>
      </c>
      <c r="L471">
        <v>3</v>
      </c>
      <c r="M471">
        <v>4</v>
      </c>
      <c r="N471" t="s">
        <v>25</v>
      </c>
      <c r="O471" t="s">
        <v>21</v>
      </c>
      <c r="P471">
        <v>14445339</v>
      </c>
    </row>
    <row r="472" spans="1:16" ht="14.25" x14ac:dyDescent="0.2">
      <c r="A472">
        <v>24</v>
      </c>
      <c r="B472" t="s">
        <v>22</v>
      </c>
      <c r="C472" t="s">
        <v>17</v>
      </c>
      <c r="D472">
        <v>24</v>
      </c>
      <c r="E472">
        <v>3</v>
      </c>
      <c r="F472" t="s">
        <v>29</v>
      </c>
      <c r="G472">
        <v>4</v>
      </c>
      <c r="H472">
        <v>4</v>
      </c>
      <c r="I472" t="s">
        <v>24</v>
      </c>
      <c r="J472">
        <v>2400</v>
      </c>
      <c r="K472">
        <v>0</v>
      </c>
      <c r="L472">
        <v>3</v>
      </c>
      <c r="M472">
        <v>2</v>
      </c>
      <c r="N472" t="s">
        <v>25</v>
      </c>
      <c r="O472" t="s">
        <v>34</v>
      </c>
      <c r="P472">
        <v>71272642</v>
      </c>
    </row>
    <row r="473" spans="1:16" ht="14.25" x14ac:dyDescent="0.2">
      <c r="A473">
        <v>38</v>
      </c>
      <c r="B473" t="s">
        <v>22</v>
      </c>
      <c r="C473" t="s">
        <v>23</v>
      </c>
      <c r="D473">
        <v>10</v>
      </c>
      <c r="E473">
        <v>3</v>
      </c>
      <c r="F473" t="s">
        <v>29</v>
      </c>
      <c r="G473">
        <v>3</v>
      </c>
      <c r="H473">
        <v>3</v>
      </c>
      <c r="I473" t="s">
        <v>24</v>
      </c>
      <c r="J473">
        <v>9824</v>
      </c>
      <c r="K473">
        <v>3</v>
      </c>
      <c r="L473">
        <v>3</v>
      </c>
      <c r="M473">
        <v>1</v>
      </c>
      <c r="N473" t="s">
        <v>20</v>
      </c>
      <c r="O473" t="s">
        <v>32</v>
      </c>
      <c r="P473">
        <v>43950675</v>
      </c>
    </row>
    <row r="474" spans="1:16" ht="14.25" x14ac:dyDescent="0.2">
      <c r="A474">
        <v>37</v>
      </c>
      <c r="B474" t="s">
        <v>22</v>
      </c>
      <c r="C474" t="s">
        <v>23</v>
      </c>
      <c r="D474">
        <v>1</v>
      </c>
      <c r="E474">
        <v>4</v>
      </c>
      <c r="F474" t="s">
        <v>18</v>
      </c>
      <c r="G474">
        <v>2</v>
      </c>
      <c r="H474">
        <v>2</v>
      </c>
      <c r="I474" t="s">
        <v>24</v>
      </c>
      <c r="J474">
        <v>6447</v>
      </c>
      <c r="K474">
        <v>6</v>
      </c>
      <c r="L474">
        <v>2</v>
      </c>
      <c r="M474">
        <v>6</v>
      </c>
      <c r="N474" t="s">
        <v>20</v>
      </c>
      <c r="O474" t="s">
        <v>31</v>
      </c>
      <c r="P474">
        <v>60150241</v>
      </c>
    </row>
    <row r="475" spans="1:16" ht="14.25" x14ac:dyDescent="0.2">
      <c r="A475">
        <v>49</v>
      </c>
      <c r="B475" t="s">
        <v>22</v>
      </c>
      <c r="C475" t="s">
        <v>23</v>
      </c>
      <c r="D475">
        <v>18</v>
      </c>
      <c r="E475">
        <v>4</v>
      </c>
      <c r="F475" t="s">
        <v>18</v>
      </c>
      <c r="G475">
        <v>4</v>
      </c>
      <c r="H475">
        <v>3</v>
      </c>
      <c r="I475" t="s">
        <v>30</v>
      </c>
      <c r="J475">
        <v>19502</v>
      </c>
      <c r="K475">
        <v>1</v>
      </c>
      <c r="L475">
        <v>3</v>
      </c>
      <c r="M475">
        <v>31</v>
      </c>
      <c r="N475" t="s">
        <v>25</v>
      </c>
      <c r="O475" t="s">
        <v>35</v>
      </c>
      <c r="P475">
        <v>76378890</v>
      </c>
    </row>
    <row r="476" spans="1:16" ht="14.25" x14ac:dyDescent="0.2">
      <c r="A476">
        <v>24</v>
      </c>
      <c r="B476" t="s">
        <v>22</v>
      </c>
      <c r="C476" t="s">
        <v>23</v>
      </c>
      <c r="D476">
        <v>23</v>
      </c>
      <c r="E476">
        <v>3</v>
      </c>
      <c r="F476" t="s">
        <v>29</v>
      </c>
      <c r="G476">
        <v>2</v>
      </c>
      <c r="H476">
        <v>4</v>
      </c>
      <c r="I476" t="s">
        <v>24</v>
      </c>
      <c r="J476">
        <v>2725</v>
      </c>
      <c r="K476">
        <v>1</v>
      </c>
      <c r="L476">
        <v>3</v>
      </c>
      <c r="M476">
        <v>6</v>
      </c>
      <c r="N476" t="s">
        <v>25</v>
      </c>
      <c r="O476" t="s">
        <v>26</v>
      </c>
      <c r="P476">
        <v>53698380</v>
      </c>
    </row>
    <row r="477" spans="1:16" ht="14.25" x14ac:dyDescent="0.2">
      <c r="A477">
        <v>26</v>
      </c>
      <c r="B477" t="s">
        <v>22</v>
      </c>
      <c r="C477" t="s">
        <v>17</v>
      </c>
      <c r="D477">
        <v>28</v>
      </c>
      <c r="E477">
        <v>2</v>
      </c>
      <c r="F477" t="s">
        <v>36</v>
      </c>
      <c r="G477">
        <v>1</v>
      </c>
      <c r="H477">
        <v>2</v>
      </c>
      <c r="I477" t="s">
        <v>24</v>
      </c>
      <c r="J477">
        <v>6272</v>
      </c>
      <c r="K477">
        <v>1</v>
      </c>
      <c r="L477">
        <v>4</v>
      </c>
      <c r="M477">
        <v>5</v>
      </c>
      <c r="N477" t="s">
        <v>25</v>
      </c>
      <c r="O477" t="s">
        <v>21</v>
      </c>
      <c r="P477">
        <v>22798677</v>
      </c>
    </row>
    <row r="478" spans="1:16" ht="14.25" x14ac:dyDescent="0.2">
      <c r="A478">
        <v>24</v>
      </c>
      <c r="B478" t="s">
        <v>22</v>
      </c>
      <c r="C478" t="s">
        <v>23</v>
      </c>
      <c r="D478">
        <v>17</v>
      </c>
      <c r="E478">
        <v>2</v>
      </c>
      <c r="F478" t="s">
        <v>27</v>
      </c>
      <c r="G478">
        <v>4</v>
      </c>
      <c r="H478">
        <v>2</v>
      </c>
      <c r="I478" t="s">
        <v>24</v>
      </c>
      <c r="J478">
        <v>2127</v>
      </c>
      <c r="K478">
        <v>1</v>
      </c>
      <c r="L478">
        <v>3</v>
      </c>
      <c r="M478">
        <v>1</v>
      </c>
      <c r="N478" t="s">
        <v>25</v>
      </c>
      <c r="O478" t="s">
        <v>28</v>
      </c>
      <c r="P478">
        <v>14123044</v>
      </c>
    </row>
    <row r="479" spans="1:16" ht="14.25" x14ac:dyDescent="0.2">
      <c r="A479">
        <v>50</v>
      </c>
      <c r="B479" t="s">
        <v>22</v>
      </c>
      <c r="C479" t="s">
        <v>38</v>
      </c>
      <c r="D479">
        <v>3</v>
      </c>
      <c r="E479">
        <v>3</v>
      </c>
      <c r="F479" t="s">
        <v>29</v>
      </c>
      <c r="G479">
        <v>1</v>
      </c>
      <c r="H479">
        <v>2</v>
      </c>
      <c r="I479" t="s">
        <v>24</v>
      </c>
      <c r="J479">
        <v>18200</v>
      </c>
      <c r="K479">
        <v>1</v>
      </c>
      <c r="L479">
        <v>3</v>
      </c>
      <c r="M479">
        <v>32</v>
      </c>
      <c r="N479" t="s">
        <v>25</v>
      </c>
      <c r="O479" t="s">
        <v>33</v>
      </c>
      <c r="P479">
        <v>80013519</v>
      </c>
    </row>
    <row r="480" spans="1:16" ht="14.25" x14ac:dyDescent="0.2">
      <c r="A480">
        <v>25</v>
      </c>
      <c r="B480" t="s">
        <v>22</v>
      </c>
      <c r="C480" t="s">
        <v>17</v>
      </c>
      <c r="D480">
        <v>13</v>
      </c>
      <c r="E480">
        <v>1</v>
      </c>
      <c r="F480" t="s">
        <v>29</v>
      </c>
      <c r="G480">
        <v>2</v>
      </c>
      <c r="H480">
        <v>3</v>
      </c>
      <c r="I480" t="s">
        <v>24</v>
      </c>
      <c r="J480">
        <v>2096</v>
      </c>
      <c r="K480">
        <v>1</v>
      </c>
      <c r="L480">
        <v>3</v>
      </c>
      <c r="M480">
        <v>7</v>
      </c>
      <c r="N480" t="s">
        <v>25</v>
      </c>
      <c r="O480" t="s">
        <v>34</v>
      </c>
      <c r="P480">
        <v>82781755</v>
      </c>
    </row>
    <row r="481" spans="1:16" ht="14.25" x14ac:dyDescent="0.2">
      <c r="A481">
        <v>24</v>
      </c>
      <c r="B481" t="s">
        <v>16</v>
      </c>
      <c r="C481" t="s">
        <v>23</v>
      </c>
      <c r="D481">
        <v>7</v>
      </c>
      <c r="E481">
        <v>3</v>
      </c>
      <c r="F481" t="s">
        <v>18</v>
      </c>
      <c r="G481">
        <v>1</v>
      </c>
      <c r="H481">
        <v>3</v>
      </c>
      <c r="I481" t="s">
        <v>24</v>
      </c>
      <c r="J481">
        <v>2886</v>
      </c>
      <c r="K481">
        <v>1</v>
      </c>
      <c r="L481">
        <v>3</v>
      </c>
      <c r="M481">
        <v>6</v>
      </c>
      <c r="N481" t="s">
        <v>20</v>
      </c>
      <c r="O481" t="s">
        <v>28</v>
      </c>
      <c r="P481">
        <v>38639246</v>
      </c>
    </row>
    <row r="482" spans="1:16" ht="14.25" x14ac:dyDescent="0.2">
      <c r="A482">
        <v>30</v>
      </c>
      <c r="B482" t="s">
        <v>16</v>
      </c>
      <c r="C482" t="s">
        <v>17</v>
      </c>
      <c r="D482">
        <v>12</v>
      </c>
      <c r="E482">
        <v>4</v>
      </c>
      <c r="F482" t="s">
        <v>18</v>
      </c>
      <c r="G482">
        <v>2</v>
      </c>
      <c r="H482">
        <v>1</v>
      </c>
      <c r="I482" t="s">
        <v>24</v>
      </c>
      <c r="J482">
        <v>2033</v>
      </c>
      <c r="K482">
        <v>1</v>
      </c>
      <c r="L482">
        <v>4</v>
      </c>
      <c r="M482">
        <v>1</v>
      </c>
      <c r="N482" t="s">
        <v>25</v>
      </c>
      <c r="O482" t="s">
        <v>34</v>
      </c>
      <c r="P482">
        <v>20771290</v>
      </c>
    </row>
    <row r="483" spans="1:16" ht="14.25" x14ac:dyDescent="0.2">
      <c r="A483">
        <v>34</v>
      </c>
      <c r="B483" t="s">
        <v>22</v>
      </c>
      <c r="C483" t="s">
        <v>23</v>
      </c>
      <c r="D483">
        <v>1</v>
      </c>
      <c r="E483">
        <v>2</v>
      </c>
      <c r="F483" t="s">
        <v>18</v>
      </c>
      <c r="G483">
        <v>2</v>
      </c>
      <c r="H483">
        <v>4</v>
      </c>
      <c r="I483" t="s">
        <v>24</v>
      </c>
      <c r="J483">
        <v>3622</v>
      </c>
      <c r="K483">
        <v>1</v>
      </c>
      <c r="L483">
        <v>3</v>
      </c>
      <c r="M483">
        <v>6</v>
      </c>
      <c r="N483" t="s">
        <v>25</v>
      </c>
      <c r="O483" t="s">
        <v>26</v>
      </c>
      <c r="P483">
        <v>39708392</v>
      </c>
    </row>
    <row r="484" spans="1:16" ht="14.25" x14ac:dyDescent="0.2">
      <c r="A484">
        <v>31</v>
      </c>
      <c r="B484" t="s">
        <v>16</v>
      </c>
      <c r="C484" t="s">
        <v>17</v>
      </c>
      <c r="D484">
        <v>13</v>
      </c>
      <c r="E484">
        <v>4</v>
      </c>
      <c r="F484" t="s">
        <v>29</v>
      </c>
      <c r="G484">
        <v>2</v>
      </c>
      <c r="H484">
        <v>1</v>
      </c>
      <c r="I484" t="s">
        <v>30</v>
      </c>
      <c r="J484">
        <v>4233</v>
      </c>
      <c r="K484">
        <v>2</v>
      </c>
      <c r="L484">
        <v>1</v>
      </c>
      <c r="M484">
        <v>3</v>
      </c>
      <c r="N484" t="s">
        <v>25</v>
      </c>
      <c r="O484" t="s">
        <v>21</v>
      </c>
      <c r="P484">
        <v>50975515</v>
      </c>
    </row>
    <row r="485" spans="1:16" ht="14.25" x14ac:dyDescent="0.2">
      <c r="A485">
        <v>35</v>
      </c>
      <c r="B485" t="s">
        <v>22</v>
      </c>
      <c r="C485" t="s">
        <v>23</v>
      </c>
      <c r="D485">
        <v>25</v>
      </c>
      <c r="E485">
        <v>2</v>
      </c>
      <c r="F485" t="s">
        <v>27</v>
      </c>
      <c r="G485">
        <v>1</v>
      </c>
      <c r="H485">
        <v>4</v>
      </c>
      <c r="I485" t="s">
        <v>19</v>
      </c>
      <c r="J485">
        <v>3681</v>
      </c>
      <c r="K485">
        <v>4</v>
      </c>
      <c r="L485">
        <v>3</v>
      </c>
      <c r="M485">
        <v>3</v>
      </c>
      <c r="N485" t="s">
        <v>25</v>
      </c>
      <c r="O485" t="s">
        <v>28</v>
      </c>
      <c r="P485">
        <v>61782351</v>
      </c>
    </row>
    <row r="486" spans="1:16" ht="14.25" x14ac:dyDescent="0.2">
      <c r="A486">
        <v>31</v>
      </c>
      <c r="B486" t="s">
        <v>22</v>
      </c>
      <c r="C486" t="s">
        <v>17</v>
      </c>
      <c r="D486">
        <v>6</v>
      </c>
      <c r="E486">
        <v>4</v>
      </c>
      <c r="F486" t="s">
        <v>29</v>
      </c>
      <c r="G486">
        <v>1</v>
      </c>
      <c r="H486">
        <v>4</v>
      </c>
      <c r="I486" t="s">
        <v>30</v>
      </c>
      <c r="J486">
        <v>5460</v>
      </c>
      <c r="K486">
        <v>4</v>
      </c>
      <c r="L486">
        <v>4</v>
      </c>
      <c r="M486">
        <v>7</v>
      </c>
      <c r="N486" t="s">
        <v>25</v>
      </c>
      <c r="O486" t="s">
        <v>21</v>
      </c>
      <c r="P486">
        <v>61684572</v>
      </c>
    </row>
    <row r="487" spans="1:16" ht="14.25" x14ac:dyDescent="0.2">
      <c r="A487">
        <v>27</v>
      </c>
      <c r="B487" t="s">
        <v>22</v>
      </c>
      <c r="C487" t="s">
        <v>23</v>
      </c>
      <c r="D487">
        <v>6</v>
      </c>
      <c r="E487">
        <v>4</v>
      </c>
      <c r="F487" t="s">
        <v>29</v>
      </c>
      <c r="G487">
        <v>1</v>
      </c>
      <c r="H487">
        <v>3</v>
      </c>
      <c r="I487" t="s">
        <v>30</v>
      </c>
      <c r="J487">
        <v>2187</v>
      </c>
      <c r="K487">
        <v>0</v>
      </c>
      <c r="L487">
        <v>2</v>
      </c>
      <c r="M487">
        <v>5</v>
      </c>
      <c r="N487" t="s">
        <v>20</v>
      </c>
      <c r="O487" t="s">
        <v>26</v>
      </c>
      <c r="P487">
        <v>57731037</v>
      </c>
    </row>
    <row r="488" spans="1:16" ht="14.25" x14ac:dyDescent="0.2">
      <c r="A488">
        <v>37</v>
      </c>
      <c r="B488" t="s">
        <v>22</v>
      </c>
      <c r="C488" t="s">
        <v>17</v>
      </c>
      <c r="D488">
        <v>2</v>
      </c>
      <c r="E488">
        <v>3</v>
      </c>
      <c r="F488" t="s">
        <v>36</v>
      </c>
      <c r="G488">
        <v>4</v>
      </c>
      <c r="H488">
        <v>3</v>
      </c>
      <c r="I488" t="s">
        <v>24</v>
      </c>
      <c r="J488">
        <v>9602</v>
      </c>
      <c r="K488">
        <v>4</v>
      </c>
      <c r="L488">
        <v>2</v>
      </c>
      <c r="M488">
        <v>3</v>
      </c>
      <c r="N488" t="s">
        <v>25</v>
      </c>
      <c r="O488" t="s">
        <v>21</v>
      </c>
      <c r="P488">
        <v>62301376</v>
      </c>
    </row>
    <row r="489" spans="1:16" ht="14.25" x14ac:dyDescent="0.2">
      <c r="A489">
        <v>20</v>
      </c>
      <c r="B489" t="s">
        <v>22</v>
      </c>
      <c r="C489" t="s">
        <v>23</v>
      </c>
      <c r="D489">
        <v>1</v>
      </c>
      <c r="E489">
        <v>3</v>
      </c>
      <c r="F489" t="s">
        <v>18</v>
      </c>
      <c r="G489">
        <v>4</v>
      </c>
      <c r="H489">
        <v>2</v>
      </c>
      <c r="I489" t="s">
        <v>19</v>
      </c>
      <c r="J489">
        <v>2836</v>
      </c>
      <c r="K489">
        <v>1</v>
      </c>
      <c r="L489">
        <v>4</v>
      </c>
      <c r="M489">
        <v>1</v>
      </c>
      <c r="N489" t="s">
        <v>20</v>
      </c>
      <c r="O489" t="s">
        <v>26</v>
      </c>
      <c r="P489">
        <v>24336662</v>
      </c>
    </row>
    <row r="490" spans="1:16" ht="14.25" x14ac:dyDescent="0.2">
      <c r="A490">
        <v>42</v>
      </c>
      <c r="B490" t="s">
        <v>22</v>
      </c>
      <c r="C490" t="s">
        <v>23</v>
      </c>
      <c r="D490">
        <v>2</v>
      </c>
      <c r="E490">
        <v>4</v>
      </c>
      <c r="F490" t="s">
        <v>18</v>
      </c>
      <c r="G490">
        <v>3</v>
      </c>
      <c r="H490">
        <v>4</v>
      </c>
      <c r="I490" t="s">
        <v>24</v>
      </c>
      <c r="J490">
        <v>4089</v>
      </c>
      <c r="K490">
        <v>1</v>
      </c>
      <c r="L490">
        <v>3</v>
      </c>
      <c r="M490">
        <v>10</v>
      </c>
      <c r="N490" t="s">
        <v>20</v>
      </c>
      <c r="O490" t="s">
        <v>32</v>
      </c>
      <c r="P490">
        <v>75834948</v>
      </c>
    </row>
    <row r="491" spans="1:16" ht="14.25" x14ac:dyDescent="0.2">
      <c r="A491">
        <v>43</v>
      </c>
      <c r="B491" t="s">
        <v>22</v>
      </c>
      <c r="C491" t="s">
        <v>23</v>
      </c>
      <c r="D491">
        <v>6</v>
      </c>
      <c r="E491">
        <v>4</v>
      </c>
      <c r="F491" t="s">
        <v>27</v>
      </c>
      <c r="G491">
        <v>2</v>
      </c>
      <c r="H491">
        <v>4</v>
      </c>
      <c r="I491" t="s">
        <v>30</v>
      </c>
      <c r="J491">
        <v>16627</v>
      </c>
      <c r="K491">
        <v>4</v>
      </c>
      <c r="L491">
        <v>2</v>
      </c>
      <c r="M491">
        <v>1</v>
      </c>
      <c r="N491" t="s">
        <v>25</v>
      </c>
      <c r="O491" t="s">
        <v>35</v>
      </c>
      <c r="P491">
        <v>58255060</v>
      </c>
    </row>
    <row r="492" spans="1:16" ht="14.25" x14ac:dyDescent="0.2">
      <c r="A492">
        <v>38</v>
      </c>
      <c r="B492" t="s">
        <v>22</v>
      </c>
      <c r="C492" t="s">
        <v>23</v>
      </c>
      <c r="D492">
        <v>1</v>
      </c>
      <c r="E492">
        <v>1</v>
      </c>
      <c r="F492" t="s">
        <v>18</v>
      </c>
      <c r="G492">
        <v>3</v>
      </c>
      <c r="H492">
        <v>1</v>
      </c>
      <c r="I492" t="s">
        <v>19</v>
      </c>
      <c r="J492">
        <v>2619</v>
      </c>
      <c r="K492">
        <v>3</v>
      </c>
      <c r="L492">
        <v>2</v>
      </c>
      <c r="M492">
        <v>0</v>
      </c>
      <c r="N492" t="s">
        <v>20</v>
      </c>
      <c r="O492" t="s">
        <v>26</v>
      </c>
      <c r="P492">
        <v>38022677</v>
      </c>
    </row>
    <row r="493" spans="1:16" ht="14.25" x14ac:dyDescent="0.2">
      <c r="A493">
        <v>43</v>
      </c>
      <c r="B493" t="s">
        <v>22</v>
      </c>
      <c r="C493" t="s">
        <v>23</v>
      </c>
      <c r="D493">
        <v>9</v>
      </c>
      <c r="E493">
        <v>5</v>
      </c>
      <c r="F493" t="s">
        <v>29</v>
      </c>
      <c r="G493">
        <v>4</v>
      </c>
      <c r="H493">
        <v>3</v>
      </c>
      <c r="I493" t="s">
        <v>30</v>
      </c>
      <c r="J493">
        <v>5679</v>
      </c>
      <c r="K493">
        <v>3</v>
      </c>
      <c r="L493">
        <v>3</v>
      </c>
      <c r="M493">
        <v>8</v>
      </c>
      <c r="N493" t="s">
        <v>25</v>
      </c>
      <c r="O493" t="s">
        <v>28</v>
      </c>
      <c r="P493">
        <v>79236972</v>
      </c>
    </row>
    <row r="494" spans="1:16" ht="14.25" x14ac:dyDescent="0.2">
      <c r="A494">
        <v>48</v>
      </c>
      <c r="B494" t="s">
        <v>22</v>
      </c>
      <c r="C494" t="s">
        <v>23</v>
      </c>
      <c r="D494">
        <v>1</v>
      </c>
      <c r="E494">
        <v>4</v>
      </c>
      <c r="F494" t="s">
        <v>18</v>
      </c>
      <c r="G494">
        <v>4</v>
      </c>
      <c r="H494">
        <v>1</v>
      </c>
      <c r="I494" t="s">
        <v>24</v>
      </c>
      <c r="J494">
        <v>15402</v>
      </c>
      <c r="K494">
        <v>7</v>
      </c>
      <c r="L494">
        <v>1</v>
      </c>
      <c r="M494">
        <v>3</v>
      </c>
      <c r="N494" t="s">
        <v>20</v>
      </c>
      <c r="O494" t="s">
        <v>33</v>
      </c>
      <c r="P494">
        <v>63944695</v>
      </c>
    </row>
    <row r="495" spans="1:16" ht="14.25" x14ac:dyDescent="0.2">
      <c r="A495">
        <v>44</v>
      </c>
      <c r="B495" t="s">
        <v>22</v>
      </c>
      <c r="C495" t="s">
        <v>38</v>
      </c>
      <c r="D495">
        <v>1</v>
      </c>
      <c r="E495">
        <v>4</v>
      </c>
      <c r="F495" t="s">
        <v>18</v>
      </c>
      <c r="G495">
        <v>1</v>
      </c>
      <c r="H495">
        <v>3</v>
      </c>
      <c r="I495" t="s">
        <v>19</v>
      </c>
      <c r="J495">
        <v>5985</v>
      </c>
      <c r="K495">
        <v>4</v>
      </c>
      <c r="L495">
        <v>4</v>
      </c>
      <c r="M495">
        <v>2</v>
      </c>
      <c r="N495" t="s">
        <v>20</v>
      </c>
      <c r="O495" t="s">
        <v>38</v>
      </c>
      <c r="P495">
        <v>42084837</v>
      </c>
    </row>
    <row r="496" spans="1:16" ht="14.25" x14ac:dyDescent="0.2">
      <c r="A496">
        <v>34</v>
      </c>
      <c r="B496" t="s">
        <v>22</v>
      </c>
      <c r="C496" t="s">
        <v>17</v>
      </c>
      <c r="D496">
        <v>14</v>
      </c>
      <c r="E496">
        <v>3</v>
      </c>
      <c r="F496" t="s">
        <v>37</v>
      </c>
      <c r="G496">
        <v>3</v>
      </c>
      <c r="H496">
        <v>3</v>
      </c>
      <c r="I496" t="s">
        <v>30</v>
      </c>
      <c r="J496">
        <v>2579</v>
      </c>
      <c r="K496">
        <v>1</v>
      </c>
      <c r="L496">
        <v>3</v>
      </c>
      <c r="M496">
        <v>8</v>
      </c>
      <c r="N496" t="s">
        <v>20</v>
      </c>
      <c r="O496" t="s">
        <v>34</v>
      </c>
      <c r="P496">
        <v>19184702</v>
      </c>
    </row>
    <row r="497" spans="1:16" ht="14.25" x14ac:dyDescent="0.2">
      <c r="A497">
        <v>27</v>
      </c>
      <c r="B497" t="s">
        <v>16</v>
      </c>
      <c r="C497" t="s">
        <v>17</v>
      </c>
      <c r="D497">
        <v>2</v>
      </c>
      <c r="E497">
        <v>1</v>
      </c>
      <c r="F497" t="s">
        <v>36</v>
      </c>
      <c r="G497">
        <v>3</v>
      </c>
      <c r="H497">
        <v>1</v>
      </c>
      <c r="I497" t="s">
        <v>30</v>
      </c>
      <c r="J497">
        <v>3041</v>
      </c>
      <c r="K497">
        <v>0</v>
      </c>
      <c r="L497">
        <v>3</v>
      </c>
      <c r="M497">
        <v>4</v>
      </c>
      <c r="N497" t="s">
        <v>25</v>
      </c>
      <c r="O497" t="s">
        <v>34</v>
      </c>
      <c r="P497">
        <v>17360927</v>
      </c>
    </row>
    <row r="498" spans="1:16" ht="14.25" x14ac:dyDescent="0.2">
      <c r="A498">
        <v>21</v>
      </c>
      <c r="B498" t="s">
        <v>22</v>
      </c>
      <c r="C498" t="s">
        <v>17</v>
      </c>
      <c r="D498">
        <v>22</v>
      </c>
      <c r="E498">
        <v>1</v>
      </c>
      <c r="F498" t="s">
        <v>37</v>
      </c>
      <c r="G498">
        <v>3</v>
      </c>
      <c r="H498">
        <v>3</v>
      </c>
      <c r="I498" t="s">
        <v>19</v>
      </c>
      <c r="J498">
        <v>3447</v>
      </c>
      <c r="K498">
        <v>1</v>
      </c>
      <c r="L498">
        <v>3</v>
      </c>
      <c r="M498">
        <v>3</v>
      </c>
      <c r="N498" t="s">
        <v>25</v>
      </c>
      <c r="O498" t="s">
        <v>34</v>
      </c>
      <c r="P498">
        <v>22614507</v>
      </c>
    </row>
    <row r="499" spans="1:16" ht="14.25" x14ac:dyDescent="0.2">
      <c r="A499">
        <v>44</v>
      </c>
      <c r="B499" t="s">
        <v>22</v>
      </c>
      <c r="C499" t="s">
        <v>23</v>
      </c>
      <c r="D499">
        <v>3</v>
      </c>
      <c r="E499">
        <v>4</v>
      </c>
      <c r="F499" t="s">
        <v>27</v>
      </c>
      <c r="G499">
        <v>4</v>
      </c>
      <c r="H499">
        <v>4</v>
      </c>
      <c r="I499" t="s">
        <v>24</v>
      </c>
      <c r="J499">
        <v>19513</v>
      </c>
      <c r="K499">
        <v>4</v>
      </c>
      <c r="L499">
        <v>4</v>
      </c>
      <c r="M499">
        <v>2</v>
      </c>
      <c r="N499" t="s">
        <v>25</v>
      </c>
      <c r="O499" t="s">
        <v>33</v>
      </c>
      <c r="P499">
        <v>28436319</v>
      </c>
    </row>
    <row r="500" spans="1:16" ht="14.25" x14ac:dyDescent="0.2">
      <c r="A500">
        <v>22</v>
      </c>
      <c r="B500" t="s">
        <v>22</v>
      </c>
      <c r="C500" t="s">
        <v>23</v>
      </c>
      <c r="D500">
        <v>6</v>
      </c>
      <c r="E500">
        <v>1</v>
      </c>
      <c r="F500" t="s">
        <v>29</v>
      </c>
      <c r="G500">
        <v>1</v>
      </c>
      <c r="H500">
        <v>3</v>
      </c>
      <c r="I500" t="s">
        <v>24</v>
      </c>
      <c r="J500">
        <v>2773</v>
      </c>
      <c r="K500">
        <v>0</v>
      </c>
      <c r="L500">
        <v>3</v>
      </c>
      <c r="M500">
        <v>2</v>
      </c>
      <c r="N500" t="s">
        <v>25</v>
      </c>
      <c r="O500" t="s">
        <v>26</v>
      </c>
      <c r="P500">
        <v>49471040</v>
      </c>
    </row>
    <row r="501" spans="1:16" ht="14.25" x14ac:dyDescent="0.2">
      <c r="A501">
        <v>33</v>
      </c>
      <c r="B501" t="s">
        <v>22</v>
      </c>
      <c r="C501" t="s">
        <v>17</v>
      </c>
      <c r="D501">
        <v>8</v>
      </c>
      <c r="E501">
        <v>4</v>
      </c>
      <c r="F501" t="s">
        <v>36</v>
      </c>
      <c r="G501">
        <v>3</v>
      </c>
      <c r="H501">
        <v>3</v>
      </c>
      <c r="I501" t="s">
        <v>30</v>
      </c>
      <c r="J501">
        <v>7104</v>
      </c>
      <c r="K501">
        <v>0</v>
      </c>
      <c r="L501">
        <v>3</v>
      </c>
      <c r="M501">
        <v>5</v>
      </c>
      <c r="N501" t="s">
        <v>25</v>
      </c>
      <c r="O501" t="s">
        <v>21</v>
      </c>
      <c r="P501">
        <v>24219172</v>
      </c>
    </row>
    <row r="502" spans="1:16" ht="14.25" x14ac:dyDescent="0.2">
      <c r="A502">
        <v>32</v>
      </c>
      <c r="B502" t="s">
        <v>22</v>
      </c>
      <c r="C502" t="s">
        <v>23</v>
      </c>
      <c r="D502">
        <v>9</v>
      </c>
      <c r="E502">
        <v>4</v>
      </c>
      <c r="F502" t="s">
        <v>18</v>
      </c>
      <c r="G502">
        <v>1</v>
      </c>
      <c r="H502">
        <v>4</v>
      </c>
      <c r="I502" t="s">
        <v>24</v>
      </c>
      <c r="J502">
        <v>6322</v>
      </c>
      <c r="K502">
        <v>1</v>
      </c>
      <c r="L502">
        <v>2</v>
      </c>
      <c r="M502">
        <v>6</v>
      </c>
      <c r="N502" t="s">
        <v>20</v>
      </c>
      <c r="O502" t="s">
        <v>26</v>
      </c>
      <c r="P502">
        <v>83512638</v>
      </c>
    </row>
    <row r="503" spans="1:16" ht="14.25" x14ac:dyDescent="0.2">
      <c r="A503">
        <v>30</v>
      </c>
      <c r="B503" t="s">
        <v>22</v>
      </c>
      <c r="C503" t="s">
        <v>23</v>
      </c>
      <c r="D503">
        <v>3</v>
      </c>
      <c r="E503">
        <v>3</v>
      </c>
      <c r="F503" t="s">
        <v>29</v>
      </c>
      <c r="G503">
        <v>3</v>
      </c>
      <c r="H503">
        <v>3</v>
      </c>
      <c r="I503" t="s">
        <v>30</v>
      </c>
      <c r="J503">
        <v>2083</v>
      </c>
      <c r="K503">
        <v>1</v>
      </c>
      <c r="L503">
        <v>3</v>
      </c>
      <c r="M503">
        <v>1</v>
      </c>
      <c r="N503" t="s">
        <v>20</v>
      </c>
      <c r="O503" t="s">
        <v>26</v>
      </c>
      <c r="P503">
        <v>82625208</v>
      </c>
    </row>
    <row r="504" spans="1:16" ht="14.25" x14ac:dyDescent="0.2">
      <c r="A504">
        <v>53</v>
      </c>
      <c r="B504" t="s">
        <v>22</v>
      </c>
      <c r="C504" t="s">
        <v>17</v>
      </c>
      <c r="D504">
        <v>1</v>
      </c>
      <c r="E504">
        <v>1</v>
      </c>
      <c r="F504" t="s">
        <v>29</v>
      </c>
      <c r="G504">
        <v>4</v>
      </c>
      <c r="H504">
        <v>1</v>
      </c>
      <c r="I504" t="s">
        <v>19</v>
      </c>
      <c r="J504">
        <v>8381</v>
      </c>
      <c r="K504">
        <v>7</v>
      </c>
      <c r="L504">
        <v>4</v>
      </c>
      <c r="M504">
        <v>14</v>
      </c>
      <c r="N504" t="s">
        <v>20</v>
      </c>
      <c r="O504" t="s">
        <v>21</v>
      </c>
      <c r="P504">
        <v>82369431</v>
      </c>
    </row>
    <row r="505" spans="1:16" ht="14.25" x14ac:dyDescent="0.2">
      <c r="A505">
        <v>34</v>
      </c>
      <c r="B505" t="s">
        <v>22</v>
      </c>
      <c r="C505" t="s">
        <v>23</v>
      </c>
      <c r="D505">
        <v>1</v>
      </c>
      <c r="E505">
        <v>5</v>
      </c>
      <c r="F505" t="s">
        <v>18</v>
      </c>
      <c r="G505">
        <v>2</v>
      </c>
      <c r="H505">
        <v>4</v>
      </c>
      <c r="I505" t="s">
        <v>24</v>
      </c>
      <c r="J505">
        <v>2691</v>
      </c>
      <c r="K505">
        <v>1</v>
      </c>
      <c r="L505">
        <v>2</v>
      </c>
      <c r="M505">
        <v>10</v>
      </c>
      <c r="N505" t="s">
        <v>25</v>
      </c>
      <c r="O505" t="s">
        <v>26</v>
      </c>
      <c r="P505">
        <v>63751974</v>
      </c>
    </row>
    <row r="506" spans="1:16" ht="14.25" x14ac:dyDescent="0.2">
      <c r="A506">
        <v>45</v>
      </c>
      <c r="B506" t="s">
        <v>16</v>
      </c>
      <c r="C506" t="s">
        <v>17</v>
      </c>
      <c r="D506">
        <v>26</v>
      </c>
      <c r="E506">
        <v>4</v>
      </c>
      <c r="F506" t="s">
        <v>18</v>
      </c>
      <c r="G506">
        <v>1</v>
      </c>
      <c r="H506">
        <v>1</v>
      </c>
      <c r="I506" t="s">
        <v>24</v>
      </c>
      <c r="J506">
        <v>4286</v>
      </c>
      <c r="K506">
        <v>2</v>
      </c>
      <c r="L506">
        <v>3</v>
      </c>
      <c r="M506">
        <v>1</v>
      </c>
      <c r="N506" t="s">
        <v>20</v>
      </c>
      <c r="O506" t="s">
        <v>21</v>
      </c>
      <c r="P506">
        <v>56700864</v>
      </c>
    </row>
    <row r="507" spans="1:16" ht="14.25" x14ac:dyDescent="0.2">
      <c r="A507">
        <v>26</v>
      </c>
      <c r="B507" t="s">
        <v>22</v>
      </c>
      <c r="C507" t="s">
        <v>23</v>
      </c>
      <c r="D507">
        <v>6</v>
      </c>
      <c r="E507">
        <v>3</v>
      </c>
      <c r="F507" t="s">
        <v>18</v>
      </c>
      <c r="G507">
        <v>3</v>
      </c>
      <c r="H507">
        <v>4</v>
      </c>
      <c r="I507" t="s">
        <v>24</v>
      </c>
      <c r="J507">
        <v>2659</v>
      </c>
      <c r="K507">
        <v>1</v>
      </c>
      <c r="L507">
        <v>3</v>
      </c>
      <c r="M507">
        <v>3</v>
      </c>
      <c r="N507" t="s">
        <v>20</v>
      </c>
      <c r="O507" t="s">
        <v>28</v>
      </c>
      <c r="P507">
        <v>15322892</v>
      </c>
    </row>
    <row r="508" spans="1:16" ht="14.25" x14ac:dyDescent="0.2">
      <c r="A508">
        <v>37</v>
      </c>
      <c r="B508" t="s">
        <v>22</v>
      </c>
      <c r="C508" t="s">
        <v>23</v>
      </c>
      <c r="D508">
        <v>3</v>
      </c>
      <c r="E508">
        <v>3</v>
      </c>
      <c r="F508" t="s">
        <v>27</v>
      </c>
      <c r="G508">
        <v>3</v>
      </c>
      <c r="H508">
        <v>3</v>
      </c>
      <c r="I508" t="s">
        <v>24</v>
      </c>
      <c r="J508">
        <v>9434</v>
      </c>
      <c r="K508">
        <v>1</v>
      </c>
      <c r="L508">
        <v>3</v>
      </c>
      <c r="M508">
        <v>10</v>
      </c>
      <c r="N508" t="s">
        <v>25</v>
      </c>
      <c r="O508" t="s">
        <v>31</v>
      </c>
      <c r="P508">
        <v>71171331</v>
      </c>
    </row>
    <row r="509" spans="1:16" ht="14.25" x14ac:dyDescent="0.2">
      <c r="A509">
        <v>29</v>
      </c>
      <c r="B509" t="s">
        <v>22</v>
      </c>
      <c r="C509" t="s">
        <v>17</v>
      </c>
      <c r="D509">
        <v>3</v>
      </c>
      <c r="E509">
        <v>2</v>
      </c>
      <c r="F509" t="s">
        <v>29</v>
      </c>
      <c r="G509">
        <v>2</v>
      </c>
      <c r="H509">
        <v>3</v>
      </c>
      <c r="I509" t="s">
        <v>24</v>
      </c>
      <c r="J509">
        <v>5561</v>
      </c>
      <c r="K509">
        <v>1</v>
      </c>
      <c r="L509">
        <v>2</v>
      </c>
      <c r="M509">
        <v>6</v>
      </c>
      <c r="N509" t="s">
        <v>20</v>
      </c>
      <c r="O509" t="s">
        <v>21</v>
      </c>
      <c r="P509">
        <v>36763716</v>
      </c>
    </row>
    <row r="510" spans="1:16" ht="14.25" x14ac:dyDescent="0.2">
      <c r="A510">
        <v>35</v>
      </c>
      <c r="B510" t="s">
        <v>22</v>
      </c>
      <c r="C510" t="s">
        <v>23</v>
      </c>
      <c r="D510">
        <v>6</v>
      </c>
      <c r="E510">
        <v>4</v>
      </c>
      <c r="F510" t="s">
        <v>18</v>
      </c>
      <c r="G510">
        <v>2</v>
      </c>
      <c r="H510">
        <v>4</v>
      </c>
      <c r="I510" t="s">
        <v>19</v>
      </c>
      <c r="J510">
        <v>6646</v>
      </c>
      <c r="K510">
        <v>1</v>
      </c>
      <c r="L510">
        <v>3</v>
      </c>
      <c r="M510">
        <v>17</v>
      </c>
      <c r="N510" t="s">
        <v>25</v>
      </c>
      <c r="O510" t="s">
        <v>26</v>
      </c>
      <c r="P510">
        <v>77009306</v>
      </c>
    </row>
    <row r="511" spans="1:16" ht="14.25" x14ac:dyDescent="0.2">
      <c r="A511">
        <v>33</v>
      </c>
      <c r="B511" t="s">
        <v>22</v>
      </c>
      <c r="C511" t="s">
        <v>23</v>
      </c>
      <c r="D511">
        <v>6</v>
      </c>
      <c r="E511">
        <v>3</v>
      </c>
      <c r="F511" t="s">
        <v>18</v>
      </c>
      <c r="G511">
        <v>3</v>
      </c>
      <c r="H511">
        <v>4</v>
      </c>
      <c r="I511" t="s">
        <v>30</v>
      </c>
      <c r="J511">
        <v>7725</v>
      </c>
      <c r="K511">
        <v>3</v>
      </c>
      <c r="L511">
        <v>1</v>
      </c>
      <c r="M511">
        <v>13</v>
      </c>
      <c r="N511" t="s">
        <v>25</v>
      </c>
      <c r="O511" t="s">
        <v>32</v>
      </c>
      <c r="P511">
        <v>53161445</v>
      </c>
    </row>
    <row r="512" spans="1:16" ht="14.25" x14ac:dyDescent="0.2">
      <c r="A512">
        <v>54</v>
      </c>
      <c r="B512" t="s">
        <v>22</v>
      </c>
      <c r="C512" t="s">
        <v>38</v>
      </c>
      <c r="D512">
        <v>19</v>
      </c>
      <c r="E512">
        <v>4</v>
      </c>
      <c r="F512" t="s">
        <v>29</v>
      </c>
      <c r="G512">
        <v>3</v>
      </c>
      <c r="H512">
        <v>2</v>
      </c>
      <c r="I512" t="s">
        <v>24</v>
      </c>
      <c r="J512">
        <v>10725</v>
      </c>
      <c r="K512">
        <v>2</v>
      </c>
      <c r="L512">
        <v>4</v>
      </c>
      <c r="M512">
        <v>9</v>
      </c>
      <c r="N512" t="s">
        <v>25</v>
      </c>
      <c r="O512" t="s">
        <v>38</v>
      </c>
      <c r="P512">
        <v>12911051</v>
      </c>
    </row>
    <row r="513" spans="1:16" ht="14.25" x14ac:dyDescent="0.2">
      <c r="A513">
        <v>36</v>
      </c>
      <c r="B513" t="s">
        <v>22</v>
      </c>
      <c r="C513" t="s">
        <v>23</v>
      </c>
      <c r="D513">
        <v>9</v>
      </c>
      <c r="E513">
        <v>2</v>
      </c>
      <c r="F513" t="s">
        <v>29</v>
      </c>
      <c r="G513">
        <v>2</v>
      </c>
      <c r="H513">
        <v>2</v>
      </c>
      <c r="I513" t="s">
        <v>30</v>
      </c>
      <c r="J513">
        <v>8847</v>
      </c>
      <c r="K513">
        <v>2</v>
      </c>
      <c r="L513">
        <v>3</v>
      </c>
      <c r="M513">
        <v>3</v>
      </c>
      <c r="N513" t="s">
        <v>25</v>
      </c>
      <c r="O513" t="s">
        <v>31</v>
      </c>
      <c r="P513">
        <v>35230395</v>
      </c>
    </row>
    <row r="514" spans="1:16" ht="14.25" x14ac:dyDescent="0.2">
      <c r="A514">
        <v>27</v>
      </c>
      <c r="B514" t="s">
        <v>22</v>
      </c>
      <c r="C514" t="s">
        <v>23</v>
      </c>
      <c r="D514">
        <v>3</v>
      </c>
      <c r="E514">
        <v>4</v>
      </c>
      <c r="F514" t="s">
        <v>29</v>
      </c>
      <c r="G514">
        <v>1</v>
      </c>
      <c r="H514">
        <v>4</v>
      </c>
      <c r="I514" t="s">
        <v>19</v>
      </c>
      <c r="J514">
        <v>2045</v>
      </c>
      <c r="K514">
        <v>0</v>
      </c>
      <c r="L514">
        <v>3</v>
      </c>
      <c r="M514">
        <v>4</v>
      </c>
      <c r="N514" t="s">
        <v>25</v>
      </c>
      <c r="O514" t="s">
        <v>26</v>
      </c>
      <c r="P514">
        <v>61030181</v>
      </c>
    </row>
    <row r="515" spans="1:16" ht="14.25" x14ac:dyDescent="0.2">
      <c r="A515">
        <v>20</v>
      </c>
      <c r="B515" t="s">
        <v>16</v>
      </c>
      <c r="C515" t="s">
        <v>23</v>
      </c>
      <c r="D515">
        <v>10</v>
      </c>
      <c r="E515">
        <v>1</v>
      </c>
      <c r="F515" t="s">
        <v>29</v>
      </c>
      <c r="G515">
        <v>4</v>
      </c>
      <c r="H515">
        <v>3</v>
      </c>
      <c r="I515" t="s">
        <v>19</v>
      </c>
      <c r="J515">
        <v>1009</v>
      </c>
      <c r="K515">
        <v>1</v>
      </c>
      <c r="L515">
        <v>3</v>
      </c>
      <c r="M515">
        <v>1</v>
      </c>
      <c r="N515" t="s">
        <v>25</v>
      </c>
      <c r="O515" t="s">
        <v>26</v>
      </c>
      <c r="P515">
        <v>76933938</v>
      </c>
    </row>
    <row r="516" spans="1:16" ht="14.25" x14ac:dyDescent="0.2">
      <c r="A516">
        <v>33</v>
      </c>
      <c r="B516" t="s">
        <v>16</v>
      </c>
      <c r="C516" t="s">
        <v>23</v>
      </c>
      <c r="D516">
        <v>3</v>
      </c>
      <c r="E516">
        <v>3</v>
      </c>
      <c r="F516" t="s">
        <v>18</v>
      </c>
      <c r="G516">
        <v>1</v>
      </c>
      <c r="H516">
        <v>1</v>
      </c>
      <c r="I516" t="s">
        <v>19</v>
      </c>
      <c r="J516">
        <v>3348</v>
      </c>
      <c r="K516">
        <v>1</v>
      </c>
      <c r="L516">
        <v>3</v>
      </c>
      <c r="M516">
        <v>10</v>
      </c>
      <c r="N516" t="s">
        <v>25</v>
      </c>
      <c r="O516" t="s">
        <v>26</v>
      </c>
      <c r="P516">
        <v>23967690</v>
      </c>
    </row>
    <row r="517" spans="1:16" ht="14.25" x14ac:dyDescent="0.2">
      <c r="A517">
        <v>35</v>
      </c>
      <c r="B517" t="s">
        <v>22</v>
      </c>
      <c r="C517" t="s">
        <v>23</v>
      </c>
      <c r="D517">
        <v>3</v>
      </c>
      <c r="E517">
        <v>3</v>
      </c>
      <c r="F517" t="s">
        <v>18</v>
      </c>
      <c r="G517">
        <v>3</v>
      </c>
      <c r="H517">
        <v>3</v>
      </c>
      <c r="I517" t="s">
        <v>24</v>
      </c>
      <c r="J517">
        <v>1281</v>
      </c>
      <c r="K517">
        <v>1</v>
      </c>
      <c r="L517">
        <v>3</v>
      </c>
      <c r="M517">
        <v>1</v>
      </c>
      <c r="N517" t="s">
        <v>25</v>
      </c>
      <c r="O517" t="s">
        <v>28</v>
      </c>
      <c r="P517">
        <v>14068938</v>
      </c>
    </row>
    <row r="518" spans="1:16" ht="14.25" x14ac:dyDescent="0.2">
      <c r="A518">
        <v>23</v>
      </c>
      <c r="B518" t="s">
        <v>22</v>
      </c>
      <c r="C518" t="s">
        <v>23</v>
      </c>
      <c r="D518">
        <v>4</v>
      </c>
      <c r="E518">
        <v>3</v>
      </c>
      <c r="F518" t="s">
        <v>29</v>
      </c>
      <c r="G518">
        <v>1</v>
      </c>
      <c r="H518">
        <v>1</v>
      </c>
      <c r="I518" t="s">
        <v>24</v>
      </c>
      <c r="J518">
        <v>2819</v>
      </c>
      <c r="K518">
        <v>2</v>
      </c>
      <c r="L518">
        <v>4</v>
      </c>
      <c r="M518">
        <v>3</v>
      </c>
      <c r="N518" t="s">
        <v>25</v>
      </c>
      <c r="O518" t="s">
        <v>26</v>
      </c>
      <c r="P518">
        <v>57724914</v>
      </c>
    </row>
    <row r="519" spans="1:16" ht="14.25" x14ac:dyDescent="0.2">
      <c r="A519">
        <v>25</v>
      </c>
      <c r="B519" t="s">
        <v>22</v>
      </c>
      <c r="C519" t="s">
        <v>17</v>
      </c>
      <c r="D519">
        <v>8</v>
      </c>
      <c r="E519">
        <v>3</v>
      </c>
      <c r="F519" t="s">
        <v>18</v>
      </c>
      <c r="G519">
        <v>4</v>
      </c>
      <c r="H519">
        <v>2</v>
      </c>
      <c r="I519" t="s">
        <v>24</v>
      </c>
      <c r="J519">
        <v>4851</v>
      </c>
      <c r="K519">
        <v>0</v>
      </c>
      <c r="L519">
        <v>3</v>
      </c>
      <c r="M519">
        <v>3</v>
      </c>
      <c r="N519" t="s">
        <v>25</v>
      </c>
      <c r="O519" t="s">
        <v>21</v>
      </c>
      <c r="P519">
        <v>83101696</v>
      </c>
    </row>
    <row r="520" spans="1:16" ht="14.25" x14ac:dyDescent="0.2">
      <c r="A520">
        <v>38</v>
      </c>
      <c r="B520" t="s">
        <v>22</v>
      </c>
      <c r="C520" t="s">
        <v>17</v>
      </c>
      <c r="D520">
        <v>7</v>
      </c>
      <c r="E520">
        <v>4</v>
      </c>
      <c r="F520" t="s">
        <v>36</v>
      </c>
      <c r="G520">
        <v>4</v>
      </c>
      <c r="H520">
        <v>4</v>
      </c>
      <c r="I520" t="s">
        <v>19</v>
      </c>
      <c r="J520">
        <v>4028</v>
      </c>
      <c r="K520">
        <v>0</v>
      </c>
      <c r="L520">
        <v>3</v>
      </c>
      <c r="M520">
        <v>7</v>
      </c>
      <c r="N520" t="s">
        <v>20</v>
      </c>
      <c r="O520" t="s">
        <v>21</v>
      </c>
      <c r="P520">
        <v>21374322</v>
      </c>
    </row>
    <row r="521" spans="1:16" ht="14.25" x14ac:dyDescent="0.2">
      <c r="A521">
        <v>29</v>
      </c>
      <c r="B521" t="s">
        <v>22</v>
      </c>
      <c r="C521" t="s">
        <v>23</v>
      </c>
      <c r="D521">
        <v>1</v>
      </c>
      <c r="E521">
        <v>4</v>
      </c>
      <c r="F521" t="s">
        <v>18</v>
      </c>
      <c r="G521">
        <v>2</v>
      </c>
      <c r="H521">
        <v>4</v>
      </c>
      <c r="I521" t="s">
        <v>30</v>
      </c>
      <c r="J521">
        <v>2720</v>
      </c>
      <c r="K521">
        <v>1</v>
      </c>
      <c r="L521">
        <v>3</v>
      </c>
      <c r="M521">
        <v>10</v>
      </c>
      <c r="N521" t="s">
        <v>25</v>
      </c>
      <c r="O521" t="s">
        <v>26</v>
      </c>
      <c r="P521">
        <v>25992581</v>
      </c>
    </row>
    <row r="522" spans="1:16" ht="14.25" x14ac:dyDescent="0.2">
      <c r="A522">
        <v>48</v>
      </c>
      <c r="B522" t="s">
        <v>22</v>
      </c>
      <c r="C522" t="s">
        <v>17</v>
      </c>
      <c r="D522">
        <v>2</v>
      </c>
      <c r="E522">
        <v>1</v>
      </c>
      <c r="F522" t="s">
        <v>36</v>
      </c>
      <c r="G522">
        <v>2</v>
      </c>
      <c r="H522">
        <v>2</v>
      </c>
      <c r="I522" t="s">
        <v>24</v>
      </c>
      <c r="J522">
        <v>8120</v>
      </c>
      <c r="K522">
        <v>3</v>
      </c>
      <c r="L522">
        <v>3</v>
      </c>
      <c r="M522">
        <v>2</v>
      </c>
      <c r="N522" t="s">
        <v>25</v>
      </c>
      <c r="O522" t="s">
        <v>21</v>
      </c>
      <c r="P522">
        <v>31222042</v>
      </c>
    </row>
    <row r="523" spans="1:16" ht="14.25" x14ac:dyDescent="0.2">
      <c r="A523">
        <v>27</v>
      </c>
      <c r="B523" t="s">
        <v>22</v>
      </c>
      <c r="C523" t="s">
        <v>17</v>
      </c>
      <c r="D523">
        <v>3</v>
      </c>
      <c r="E523">
        <v>1</v>
      </c>
      <c r="F523" t="s">
        <v>29</v>
      </c>
      <c r="G523">
        <v>4</v>
      </c>
      <c r="H523">
        <v>4</v>
      </c>
      <c r="I523" t="s">
        <v>30</v>
      </c>
      <c r="J523">
        <v>4647</v>
      </c>
      <c r="K523">
        <v>1</v>
      </c>
      <c r="L523">
        <v>3</v>
      </c>
      <c r="M523">
        <v>6</v>
      </c>
      <c r="N523" t="s">
        <v>20</v>
      </c>
      <c r="O523" t="s">
        <v>21</v>
      </c>
      <c r="P523">
        <v>72355243</v>
      </c>
    </row>
    <row r="524" spans="1:16" ht="14.25" x14ac:dyDescent="0.2">
      <c r="A524">
        <v>37</v>
      </c>
      <c r="B524" t="s">
        <v>22</v>
      </c>
      <c r="C524" t="s">
        <v>23</v>
      </c>
      <c r="D524">
        <v>10</v>
      </c>
      <c r="E524">
        <v>2</v>
      </c>
      <c r="F524" t="s">
        <v>18</v>
      </c>
      <c r="G524">
        <v>4</v>
      </c>
      <c r="H524">
        <v>4</v>
      </c>
      <c r="I524" t="s">
        <v>19</v>
      </c>
      <c r="J524">
        <v>4680</v>
      </c>
      <c r="K524">
        <v>3</v>
      </c>
      <c r="L524">
        <v>3</v>
      </c>
      <c r="M524">
        <v>1</v>
      </c>
      <c r="N524" t="s">
        <v>25</v>
      </c>
      <c r="O524" t="s">
        <v>26</v>
      </c>
      <c r="P524">
        <v>67316667</v>
      </c>
    </row>
    <row r="525" spans="1:16" ht="14.25" x14ac:dyDescent="0.2">
      <c r="A525">
        <v>50</v>
      </c>
      <c r="B525" t="s">
        <v>22</v>
      </c>
      <c r="C525" t="s">
        <v>23</v>
      </c>
      <c r="D525">
        <v>28</v>
      </c>
      <c r="E525">
        <v>1</v>
      </c>
      <c r="F525" t="s">
        <v>29</v>
      </c>
      <c r="G525">
        <v>4</v>
      </c>
      <c r="H525">
        <v>3</v>
      </c>
      <c r="I525" t="s">
        <v>24</v>
      </c>
      <c r="J525">
        <v>3221</v>
      </c>
      <c r="K525">
        <v>1</v>
      </c>
      <c r="L525">
        <v>3</v>
      </c>
      <c r="M525">
        <v>20</v>
      </c>
      <c r="N525" t="s">
        <v>25</v>
      </c>
      <c r="O525" t="s">
        <v>28</v>
      </c>
      <c r="P525">
        <v>87780502</v>
      </c>
    </row>
    <row r="526" spans="1:16" ht="14.25" x14ac:dyDescent="0.2">
      <c r="A526">
        <v>34</v>
      </c>
      <c r="B526" t="s">
        <v>22</v>
      </c>
      <c r="C526" t="s">
        <v>23</v>
      </c>
      <c r="D526">
        <v>9</v>
      </c>
      <c r="E526">
        <v>3</v>
      </c>
      <c r="F526" t="s">
        <v>29</v>
      </c>
      <c r="G526">
        <v>4</v>
      </c>
      <c r="H526">
        <v>2</v>
      </c>
      <c r="I526" t="s">
        <v>19</v>
      </c>
      <c r="J526">
        <v>8621</v>
      </c>
      <c r="K526">
        <v>1</v>
      </c>
      <c r="L526">
        <v>4</v>
      </c>
      <c r="M526">
        <v>8</v>
      </c>
      <c r="N526" t="s">
        <v>20</v>
      </c>
      <c r="O526" t="s">
        <v>32</v>
      </c>
      <c r="P526">
        <v>22973101</v>
      </c>
    </row>
    <row r="527" spans="1:16" ht="14.25" x14ac:dyDescent="0.2">
      <c r="A527">
        <v>24</v>
      </c>
      <c r="B527" t="s">
        <v>16</v>
      </c>
      <c r="C527" t="s">
        <v>17</v>
      </c>
      <c r="D527">
        <v>3</v>
      </c>
      <c r="E527">
        <v>2</v>
      </c>
      <c r="F527" t="s">
        <v>18</v>
      </c>
      <c r="G527">
        <v>1</v>
      </c>
      <c r="H527">
        <v>3</v>
      </c>
      <c r="I527" t="s">
        <v>19</v>
      </c>
      <c r="J527">
        <v>4577</v>
      </c>
      <c r="K527">
        <v>9</v>
      </c>
      <c r="L527">
        <v>3</v>
      </c>
      <c r="M527">
        <v>2</v>
      </c>
      <c r="N527" t="s">
        <v>20</v>
      </c>
      <c r="O527" t="s">
        <v>21</v>
      </c>
      <c r="P527">
        <v>58325866</v>
      </c>
    </row>
    <row r="528" spans="1:16" ht="14.25" x14ac:dyDescent="0.2">
      <c r="A528">
        <v>39</v>
      </c>
      <c r="B528" t="s">
        <v>22</v>
      </c>
      <c r="C528" t="s">
        <v>23</v>
      </c>
      <c r="D528">
        <v>2</v>
      </c>
      <c r="E528">
        <v>4</v>
      </c>
      <c r="F528" t="s">
        <v>37</v>
      </c>
      <c r="G528">
        <v>4</v>
      </c>
      <c r="H528">
        <v>3</v>
      </c>
      <c r="I528" t="s">
        <v>19</v>
      </c>
      <c r="J528">
        <v>4553</v>
      </c>
      <c r="K528">
        <v>1</v>
      </c>
      <c r="L528">
        <v>3</v>
      </c>
      <c r="M528">
        <v>20</v>
      </c>
      <c r="N528" t="s">
        <v>20</v>
      </c>
      <c r="O528" t="s">
        <v>32</v>
      </c>
      <c r="P528">
        <v>52266040</v>
      </c>
    </row>
    <row r="529" spans="1:16" ht="14.25" x14ac:dyDescent="0.2">
      <c r="A529">
        <v>32</v>
      </c>
      <c r="B529" t="s">
        <v>22</v>
      </c>
      <c r="C529" t="s">
        <v>17</v>
      </c>
      <c r="D529">
        <v>10</v>
      </c>
      <c r="E529">
        <v>3</v>
      </c>
      <c r="F529" t="s">
        <v>36</v>
      </c>
      <c r="G529">
        <v>4</v>
      </c>
      <c r="H529">
        <v>4</v>
      </c>
      <c r="I529" t="s">
        <v>19</v>
      </c>
      <c r="J529">
        <v>5396</v>
      </c>
      <c r="K529">
        <v>1</v>
      </c>
      <c r="L529">
        <v>2</v>
      </c>
      <c r="M529">
        <v>10</v>
      </c>
      <c r="N529" t="s">
        <v>25</v>
      </c>
      <c r="O529" t="s">
        <v>21</v>
      </c>
      <c r="P529">
        <v>56797812</v>
      </c>
    </row>
    <row r="530" spans="1:16" ht="14.25" x14ac:dyDescent="0.2">
      <c r="A530">
        <v>50</v>
      </c>
      <c r="B530" t="s">
        <v>16</v>
      </c>
      <c r="C530" t="s">
        <v>17</v>
      </c>
      <c r="D530">
        <v>8</v>
      </c>
      <c r="E530">
        <v>2</v>
      </c>
      <c r="F530" t="s">
        <v>37</v>
      </c>
      <c r="G530">
        <v>2</v>
      </c>
      <c r="H530">
        <v>3</v>
      </c>
      <c r="I530" t="s">
        <v>24</v>
      </c>
      <c r="J530">
        <v>6796</v>
      </c>
      <c r="K530">
        <v>3</v>
      </c>
      <c r="L530">
        <v>3</v>
      </c>
      <c r="M530">
        <v>4</v>
      </c>
      <c r="N530" t="s">
        <v>25</v>
      </c>
      <c r="O530" t="s">
        <v>21</v>
      </c>
      <c r="P530">
        <v>58732940</v>
      </c>
    </row>
    <row r="531" spans="1:16" ht="14.25" x14ac:dyDescent="0.2">
      <c r="A531">
        <v>38</v>
      </c>
      <c r="B531" t="s">
        <v>22</v>
      </c>
      <c r="C531" t="s">
        <v>23</v>
      </c>
      <c r="D531">
        <v>1</v>
      </c>
      <c r="E531">
        <v>4</v>
      </c>
      <c r="F531" t="s">
        <v>18</v>
      </c>
      <c r="G531">
        <v>2</v>
      </c>
      <c r="H531">
        <v>4</v>
      </c>
      <c r="I531" t="s">
        <v>19</v>
      </c>
      <c r="J531">
        <v>7625</v>
      </c>
      <c r="K531">
        <v>0</v>
      </c>
      <c r="L531">
        <v>2</v>
      </c>
      <c r="M531">
        <v>9</v>
      </c>
      <c r="N531" t="s">
        <v>20</v>
      </c>
      <c r="O531" t="s">
        <v>32</v>
      </c>
      <c r="P531">
        <v>77928216</v>
      </c>
    </row>
    <row r="532" spans="1:16" ht="14.25" x14ac:dyDescent="0.2">
      <c r="A532">
        <v>27</v>
      </c>
      <c r="B532" t="s">
        <v>22</v>
      </c>
      <c r="C532" t="s">
        <v>23</v>
      </c>
      <c r="D532">
        <v>1</v>
      </c>
      <c r="E532">
        <v>2</v>
      </c>
      <c r="F532" t="s">
        <v>18</v>
      </c>
      <c r="G532">
        <v>3</v>
      </c>
      <c r="H532">
        <v>1</v>
      </c>
      <c r="I532" t="s">
        <v>24</v>
      </c>
      <c r="J532">
        <v>7412</v>
      </c>
      <c r="K532">
        <v>1</v>
      </c>
      <c r="L532">
        <v>3</v>
      </c>
      <c r="M532">
        <v>9</v>
      </c>
      <c r="N532" t="s">
        <v>20</v>
      </c>
      <c r="O532" t="s">
        <v>31</v>
      </c>
      <c r="P532">
        <v>23771302</v>
      </c>
    </row>
    <row r="533" spans="1:16" ht="14.25" x14ac:dyDescent="0.2">
      <c r="A533">
        <v>32</v>
      </c>
      <c r="B533" t="s">
        <v>22</v>
      </c>
      <c r="C533" t="s">
        <v>23</v>
      </c>
      <c r="D533">
        <v>3</v>
      </c>
      <c r="E533">
        <v>2</v>
      </c>
      <c r="F533" t="s">
        <v>18</v>
      </c>
      <c r="G533">
        <v>3</v>
      </c>
      <c r="H533">
        <v>4</v>
      </c>
      <c r="I533" t="s">
        <v>19</v>
      </c>
      <c r="J533">
        <v>11159</v>
      </c>
      <c r="K533">
        <v>3</v>
      </c>
      <c r="L533">
        <v>3</v>
      </c>
      <c r="M533">
        <v>7</v>
      </c>
      <c r="N533" t="s">
        <v>20</v>
      </c>
      <c r="O533" t="s">
        <v>35</v>
      </c>
      <c r="P533">
        <v>68175667</v>
      </c>
    </row>
    <row r="534" spans="1:16" ht="14.25" x14ac:dyDescent="0.2">
      <c r="A534">
        <v>47</v>
      </c>
      <c r="B534" t="s">
        <v>22</v>
      </c>
      <c r="C534" t="s">
        <v>17</v>
      </c>
      <c r="D534">
        <v>14</v>
      </c>
      <c r="E534">
        <v>4</v>
      </c>
      <c r="F534" t="s">
        <v>36</v>
      </c>
      <c r="G534">
        <v>4</v>
      </c>
      <c r="H534">
        <v>1</v>
      </c>
      <c r="I534" t="s">
        <v>19</v>
      </c>
      <c r="J534">
        <v>4960</v>
      </c>
      <c r="K534">
        <v>2</v>
      </c>
      <c r="L534">
        <v>3</v>
      </c>
      <c r="M534">
        <v>7</v>
      </c>
      <c r="N534" t="s">
        <v>25</v>
      </c>
      <c r="O534" t="s">
        <v>21</v>
      </c>
      <c r="P534">
        <v>63203790</v>
      </c>
    </row>
    <row r="535" spans="1:16" ht="14.25" x14ac:dyDescent="0.2">
      <c r="A535">
        <v>40</v>
      </c>
      <c r="B535" t="s">
        <v>22</v>
      </c>
      <c r="C535" t="s">
        <v>17</v>
      </c>
      <c r="D535">
        <v>5</v>
      </c>
      <c r="E535">
        <v>4</v>
      </c>
      <c r="F535" t="s">
        <v>18</v>
      </c>
      <c r="G535">
        <v>4</v>
      </c>
      <c r="H535">
        <v>1</v>
      </c>
      <c r="I535" t="s">
        <v>24</v>
      </c>
      <c r="J535">
        <v>10475</v>
      </c>
      <c r="K535">
        <v>5</v>
      </c>
      <c r="L535">
        <v>3</v>
      </c>
      <c r="M535">
        <v>18</v>
      </c>
      <c r="N535" t="s">
        <v>25</v>
      </c>
      <c r="O535" t="s">
        <v>21</v>
      </c>
      <c r="P535">
        <v>86741670</v>
      </c>
    </row>
    <row r="536" spans="1:16" ht="14.25" x14ac:dyDescent="0.2">
      <c r="A536">
        <v>53</v>
      </c>
      <c r="B536" t="s">
        <v>22</v>
      </c>
      <c r="C536" t="s">
        <v>23</v>
      </c>
      <c r="D536">
        <v>7</v>
      </c>
      <c r="E536">
        <v>3</v>
      </c>
      <c r="F536" t="s">
        <v>18</v>
      </c>
      <c r="G536">
        <v>3</v>
      </c>
      <c r="H536">
        <v>3</v>
      </c>
      <c r="I536" t="s">
        <v>24</v>
      </c>
      <c r="J536">
        <v>14814</v>
      </c>
      <c r="K536">
        <v>3</v>
      </c>
      <c r="L536">
        <v>3</v>
      </c>
      <c r="M536">
        <v>5</v>
      </c>
      <c r="N536" t="s">
        <v>25</v>
      </c>
      <c r="O536" t="s">
        <v>35</v>
      </c>
      <c r="P536">
        <v>25320255</v>
      </c>
    </row>
    <row r="537" spans="1:16" ht="14.25" x14ac:dyDescent="0.2">
      <c r="A537">
        <v>41</v>
      </c>
      <c r="B537" t="s">
        <v>22</v>
      </c>
      <c r="C537" t="s">
        <v>38</v>
      </c>
      <c r="D537">
        <v>10</v>
      </c>
      <c r="E537">
        <v>4</v>
      </c>
      <c r="F537" t="s">
        <v>38</v>
      </c>
      <c r="G537">
        <v>2</v>
      </c>
      <c r="H537">
        <v>4</v>
      </c>
      <c r="I537" t="s">
        <v>30</v>
      </c>
      <c r="J537">
        <v>19141</v>
      </c>
      <c r="K537">
        <v>3</v>
      </c>
      <c r="L537">
        <v>2</v>
      </c>
      <c r="M537">
        <v>21</v>
      </c>
      <c r="N537" t="s">
        <v>25</v>
      </c>
      <c r="O537" t="s">
        <v>33</v>
      </c>
      <c r="P537">
        <v>54856703</v>
      </c>
    </row>
    <row r="538" spans="1:16" ht="14.25" x14ac:dyDescent="0.2">
      <c r="A538">
        <v>60</v>
      </c>
      <c r="B538" t="s">
        <v>22</v>
      </c>
      <c r="C538" t="s">
        <v>17</v>
      </c>
      <c r="D538">
        <v>16</v>
      </c>
      <c r="E538">
        <v>4</v>
      </c>
      <c r="F538" t="s">
        <v>36</v>
      </c>
      <c r="G538">
        <v>1</v>
      </c>
      <c r="H538">
        <v>1</v>
      </c>
      <c r="I538" t="s">
        <v>19</v>
      </c>
      <c r="J538">
        <v>5405</v>
      </c>
      <c r="K538">
        <v>8</v>
      </c>
      <c r="L538">
        <v>3</v>
      </c>
      <c r="M538">
        <v>2</v>
      </c>
      <c r="N538" t="s">
        <v>25</v>
      </c>
      <c r="O538" t="s">
        <v>21</v>
      </c>
      <c r="P538">
        <v>19010365</v>
      </c>
    </row>
    <row r="539" spans="1:16" ht="14.25" x14ac:dyDescent="0.2">
      <c r="A539">
        <v>27</v>
      </c>
      <c r="B539" t="s">
        <v>22</v>
      </c>
      <c r="C539" t="s">
        <v>23</v>
      </c>
      <c r="D539">
        <v>10</v>
      </c>
      <c r="E539">
        <v>2</v>
      </c>
      <c r="F539" t="s">
        <v>18</v>
      </c>
      <c r="G539">
        <v>4</v>
      </c>
      <c r="H539">
        <v>1</v>
      </c>
      <c r="I539" t="s">
        <v>30</v>
      </c>
      <c r="J539">
        <v>8793</v>
      </c>
      <c r="K539">
        <v>1</v>
      </c>
      <c r="L539">
        <v>2</v>
      </c>
      <c r="M539">
        <v>9</v>
      </c>
      <c r="N539" t="s">
        <v>25</v>
      </c>
      <c r="O539" t="s">
        <v>31</v>
      </c>
      <c r="P539">
        <v>26193000</v>
      </c>
    </row>
    <row r="540" spans="1:16" ht="14.25" x14ac:dyDescent="0.2">
      <c r="A540">
        <v>41</v>
      </c>
      <c r="B540" t="s">
        <v>22</v>
      </c>
      <c r="C540" t="s">
        <v>38</v>
      </c>
      <c r="D540">
        <v>1</v>
      </c>
      <c r="E540">
        <v>3</v>
      </c>
      <c r="F540" t="s">
        <v>38</v>
      </c>
      <c r="G540">
        <v>4</v>
      </c>
      <c r="H540">
        <v>3</v>
      </c>
      <c r="I540" t="s">
        <v>24</v>
      </c>
      <c r="J540">
        <v>19189</v>
      </c>
      <c r="K540">
        <v>1</v>
      </c>
      <c r="L540">
        <v>3</v>
      </c>
      <c r="M540">
        <v>22</v>
      </c>
      <c r="N540" t="s">
        <v>25</v>
      </c>
      <c r="O540" t="s">
        <v>33</v>
      </c>
      <c r="P540">
        <v>53541505</v>
      </c>
    </row>
    <row r="541" spans="1:16" ht="14.25" x14ac:dyDescent="0.2">
      <c r="A541">
        <v>50</v>
      </c>
      <c r="B541" t="s">
        <v>22</v>
      </c>
      <c r="C541" t="s">
        <v>17</v>
      </c>
      <c r="D541">
        <v>8</v>
      </c>
      <c r="E541">
        <v>4</v>
      </c>
      <c r="F541" t="s">
        <v>36</v>
      </c>
      <c r="G541">
        <v>4</v>
      </c>
      <c r="H541">
        <v>2</v>
      </c>
      <c r="I541" t="s">
        <v>24</v>
      </c>
      <c r="J541">
        <v>3875</v>
      </c>
      <c r="K541">
        <v>7</v>
      </c>
      <c r="L541">
        <v>3</v>
      </c>
      <c r="M541">
        <v>2</v>
      </c>
      <c r="N541" t="s">
        <v>25</v>
      </c>
      <c r="O541" t="s">
        <v>34</v>
      </c>
      <c r="P541">
        <v>66120413</v>
      </c>
    </row>
    <row r="542" spans="1:16" ht="14.25" x14ac:dyDescent="0.2">
      <c r="A542">
        <v>28</v>
      </c>
      <c r="B542" t="s">
        <v>16</v>
      </c>
      <c r="C542" t="s">
        <v>23</v>
      </c>
      <c r="D542">
        <v>1</v>
      </c>
      <c r="E542">
        <v>2</v>
      </c>
      <c r="F542" t="s">
        <v>18</v>
      </c>
      <c r="G542">
        <v>1</v>
      </c>
      <c r="H542">
        <v>2</v>
      </c>
      <c r="I542" t="s">
        <v>19</v>
      </c>
      <c r="J542">
        <v>2216</v>
      </c>
      <c r="K542">
        <v>7</v>
      </c>
      <c r="L542">
        <v>3</v>
      </c>
      <c r="M542">
        <v>7</v>
      </c>
      <c r="N542" t="s">
        <v>20</v>
      </c>
      <c r="O542" t="s">
        <v>26</v>
      </c>
      <c r="P542">
        <v>28287579</v>
      </c>
    </row>
    <row r="543" spans="1:16" ht="14.25" x14ac:dyDescent="0.2">
      <c r="A543">
        <v>36</v>
      </c>
      <c r="B543" t="s">
        <v>22</v>
      </c>
      <c r="C543" t="s">
        <v>23</v>
      </c>
      <c r="D543">
        <v>8</v>
      </c>
      <c r="E543">
        <v>3</v>
      </c>
      <c r="F543" t="s">
        <v>18</v>
      </c>
      <c r="G543">
        <v>1</v>
      </c>
      <c r="H543">
        <v>1</v>
      </c>
      <c r="I543" t="s">
        <v>24</v>
      </c>
      <c r="J543">
        <v>11713</v>
      </c>
      <c r="K543">
        <v>9</v>
      </c>
      <c r="L543">
        <v>3</v>
      </c>
      <c r="M543">
        <v>8</v>
      </c>
      <c r="N543" t="s">
        <v>20</v>
      </c>
      <c r="O543" t="s">
        <v>35</v>
      </c>
      <c r="P543">
        <v>16015384</v>
      </c>
    </row>
    <row r="544" spans="1:16" ht="14.25" x14ac:dyDescent="0.2">
      <c r="A544">
        <v>38</v>
      </c>
      <c r="B544" t="s">
        <v>22</v>
      </c>
      <c r="C544" t="s">
        <v>23</v>
      </c>
      <c r="D544">
        <v>1</v>
      </c>
      <c r="E544">
        <v>3</v>
      </c>
      <c r="F544" t="s">
        <v>18</v>
      </c>
      <c r="G544">
        <v>3</v>
      </c>
      <c r="H544">
        <v>3</v>
      </c>
      <c r="I544" t="s">
        <v>19</v>
      </c>
      <c r="J544">
        <v>7861</v>
      </c>
      <c r="K544">
        <v>4</v>
      </c>
      <c r="L544">
        <v>4</v>
      </c>
      <c r="M544">
        <v>1</v>
      </c>
      <c r="N544" t="s">
        <v>20</v>
      </c>
      <c r="O544" t="s">
        <v>31</v>
      </c>
      <c r="P544">
        <v>47912594</v>
      </c>
    </row>
    <row r="545" spans="1:16" ht="14.25" x14ac:dyDescent="0.2">
      <c r="A545">
        <v>44</v>
      </c>
      <c r="B545" t="s">
        <v>22</v>
      </c>
      <c r="C545" t="s">
        <v>23</v>
      </c>
      <c r="D545">
        <v>24</v>
      </c>
      <c r="E545">
        <v>3</v>
      </c>
      <c r="F545" t="s">
        <v>29</v>
      </c>
      <c r="G545">
        <v>1</v>
      </c>
      <c r="H545">
        <v>3</v>
      </c>
      <c r="I545" t="s">
        <v>19</v>
      </c>
      <c r="J545">
        <v>3708</v>
      </c>
      <c r="K545">
        <v>2</v>
      </c>
      <c r="L545">
        <v>3</v>
      </c>
      <c r="M545">
        <v>5</v>
      </c>
      <c r="N545" t="s">
        <v>25</v>
      </c>
      <c r="O545" t="s">
        <v>28</v>
      </c>
      <c r="P545">
        <v>13722133</v>
      </c>
    </row>
    <row r="546" spans="1:16" ht="14.25" x14ac:dyDescent="0.2">
      <c r="A546">
        <v>47</v>
      </c>
      <c r="B546" t="s">
        <v>22</v>
      </c>
      <c r="C546" t="s">
        <v>17</v>
      </c>
      <c r="D546">
        <v>3</v>
      </c>
      <c r="E546">
        <v>3</v>
      </c>
      <c r="F546" t="s">
        <v>29</v>
      </c>
      <c r="G546">
        <v>4</v>
      </c>
      <c r="H546">
        <v>3</v>
      </c>
      <c r="I546" t="s">
        <v>30</v>
      </c>
      <c r="J546">
        <v>13770</v>
      </c>
      <c r="K546">
        <v>9</v>
      </c>
      <c r="L546">
        <v>2</v>
      </c>
      <c r="M546">
        <v>22</v>
      </c>
      <c r="N546" t="s">
        <v>20</v>
      </c>
      <c r="O546" t="s">
        <v>21</v>
      </c>
      <c r="P546">
        <v>13076999</v>
      </c>
    </row>
    <row r="547" spans="1:16" ht="14.25" x14ac:dyDescent="0.2">
      <c r="A547">
        <v>30</v>
      </c>
      <c r="B547" t="s">
        <v>22</v>
      </c>
      <c r="C547" t="s">
        <v>17</v>
      </c>
      <c r="D547">
        <v>27</v>
      </c>
      <c r="E547">
        <v>5</v>
      </c>
      <c r="F547" t="s">
        <v>36</v>
      </c>
      <c r="G547">
        <v>3</v>
      </c>
      <c r="H547">
        <v>4</v>
      </c>
      <c r="I547" t="s">
        <v>30</v>
      </c>
      <c r="J547">
        <v>5304</v>
      </c>
      <c r="K547">
        <v>7</v>
      </c>
      <c r="L547">
        <v>2</v>
      </c>
      <c r="M547">
        <v>8</v>
      </c>
      <c r="N547" t="s">
        <v>25</v>
      </c>
      <c r="O547" t="s">
        <v>21</v>
      </c>
      <c r="P547">
        <v>47382729</v>
      </c>
    </row>
    <row r="548" spans="1:16" ht="14.25" x14ac:dyDescent="0.2">
      <c r="A548">
        <v>29</v>
      </c>
      <c r="B548" t="s">
        <v>22</v>
      </c>
      <c r="C548" t="s">
        <v>17</v>
      </c>
      <c r="D548">
        <v>10</v>
      </c>
      <c r="E548">
        <v>3</v>
      </c>
      <c r="F548" t="s">
        <v>18</v>
      </c>
      <c r="G548">
        <v>3</v>
      </c>
      <c r="H548">
        <v>3</v>
      </c>
      <c r="I548" t="s">
        <v>19</v>
      </c>
      <c r="J548">
        <v>2642</v>
      </c>
      <c r="K548">
        <v>1</v>
      </c>
      <c r="L548">
        <v>3</v>
      </c>
      <c r="M548">
        <v>1</v>
      </c>
      <c r="N548" t="s">
        <v>25</v>
      </c>
      <c r="O548" t="s">
        <v>34</v>
      </c>
      <c r="P548">
        <v>80633568</v>
      </c>
    </row>
    <row r="549" spans="1:16" ht="14.25" x14ac:dyDescent="0.2">
      <c r="A549">
        <v>42</v>
      </c>
      <c r="B549" t="s">
        <v>16</v>
      </c>
      <c r="C549" t="s">
        <v>23</v>
      </c>
      <c r="D549">
        <v>19</v>
      </c>
      <c r="E549">
        <v>3</v>
      </c>
      <c r="F549" t="s">
        <v>29</v>
      </c>
      <c r="G549">
        <v>3</v>
      </c>
      <c r="H549">
        <v>3</v>
      </c>
      <c r="I549" t="s">
        <v>30</v>
      </c>
      <c r="J549">
        <v>2759</v>
      </c>
      <c r="K549">
        <v>6</v>
      </c>
      <c r="L549">
        <v>3</v>
      </c>
      <c r="M549">
        <v>2</v>
      </c>
      <c r="N549" t="s">
        <v>25</v>
      </c>
      <c r="O549" t="s">
        <v>26</v>
      </c>
      <c r="P549">
        <v>74492535</v>
      </c>
    </row>
    <row r="550" spans="1:16" ht="14.25" x14ac:dyDescent="0.2">
      <c r="A550">
        <v>43</v>
      </c>
      <c r="B550" t="s">
        <v>22</v>
      </c>
      <c r="C550" t="s">
        <v>17</v>
      </c>
      <c r="D550">
        <v>15</v>
      </c>
      <c r="E550">
        <v>3</v>
      </c>
      <c r="F550" t="s">
        <v>18</v>
      </c>
      <c r="G550">
        <v>4</v>
      </c>
      <c r="H550">
        <v>4</v>
      </c>
      <c r="I550" t="s">
        <v>24</v>
      </c>
      <c r="J550">
        <v>6804</v>
      </c>
      <c r="K550">
        <v>3</v>
      </c>
      <c r="L550">
        <v>3</v>
      </c>
      <c r="M550">
        <v>2</v>
      </c>
      <c r="N550" t="s">
        <v>25</v>
      </c>
      <c r="O550" t="s">
        <v>21</v>
      </c>
      <c r="P550">
        <v>27110536</v>
      </c>
    </row>
    <row r="551" spans="1:16" ht="14.25" x14ac:dyDescent="0.2">
      <c r="A551">
        <v>34</v>
      </c>
      <c r="B551" t="s">
        <v>22</v>
      </c>
      <c r="C551" t="s">
        <v>23</v>
      </c>
      <c r="D551">
        <v>8</v>
      </c>
      <c r="E551">
        <v>2</v>
      </c>
      <c r="F551" t="s">
        <v>29</v>
      </c>
      <c r="G551">
        <v>2</v>
      </c>
      <c r="H551">
        <v>3</v>
      </c>
      <c r="I551" t="s">
        <v>19</v>
      </c>
      <c r="J551">
        <v>6142</v>
      </c>
      <c r="K551">
        <v>3</v>
      </c>
      <c r="L551">
        <v>3</v>
      </c>
      <c r="M551">
        <v>5</v>
      </c>
      <c r="N551" t="s">
        <v>20</v>
      </c>
      <c r="O551" t="s">
        <v>32</v>
      </c>
      <c r="P551">
        <v>34199777</v>
      </c>
    </row>
    <row r="552" spans="1:16" ht="14.25" x14ac:dyDescent="0.2">
      <c r="A552">
        <v>23</v>
      </c>
      <c r="B552" t="s">
        <v>22</v>
      </c>
      <c r="C552" t="s">
        <v>23</v>
      </c>
      <c r="D552">
        <v>9</v>
      </c>
      <c r="E552">
        <v>1</v>
      </c>
      <c r="F552" t="s">
        <v>29</v>
      </c>
      <c r="G552">
        <v>2</v>
      </c>
      <c r="H552">
        <v>1</v>
      </c>
      <c r="I552" t="s">
        <v>24</v>
      </c>
      <c r="J552">
        <v>2500</v>
      </c>
      <c r="K552">
        <v>1</v>
      </c>
      <c r="L552">
        <v>4</v>
      </c>
      <c r="M552">
        <v>4</v>
      </c>
      <c r="N552" t="s">
        <v>25</v>
      </c>
      <c r="O552" t="s">
        <v>28</v>
      </c>
      <c r="P552">
        <v>72602461</v>
      </c>
    </row>
    <row r="553" spans="1:16" ht="14.25" x14ac:dyDescent="0.2">
      <c r="A553">
        <v>39</v>
      </c>
      <c r="B553" t="s">
        <v>22</v>
      </c>
      <c r="C553" t="s">
        <v>38</v>
      </c>
      <c r="D553">
        <v>3</v>
      </c>
      <c r="E553">
        <v>3</v>
      </c>
      <c r="F553" t="s">
        <v>38</v>
      </c>
      <c r="G553">
        <v>3</v>
      </c>
      <c r="H553">
        <v>2</v>
      </c>
      <c r="I553" t="s">
        <v>24</v>
      </c>
      <c r="J553">
        <v>6389</v>
      </c>
      <c r="K553">
        <v>9</v>
      </c>
      <c r="L553">
        <v>1</v>
      </c>
      <c r="M553">
        <v>8</v>
      </c>
      <c r="N553" t="s">
        <v>20</v>
      </c>
      <c r="O553" t="s">
        <v>38</v>
      </c>
      <c r="P553">
        <v>78276738</v>
      </c>
    </row>
    <row r="554" spans="1:16" ht="14.25" x14ac:dyDescent="0.2">
      <c r="A554">
        <v>56</v>
      </c>
      <c r="B554" t="s">
        <v>22</v>
      </c>
      <c r="C554" t="s">
        <v>23</v>
      </c>
      <c r="D554">
        <v>9</v>
      </c>
      <c r="E554">
        <v>3</v>
      </c>
      <c r="F554" t="s">
        <v>29</v>
      </c>
      <c r="G554">
        <v>3</v>
      </c>
      <c r="H554">
        <v>4</v>
      </c>
      <c r="I554" t="s">
        <v>24</v>
      </c>
      <c r="J554">
        <v>11103</v>
      </c>
      <c r="K554">
        <v>7</v>
      </c>
      <c r="L554">
        <v>2</v>
      </c>
      <c r="M554">
        <v>10</v>
      </c>
      <c r="N554" t="s">
        <v>25</v>
      </c>
      <c r="O554" t="s">
        <v>32</v>
      </c>
      <c r="P554">
        <v>58855000</v>
      </c>
    </row>
    <row r="555" spans="1:16" ht="14.25" x14ac:dyDescent="0.2">
      <c r="A555">
        <v>40</v>
      </c>
      <c r="B555" t="s">
        <v>22</v>
      </c>
      <c r="C555" t="s">
        <v>23</v>
      </c>
      <c r="D555">
        <v>2</v>
      </c>
      <c r="E555">
        <v>1</v>
      </c>
      <c r="F555" t="s">
        <v>29</v>
      </c>
      <c r="G555">
        <v>4</v>
      </c>
      <c r="H555">
        <v>4</v>
      </c>
      <c r="I555" t="s">
        <v>19</v>
      </c>
      <c r="J555">
        <v>2342</v>
      </c>
      <c r="K555">
        <v>0</v>
      </c>
      <c r="L555">
        <v>2</v>
      </c>
      <c r="M555">
        <v>4</v>
      </c>
      <c r="N555" t="s">
        <v>20</v>
      </c>
      <c r="O555" t="s">
        <v>26</v>
      </c>
      <c r="P555">
        <v>23990677</v>
      </c>
    </row>
    <row r="556" spans="1:16" ht="14.25" x14ac:dyDescent="0.2">
      <c r="A556">
        <v>27</v>
      </c>
      <c r="B556" t="s">
        <v>22</v>
      </c>
      <c r="C556" t="s">
        <v>23</v>
      </c>
      <c r="D556">
        <v>7</v>
      </c>
      <c r="E556">
        <v>3</v>
      </c>
      <c r="F556" t="s">
        <v>29</v>
      </c>
      <c r="G556">
        <v>4</v>
      </c>
      <c r="H556">
        <v>1</v>
      </c>
      <c r="I556" t="s">
        <v>19</v>
      </c>
      <c r="J556">
        <v>6811</v>
      </c>
      <c r="K556">
        <v>8</v>
      </c>
      <c r="L556">
        <v>1</v>
      </c>
      <c r="M556">
        <v>7</v>
      </c>
      <c r="N556" t="s">
        <v>20</v>
      </c>
      <c r="O556" t="s">
        <v>32</v>
      </c>
      <c r="P556">
        <v>35762337</v>
      </c>
    </row>
    <row r="557" spans="1:16" ht="14.25" x14ac:dyDescent="0.2">
      <c r="A557">
        <v>29</v>
      </c>
      <c r="B557" t="s">
        <v>22</v>
      </c>
      <c r="C557" t="s">
        <v>17</v>
      </c>
      <c r="D557">
        <v>10</v>
      </c>
      <c r="E557">
        <v>3</v>
      </c>
      <c r="F557" t="s">
        <v>36</v>
      </c>
      <c r="G557">
        <v>4</v>
      </c>
      <c r="H557">
        <v>2</v>
      </c>
      <c r="I557" t="s">
        <v>30</v>
      </c>
      <c r="J557">
        <v>2297</v>
      </c>
      <c r="K557">
        <v>1</v>
      </c>
      <c r="L557">
        <v>3</v>
      </c>
      <c r="M557">
        <v>2</v>
      </c>
      <c r="N557" t="s">
        <v>25</v>
      </c>
      <c r="O557" t="s">
        <v>34</v>
      </c>
      <c r="P557">
        <v>49446896</v>
      </c>
    </row>
    <row r="558" spans="1:16" ht="14.25" x14ac:dyDescent="0.2">
      <c r="A558">
        <v>53</v>
      </c>
      <c r="B558" t="s">
        <v>22</v>
      </c>
      <c r="C558" t="s">
        <v>23</v>
      </c>
      <c r="D558">
        <v>6</v>
      </c>
      <c r="E558">
        <v>3</v>
      </c>
      <c r="F558" t="s">
        <v>18</v>
      </c>
      <c r="G558">
        <v>4</v>
      </c>
      <c r="H558">
        <v>4</v>
      </c>
      <c r="I558" t="s">
        <v>19</v>
      </c>
      <c r="J558">
        <v>2450</v>
      </c>
      <c r="K558">
        <v>2</v>
      </c>
      <c r="L558">
        <v>3</v>
      </c>
      <c r="M558">
        <v>2</v>
      </c>
      <c r="N558" t="s">
        <v>25</v>
      </c>
      <c r="O558" t="s">
        <v>28</v>
      </c>
      <c r="P558">
        <v>82019041</v>
      </c>
    </row>
    <row r="559" spans="1:16" ht="14.25" x14ac:dyDescent="0.2">
      <c r="A559">
        <v>35</v>
      </c>
      <c r="B559" t="s">
        <v>22</v>
      </c>
      <c r="C559" t="s">
        <v>23</v>
      </c>
      <c r="D559">
        <v>2</v>
      </c>
      <c r="E559">
        <v>4</v>
      </c>
      <c r="F559" t="s">
        <v>18</v>
      </c>
      <c r="G559">
        <v>4</v>
      </c>
      <c r="H559">
        <v>1</v>
      </c>
      <c r="I559" t="s">
        <v>30</v>
      </c>
      <c r="J559">
        <v>5093</v>
      </c>
      <c r="K559">
        <v>2</v>
      </c>
      <c r="L559">
        <v>4</v>
      </c>
      <c r="M559">
        <v>1</v>
      </c>
      <c r="N559" t="s">
        <v>20</v>
      </c>
      <c r="O559" t="s">
        <v>32</v>
      </c>
      <c r="P559">
        <v>55573032</v>
      </c>
    </row>
    <row r="560" spans="1:16" ht="14.25" x14ac:dyDescent="0.2">
      <c r="A560">
        <v>32</v>
      </c>
      <c r="B560" t="s">
        <v>22</v>
      </c>
      <c r="C560" t="s">
        <v>23</v>
      </c>
      <c r="D560">
        <v>24</v>
      </c>
      <c r="E560">
        <v>4</v>
      </c>
      <c r="F560" t="s">
        <v>18</v>
      </c>
      <c r="G560">
        <v>1</v>
      </c>
      <c r="H560">
        <v>4</v>
      </c>
      <c r="I560" t="s">
        <v>24</v>
      </c>
      <c r="J560">
        <v>5309</v>
      </c>
      <c r="K560">
        <v>1</v>
      </c>
      <c r="L560">
        <v>3</v>
      </c>
      <c r="M560">
        <v>10</v>
      </c>
      <c r="N560" t="s">
        <v>25</v>
      </c>
      <c r="O560" t="s">
        <v>28</v>
      </c>
      <c r="P560">
        <v>57964469</v>
      </c>
    </row>
    <row r="561" spans="1:16" ht="14.25" x14ac:dyDescent="0.2">
      <c r="A561">
        <v>38</v>
      </c>
      <c r="B561" t="s">
        <v>22</v>
      </c>
      <c r="C561" t="s">
        <v>23</v>
      </c>
      <c r="D561">
        <v>2</v>
      </c>
      <c r="E561">
        <v>5</v>
      </c>
      <c r="F561" t="s">
        <v>29</v>
      </c>
      <c r="G561">
        <v>4</v>
      </c>
      <c r="H561">
        <v>3</v>
      </c>
      <c r="I561" t="s">
        <v>24</v>
      </c>
      <c r="J561">
        <v>3057</v>
      </c>
      <c r="K561">
        <v>6</v>
      </c>
      <c r="L561">
        <v>1</v>
      </c>
      <c r="M561">
        <v>1</v>
      </c>
      <c r="N561" t="s">
        <v>25</v>
      </c>
      <c r="O561" t="s">
        <v>26</v>
      </c>
      <c r="P561">
        <v>45749396</v>
      </c>
    </row>
    <row r="562" spans="1:16" ht="14.25" x14ac:dyDescent="0.2">
      <c r="A562">
        <v>34</v>
      </c>
      <c r="B562" t="s">
        <v>22</v>
      </c>
      <c r="C562" t="s">
        <v>23</v>
      </c>
      <c r="D562">
        <v>8</v>
      </c>
      <c r="E562">
        <v>5</v>
      </c>
      <c r="F562" t="s">
        <v>18</v>
      </c>
      <c r="G562">
        <v>2</v>
      </c>
      <c r="H562">
        <v>1</v>
      </c>
      <c r="I562" t="s">
        <v>30</v>
      </c>
      <c r="J562">
        <v>5121</v>
      </c>
      <c r="K562">
        <v>3</v>
      </c>
      <c r="L562">
        <v>3</v>
      </c>
      <c r="M562">
        <v>0</v>
      </c>
      <c r="N562" t="s">
        <v>20</v>
      </c>
      <c r="O562" t="s">
        <v>31</v>
      </c>
      <c r="P562">
        <v>13013468</v>
      </c>
    </row>
    <row r="563" spans="1:16" ht="14.25" x14ac:dyDescent="0.2">
      <c r="A563">
        <v>52</v>
      </c>
      <c r="B563" t="s">
        <v>22</v>
      </c>
      <c r="C563" t="s">
        <v>17</v>
      </c>
      <c r="D563">
        <v>3</v>
      </c>
      <c r="E563">
        <v>4</v>
      </c>
      <c r="F563" t="s">
        <v>36</v>
      </c>
      <c r="G563">
        <v>3</v>
      </c>
      <c r="H563">
        <v>1</v>
      </c>
      <c r="I563" t="s">
        <v>24</v>
      </c>
      <c r="J563">
        <v>16856</v>
      </c>
      <c r="K563">
        <v>1</v>
      </c>
      <c r="L563">
        <v>4</v>
      </c>
      <c r="M563">
        <v>34</v>
      </c>
      <c r="N563" t="s">
        <v>25</v>
      </c>
      <c r="O563" t="s">
        <v>33</v>
      </c>
      <c r="P563">
        <v>32557864</v>
      </c>
    </row>
    <row r="564" spans="1:16" ht="14.25" x14ac:dyDescent="0.2">
      <c r="A564">
        <v>33</v>
      </c>
      <c r="B564" t="s">
        <v>16</v>
      </c>
      <c r="C564" t="s">
        <v>23</v>
      </c>
      <c r="D564">
        <v>1</v>
      </c>
      <c r="E564">
        <v>4</v>
      </c>
      <c r="F564" t="s">
        <v>27</v>
      </c>
      <c r="G564">
        <v>4</v>
      </c>
      <c r="H564">
        <v>4</v>
      </c>
      <c r="I564" t="s">
        <v>19</v>
      </c>
      <c r="J564">
        <v>2686</v>
      </c>
      <c r="K564">
        <v>1</v>
      </c>
      <c r="L564">
        <v>2</v>
      </c>
      <c r="M564">
        <v>10</v>
      </c>
      <c r="N564" t="s">
        <v>25</v>
      </c>
      <c r="O564" t="s">
        <v>26</v>
      </c>
      <c r="P564">
        <v>80055759</v>
      </c>
    </row>
    <row r="565" spans="1:16" ht="14.25" x14ac:dyDescent="0.2">
      <c r="A565">
        <v>25</v>
      </c>
      <c r="B565" t="s">
        <v>22</v>
      </c>
      <c r="C565" t="s">
        <v>17</v>
      </c>
      <c r="D565">
        <v>26</v>
      </c>
      <c r="E565">
        <v>1</v>
      </c>
      <c r="F565" t="s">
        <v>29</v>
      </c>
      <c r="G565">
        <v>3</v>
      </c>
      <c r="H565">
        <v>4</v>
      </c>
      <c r="I565" t="s">
        <v>19</v>
      </c>
      <c r="J565">
        <v>6180</v>
      </c>
      <c r="K565">
        <v>1</v>
      </c>
      <c r="L565">
        <v>2</v>
      </c>
      <c r="M565">
        <v>6</v>
      </c>
      <c r="N565" t="s">
        <v>20</v>
      </c>
      <c r="O565" t="s">
        <v>21</v>
      </c>
      <c r="P565">
        <v>33596479</v>
      </c>
    </row>
    <row r="566" spans="1:16" ht="14.25" x14ac:dyDescent="0.2">
      <c r="A566">
        <v>45</v>
      </c>
      <c r="B566" t="s">
        <v>22</v>
      </c>
      <c r="C566" t="s">
        <v>17</v>
      </c>
      <c r="D566">
        <v>2</v>
      </c>
      <c r="E566">
        <v>2</v>
      </c>
      <c r="F566" t="s">
        <v>37</v>
      </c>
      <c r="G566">
        <v>2</v>
      </c>
      <c r="H566">
        <v>3</v>
      </c>
      <c r="I566" t="s">
        <v>19</v>
      </c>
      <c r="J566">
        <v>6632</v>
      </c>
      <c r="K566">
        <v>0</v>
      </c>
      <c r="L566">
        <v>3</v>
      </c>
      <c r="M566">
        <v>8</v>
      </c>
      <c r="N566" t="s">
        <v>25</v>
      </c>
      <c r="O566" t="s">
        <v>34</v>
      </c>
      <c r="P566">
        <v>13032272</v>
      </c>
    </row>
    <row r="567" spans="1:16" ht="14.25" x14ac:dyDescent="0.2">
      <c r="A567">
        <v>23</v>
      </c>
      <c r="B567" t="s">
        <v>22</v>
      </c>
      <c r="C567" t="s">
        <v>23</v>
      </c>
      <c r="D567">
        <v>10</v>
      </c>
      <c r="E567">
        <v>1</v>
      </c>
      <c r="F567" t="s">
        <v>29</v>
      </c>
      <c r="G567">
        <v>1</v>
      </c>
      <c r="H567">
        <v>3</v>
      </c>
      <c r="I567" t="s">
        <v>19</v>
      </c>
      <c r="J567">
        <v>3505</v>
      </c>
      <c r="K567">
        <v>1</v>
      </c>
      <c r="L567">
        <v>3</v>
      </c>
      <c r="M567">
        <v>2</v>
      </c>
      <c r="N567" t="s">
        <v>25</v>
      </c>
      <c r="O567" t="s">
        <v>26</v>
      </c>
      <c r="P567">
        <v>67540916</v>
      </c>
    </row>
    <row r="568" spans="1:16" ht="14.25" x14ac:dyDescent="0.2">
      <c r="A568">
        <v>47</v>
      </c>
      <c r="B568" t="s">
        <v>16</v>
      </c>
      <c r="C568" t="s">
        <v>17</v>
      </c>
      <c r="D568">
        <v>27</v>
      </c>
      <c r="E568">
        <v>2</v>
      </c>
      <c r="F568" t="s">
        <v>18</v>
      </c>
      <c r="G568">
        <v>2</v>
      </c>
      <c r="H568">
        <v>3</v>
      </c>
      <c r="I568" t="s">
        <v>19</v>
      </c>
      <c r="J568">
        <v>6397</v>
      </c>
      <c r="K568">
        <v>4</v>
      </c>
      <c r="L568">
        <v>3</v>
      </c>
      <c r="M568">
        <v>5</v>
      </c>
      <c r="N568" t="s">
        <v>20</v>
      </c>
      <c r="O568" t="s">
        <v>21</v>
      </c>
      <c r="P568">
        <v>71508586</v>
      </c>
    </row>
    <row r="569" spans="1:16" ht="14.25" x14ac:dyDescent="0.2">
      <c r="A569">
        <v>34</v>
      </c>
      <c r="B569" t="s">
        <v>22</v>
      </c>
      <c r="C569" t="s">
        <v>17</v>
      </c>
      <c r="D569">
        <v>2</v>
      </c>
      <c r="E569">
        <v>3</v>
      </c>
      <c r="F569" t="s">
        <v>27</v>
      </c>
      <c r="G569">
        <v>4</v>
      </c>
      <c r="H569">
        <v>4</v>
      </c>
      <c r="I569" t="s">
        <v>19</v>
      </c>
      <c r="J569">
        <v>6274</v>
      </c>
      <c r="K569">
        <v>1</v>
      </c>
      <c r="L569">
        <v>3</v>
      </c>
      <c r="M569">
        <v>6</v>
      </c>
      <c r="N569" t="s">
        <v>25</v>
      </c>
      <c r="O569" t="s">
        <v>21</v>
      </c>
      <c r="P569">
        <v>13008757</v>
      </c>
    </row>
    <row r="570" spans="1:16" ht="14.25" x14ac:dyDescent="0.2">
      <c r="A570">
        <v>55</v>
      </c>
      <c r="B570" t="s">
        <v>16</v>
      </c>
      <c r="C570" t="s">
        <v>23</v>
      </c>
      <c r="D570">
        <v>2</v>
      </c>
      <c r="E570">
        <v>3</v>
      </c>
      <c r="F570" t="s">
        <v>29</v>
      </c>
      <c r="G570">
        <v>4</v>
      </c>
      <c r="H570">
        <v>1</v>
      </c>
      <c r="I570" t="s">
        <v>24</v>
      </c>
      <c r="J570">
        <v>19859</v>
      </c>
      <c r="K570">
        <v>5</v>
      </c>
      <c r="L570">
        <v>3</v>
      </c>
      <c r="M570">
        <v>5</v>
      </c>
      <c r="N570" t="s">
        <v>25</v>
      </c>
      <c r="O570" t="s">
        <v>33</v>
      </c>
      <c r="P570">
        <v>84126147</v>
      </c>
    </row>
    <row r="571" spans="1:16" ht="14.25" x14ac:dyDescent="0.2">
      <c r="A571">
        <v>36</v>
      </c>
      <c r="B571" t="s">
        <v>22</v>
      </c>
      <c r="C571" t="s">
        <v>17</v>
      </c>
      <c r="D571">
        <v>8</v>
      </c>
      <c r="E571">
        <v>4</v>
      </c>
      <c r="F571" t="s">
        <v>18</v>
      </c>
      <c r="G571">
        <v>1</v>
      </c>
      <c r="H571">
        <v>1</v>
      </c>
      <c r="I571" t="s">
        <v>19</v>
      </c>
      <c r="J571">
        <v>7587</v>
      </c>
      <c r="K571">
        <v>1</v>
      </c>
      <c r="L571">
        <v>3</v>
      </c>
      <c r="M571">
        <v>10</v>
      </c>
      <c r="N571" t="s">
        <v>25</v>
      </c>
      <c r="O571" t="s">
        <v>21</v>
      </c>
      <c r="P571">
        <v>72265301</v>
      </c>
    </row>
    <row r="572" spans="1:16" ht="14.25" x14ac:dyDescent="0.2">
      <c r="A572">
        <v>52</v>
      </c>
      <c r="B572" t="s">
        <v>22</v>
      </c>
      <c r="C572" t="s">
        <v>23</v>
      </c>
      <c r="D572">
        <v>19</v>
      </c>
      <c r="E572">
        <v>4</v>
      </c>
      <c r="F572" t="s">
        <v>29</v>
      </c>
      <c r="G572">
        <v>4</v>
      </c>
      <c r="H572">
        <v>4</v>
      </c>
      <c r="I572" t="s">
        <v>24</v>
      </c>
      <c r="J572">
        <v>4258</v>
      </c>
      <c r="K572">
        <v>0</v>
      </c>
      <c r="L572">
        <v>3</v>
      </c>
      <c r="M572">
        <v>4</v>
      </c>
      <c r="N572" t="s">
        <v>25</v>
      </c>
      <c r="O572" t="s">
        <v>26</v>
      </c>
      <c r="P572">
        <v>54643558</v>
      </c>
    </row>
    <row r="573" spans="1:16" ht="14.25" x14ac:dyDescent="0.2">
      <c r="A573">
        <v>26</v>
      </c>
      <c r="B573" t="s">
        <v>22</v>
      </c>
      <c r="C573" t="s">
        <v>23</v>
      </c>
      <c r="D573">
        <v>1</v>
      </c>
      <c r="E573">
        <v>2</v>
      </c>
      <c r="F573" t="s">
        <v>18</v>
      </c>
      <c r="G573">
        <v>1</v>
      </c>
      <c r="H573">
        <v>4</v>
      </c>
      <c r="I573" t="s">
        <v>30</v>
      </c>
      <c r="J573">
        <v>4364</v>
      </c>
      <c r="K573">
        <v>3</v>
      </c>
      <c r="L573">
        <v>3</v>
      </c>
      <c r="M573">
        <v>2</v>
      </c>
      <c r="N573" t="s">
        <v>20</v>
      </c>
      <c r="O573" t="s">
        <v>28</v>
      </c>
      <c r="P573">
        <v>78014962</v>
      </c>
    </row>
    <row r="574" spans="1:16" ht="14.25" x14ac:dyDescent="0.2">
      <c r="A574">
        <v>29</v>
      </c>
      <c r="B574" t="s">
        <v>22</v>
      </c>
      <c r="C574" t="s">
        <v>23</v>
      </c>
      <c r="D574">
        <v>27</v>
      </c>
      <c r="E574">
        <v>3</v>
      </c>
      <c r="F574" t="s">
        <v>29</v>
      </c>
      <c r="G574">
        <v>2</v>
      </c>
      <c r="H574">
        <v>3</v>
      </c>
      <c r="I574" t="s">
        <v>24</v>
      </c>
      <c r="J574">
        <v>4335</v>
      </c>
      <c r="K574">
        <v>4</v>
      </c>
      <c r="L574">
        <v>2</v>
      </c>
      <c r="M574">
        <v>8</v>
      </c>
      <c r="N574" t="s">
        <v>20</v>
      </c>
      <c r="O574" t="s">
        <v>32</v>
      </c>
      <c r="P574">
        <v>74198225</v>
      </c>
    </row>
    <row r="575" spans="1:16" ht="14.25" x14ac:dyDescent="0.2">
      <c r="A575">
        <v>26</v>
      </c>
      <c r="B575" t="s">
        <v>16</v>
      </c>
      <c r="C575" t="s">
        <v>17</v>
      </c>
      <c r="D575">
        <v>8</v>
      </c>
      <c r="E575">
        <v>3</v>
      </c>
      <c r="F575" t="s">
        <v>37</v>
      </c>
      <c r="G575">
        <v>4</v>
      </c>
      <c r="H575">
        <v>1</v>
      </c>
      <c r="I575" t="s">
        <v>19</v>
      </c>
      <c r="J575">
        <v>5326</v>
      </c>
      <c r="K575">
        <v>6</v>
      </c>
      <c r="L575">
        <v>2</v>
      </c>
      <c r="M575">
        <v>4</v>
      </c>
      <c r="N575" t="s">
        <v>25</v>
      </c>
      <c r="O575" t="s">
        <v>21</v>
      </c>
      <c r="P575">
        <v>12782096</v>
      </c>
    </row>
    <row r="576" spans="1:16" ht="14.25" x14ac:dyDescent="0.2">
      <c r="A576">
        <v>34</v>
      </c>
      <c r="B576" t="s">
        <v>22</v>
      </c>
      <c r="C576" t="s">
        <v>23</v>
      </c>
      <c r="D576">
        <v>1</v>
      </c>
      <c r="E576">
        <v>4</v>
      </c>
      <c r="F576" t="s">
        <v>18</v>
      </c>
      <c r="G576">
        <v>2</v>
      </c>
      <c r="H576">
        <v>4</v>
      </c>
      <c r="I576" t="s">
        <v>19</v>
      </c>
      <c r="J576">
        <v>3280</v>
      </c>
      <c r="K576">
        <v>2</v>
      </c>
      <c r="L576">
        <v>3</v>
      </c>
      <c r="M576">
        <v>4</v>
      </c>
      <c r="N576" t="s">
        <v>20</v>
      </c>
      <c r="O576" t="s">
        <v>26</v>
      </c>
      <c r="P576">
        <v>75571029</v>
      </c>
    </row>
    <row r="577" spans="1:16" ht="14.25" x14ac:dyDescent="0.2">
      <c r="A577">
        <v>54</v>
      </c>
      <c r="B577" t="s">
        <v>22</v>
      </c>
      <c r="C577" t="s">
        <v>23</v>
      </c>
      <c r="D577">
        <v>19</v>
      </c>
      <c r="E577">
        <v>4</v>
      </c>
      <c r="F577" t="s">
        <v>29</v>
      </c>
      <c r="G577">
        <v>4</v>
      </c>
      <c r="H577">
        <v>1</v>
      </c>
      <c r="I577" t="s">
        <v>30</v>
      </c>
      <c r="J577">
        <v>5485</v>
      </c>
      <c r="K577">
        <v>9</v>
      </c>
      <c r="L577">
        <v>3</v>
      </c>
      <c r="M577">
        <v>5</v>
      </c>
      <c r="N577" t="s">
        <v>20</v>
      </c>
      <c r="O577" t="s">
        <v>31</v>
      </c>
      <c r="P577">
        <v>61850857</v>
      </c>
    </row>
    <row r="578" spans="1:16" ht="14.25" x14ac:dyDescent="0.2">
      <c r="A578">
        <v>27</v>
      </c>
      <c r="B578" t="s">
        <v>22</v>
      </c>
      <c r="C578" t="s">
        <v>17</v>
      </c>
      <c r="D578">
        <v>8</v>
      </c>
      <c r="E578">
        <v>1</v>
      </c>
      <c r="F578" t="s">
        <v>36</v>
      </c>
      <c r="G578">
        <v>3</v>
      </c>
      <c r="H578">
        <v>4</v>
      </c>
      <c r="I578" t="s">
        <v>24</v>
      </c>
      <c r="J578">
        <v>4342</v>
      </c>
      <c r="K578">
        <v>0</v>
      </c>
      <c r="L578">
        <v>3</v>
      </c>
      <c r="M578">
        <v>4</v>
      </c>
      <c r="N578" t="s">
        <v>25</v>
      </c>
      <c r="O578" t="s">
        <v>21</v>
      </c>
      <c r="P578">
        <v>37520460</v>
      </c>
    </row>
    <row r="579" spans="1:16" ht="14.25" x14ac:dyDescent="0.2">
      <c r="A579">
        <v>37</v>
      </c>
      <c r="B579" t="s">
        <v>22</v>
      </c>
      <c r="C579" t="s">
        <v>23</v>
      </c>
      <c r="D579">
        <v>10</v>
      </c>
      <c r="E579">
        <v>1</v>
      </c>
      <c r="F579" t="s">
        <v>18</v>
      </c>
      <c r="G579">
        <v>4</v>
      </c>
      <c r="H579">
        <v>1</v>
      </c>
      <c r="I579" t="s">
        <v>30</v>
      </c>
      <c r="J579">
        <v>2782</v>
      </c>
      <c r="K579">
        <v>0</v>
      </c>
      <c r="L579">
        <v>2</v>
      </c>
      <c r="M579">
        <v>5</v>
      </c>
      <c r="N579" t="s">
        <v>20</v>
      </c>
      <c r="O579" t="s">
        <v>26</v>
      </c>
      <c r="P579">
        <v>34322464</v>
      </c>
    </row>
    <row r="580" spans="1:16" ht="14.25" x14ac:dyDescent="0.2">
      <c r="A580">
        <v>38</v>
      </c>
      <c r="B580" t="s">
        <v>22</v>
      </c>
      <c r="C580" t="s">
        <v>23</v>
      </c>
      <c r="D580">
        <v>2</v>
      </c>
      <c r="E580">
        <v>4</v>
      </c>
      <c r="F580" t="s">
        <v>18</v>
      </c>
      <c r="G580">
        <v>1</v>
      </c>
      <c r="H580">
        <v>1</v>
      </c>
      <c r="I580" t="s">
        <v>19</v>
      </c>
      <c r="J580">
        <v>5980</v>
      </c>
      <c r="K580">
        <v>6</v>
      </c>
      <c r="L580">
        <v>3</v>
      </c>
      <c r="M580">
        <v>15</v>
      </c>
      <c r="N580" t="s">
        <v>20</v>
      </c>
      <c r="O580" t="s">
        <v>31</v>
      </c>
      <c r="P580">
        <v>24803214</v>
      </c>
    </row>
    <row r="581" spans="1:16" ht="14.25" x14ac:dyDescent="0.2">
      <c r="A581">
        <v>34</v>
      </c>
      <c r="B581" t="s">
        <v>22</v>
      </c>
      <c r="C581" t="s">
        <v>23</v>
      </c>
      <c r="D581">
        <v>2</v>
      </c>
      <c r="E581">
        <v>4</v>
      </c>
      <c r="F581" t="s">
        <v>29</v>
      </c>
      <c r="G581">
        <v>3</v>
      </c>
      <c r="H581">
        <v>1</v>
      </c>
      <c r="I581" t="s">
        <v>19</v>
      </c>
      <c r="J581">
        <v>4381</v>
      </c>
      <c r="K581">
        <v>1</v>
      </c>
      <c r="L581">
        <v>3</v>
      </c>
      <c r="M581">
        <v>6</v>
      </c>
      <c r="N581" t="s">
        <v>20</v>
      </c>
      <c r="O581" t="s">
        <v>26</v>
      </c>
      <c r="P581">
        <v>22602499</v>
      </c>
    </row>
    <row r="582" spans="1:16" ht="14.25" x14ac:dyDescent="0.2">
      <c r="A582">
        <v>35</v>
      </c>
      <c r="B582" t="s">
        <v>22</v>
      </c>
      <c r="C582" t="s">
        <v>17</v>
      </c>
      <c r="D582">
        <v>8</v>
      </c>
      <c r="E582">
        <v>4</v>
      </c>
      <c r="F582" t="s">
        <v>18</v>
      </c>
      <c r="G582">
        <v>1</v>
      </c>
      <c r="H582">
        <v>4</v>
      </c>
      <c r="I582" t="s">
        <v>24</v>
      </c>
      <c r="J582">
        <v>2572</v>
      </c>
      <c r="K582">
        <v>1</v>
      </c>
      <c r="L582">
        <v>2</v>
      </c>
      <c r="M582">
        <v>3</v>
      </c>
      <c r="N582" t="s">
        <v>20</v>
      </c>
      <c r="O582" t="s">
        <v>34</v>
      </c>
      <c r="P582">
        <v>79582002</v>
      </c>
    </row>
    <row r="583" spans="1:16" ht="14.25" x14ac:dyDescent="0.2">
      <c r="A583">
        <v>30</v>
      </c>
      <c r="B583" t="s">
        <v>22</v>
      </c>
      <c r="C583" t="s">
        <v>23</v>
      </c>
      <c r="D583">
        <v>1</v>
      </c>
      <c r="E583">
        <v>3</v>
      </c>
      <c r="F583" t="s">
        <v>18</v>
      </c>
      <c r="G583">
        <v>4</v>
      </c>
      <c r="H583">
        <v>3</v>
      </c>
      <c r="I583" t="s">
        <v>24</v>
      </c>
      <c r="J583">
        <v>3833</v>
      </c>
      <c r="K583">
        <v>3</v>
      </c>
      <c r="L583">
        <v>3</v>
      </c>
      <c r="M583">
        <v>2</v>
      </c>
      <c r="N583" t="s">
        <v>25</v>
      </c>
      <c r="O583" t="s">
        <v>28</v>
      </c>
      <c r="P583">
        <v>36449669</v>
      </c>
    </row>
    <row r="584" spans="1:16" ht="14.25" x14ac:dyDescent="0.2">
      <c r="A584">
        <v>40</v>
      </c>
      <c r="B584" t="s">
        <v>22</v>
      </c>
      <c r="C584" t="s">
        <v>23</v>
      </c>
      <c r="D584">
        <v>2</v>
      </c>
      <c r="E584">
        <v>2</v>
      </c>
      <c r="F584" t="s">
        <v>29</v>
      </c>
      <c r="G584">
        <v>3</v>
      </c>
      <c r="H584">
        <v>2</v>
      </c>
      <c r="I584" t="s">
        <v>24</v>
      </c>
      <c r="J584">
        <v>4244</v>
      </c>
      <c r="K584">
        <v>1</v>
      </c>
      <c r="L584">
        <v>3</v>
      </c>
      <c r="M584">
        <v>8</v>
      </c>
      <c r="N584" t="s">
        <v>20</v>
      </c>
      <c r="O584" t="s">
        <v>32</v>
      </c>
      <c r="P584">
        <v>66499800</v>
      </c>
    </row>
    <row r="585" spans="1:16" ht="14.25" x14ac:dyDescent="0.2">
      <c r="A585">
        <v>34</v>
      </c>
      <c r="B585" t="s">
        <v>22</v>
      </c>
      <c r="C585" t="s">
        <v>17</v>
      </c>
      <c r="D585">
        <v>8</v>
      </c>
      <c r="E585">
        <v>2</v>
      </c>
      <c r="F585" t="s">
        <v>18</v>
      </c>
      <c r="G585">
        <v>3</v>
      </c>
      <c r="H585">
        <v>1</v>
      </c>
      <c r="I585" t="s">
        <v>24</v>
      </c>
      <c r="J585">
        <v>6500</v>
      </c>
      <c r="K585">
        <v>5</v>
      </c>
      <c r="L585">
        <v>3</v>
      </c>
      <c r="M585">
        <v>3</v>
      </c>
      <c r="N585" t="s">
        <v>20</v>
      </c>
      <c r="O585" t="s">
        <v>21</v>
      </c>
      <c r="P585">
        <v>11818205</v>
      </c>
    </row>
    <row r="586" spans="1:16" ht="14.25" x14ac:dyDescent="0.2">
      <c r="A586">
        <v>42</v>
      </c>
      <c r="B586" t="s">
        <v>22</v>
      </c>
      <c r="C586" t="s">
        <v>23</v>
      </c>
      <c r="D586">
        <v>8</v>
      </c>
      <c r="E586">
        <v>3</v>
      </c>
      <c r="F586" t="s">
        <v>18</v>
      </c>
      <c r="G586">
        <v>2</v>
      </c>
      <c r="H586">
        <v>4</v>
      </c>
      <c r="I586" t="s">
        <v>30</v>
      </c>
      <c r="J586">
        <v>18430</v>
      </c>
      <c r="K586">
        <v>1</v>
      </c>
      <c r="L586">
        <v>2</v>
      </c>
      <c r="M586">
        <v>24</v>
      </c>
      <c r="N586" t="s">
        <v>25</v>
      </c>
      <c r="O586" t="s">
        <v>33</v>
      </c>
      <c r="P586">
        <v>78242372</v>
      </c>
    </row>
    <row r="587" spans="1:16" ht="14.25" x14ac:dyDescent="0.2">
      <c r="A587">
        <v>23</v>
      </c>
      <c r="B587" t="s">
        <v>16</v>
      </c>
      <c r="C587" t="s">
        <v>23</v>
      </c>
      <c r="D587">
        <v>6</v>
      </c>
      <c r="E587">
        <v>3</v>
      </c>
      <c r="F587" t="s">
        <v>18</v>
      </c>
      <c r="G587">
        <v>3</v>
      </c>
      <c r="H587">
        <v>1</v>
      </c>
      <c r="I587" t="s">
        <v>24</v>
      </c>
      <c r="J587">
        <v>1601</v>
      </c>
      <c r="K587">
        <v>1</v>
      </c>
      <c r="L587">
        <v>3</v>
      </c>
      <c r="M587">
        <v>0</v>
      </c>
      <c r="N587" t="s">
        <v>25</v>
      </c>
      <c r="O587" t="s">
        <v>28</v>
      </c>
      <c r="P587">
        <v>31811080</v>
      </c>
    </row>
    <row r="588" spans="1:16" ht="14.25" x14ac:dyDescent="0.2">
      <c r="A588">
        <v>24</v>
      </c>
      <c r="B588" t="s">
        <v>22</v>
      </c>
      <c r="C588" t="s">
        <v>23</v>
      </c>
      <c r="D588">
        <v>9</v>
      </c>
      <c r="E588">
        <v>3</v>
      </c>
      <c r="F588" t="s">
        <v>18</v>
      </c>
      <c r="G588">
        <v>3</v>
      </c>
      <c r="H588">
        <v>2</v>
      </c>
      <c r="I588" t="s">
        <v>30</v>
      </c>
      <c r="J588">
        <v>2694</v>
      </c>
      <c r="K588">
        <v>1</v>
      </c>
      <c r="L588">
        <v>3</v>
      </c>
      <c r="M588">
        <v>1</v>
      </c>
      <c r="N588" t="s">
        <v>25</v>
      </c>
      <c r="O588" t="s">
        <v>28</v>
      </c>
      <c r="P588">
        <v>20959454</v>
      </c>
    </row>
    <row r="589" spans="1:16" ht="14.25" x14ac:dyDescent="0.2">
      <c r="A589">
        <v>52</v>
      </c>
      <c r="B589" t="s">
        <v>22</v>
      </c>
      <c r="C589" t="s">
        <v>23</v>
      </c>
      <c r="D589">
        <v>11</v>
      </c>
      <c r="E589">
        <v>4</v>
      </c>
      <c r="F589" t="s">
        <v>18</v>
      </c>
      <c r="G589">
        <v>4</v>
      </c>
      <c r="H589">
        <v>3</v>
      </c>
      <c r="I589" t="s">
        <v>24</v>
      </c>
      <c r="J589">
        <v>3149</v>
      </c>
      <c r="K589">
        <v>8</v>
      </c>
      <c r="L589">
        <v>3</v>
      </c>
      <c r="M589">
        <v>5</v>
      </c>
      <c r="N589" t="s">
        <v>20</v>
      </c>
      <c r="O589" t="s">
        <v>28</v>
      </c>
      <c r="P589">
        <v>62097277</v>
      </c>
    </row>
    <row r="590" spans="1:16" ht="14.25" x14ac:dyDescent="0.2">
      <c r="A590">
        <v>50</v>
      </c>
      <c r="B590" t="s">
        <v>22</v>
      </c>
      <c r="C590" t="s">
        <v>23</v>
      </c>
      <c r="D590">
        <v>2</v>
      </c>
      <c r="E590">
        <v>3</v>
      </c>
      <c r="F590" t="s">
        <v>29</v>
      </c>
      <c r="G590">
        <v>3</v>
      </c>
      <c r="H590">
        <v>3</v>
      </c>
      <c r="I590" t="s">
        <v>24</v>
      </c>
      <c r="J590">
        <v>17639</v>
      </c>
      <c r="K590">
        <v>5</v>
      </c>
      <c r="L590">
        <v>3</v>
      </c>
      <c r="M590">
        <v>4</v>
      </c>
      <c r="N590" t="s">
        <v>25</v>
      </c>
      <c r="O590" t="s">
        <v>35</v>
      </c>
      <c r="P590">
        <v>84772347</v>
      </c>
    </row>
    <row r="591" spans="1:16" ht="14.25" x14ac:dyDescent="0.2">
      <c r="A591">
        <v>29</v>
      </c>
      <c r="B591" t="s">
        <v>16</v>
      </c>
      <c r="C591" t="s">
        <v>23</v>
      </c>
      <c r="D591">
        <v>1</v>
      </c>
      <c r="E591">
        <v>2</v>
      </c>
      <c r="F591" t="s">
        <v>18</v>
      </c>
      <c r="G591">
        <v>2</v>
      </c>
      <c r="H591">
        <v>1</v>
      </c>
      <c r="I591" t="s">
        <v>24</v>
      </c>
      <c r="J591">
        <v>2319</v>
      </c>
      <c r="K591">
        <v>1</v>
      </c>
      <c r="L591">
        <v>3</v>
      </c>
      <c r="M591">
        <v>1</v>
      </c>
      <c r="N591" t="s">
        <v>20</v>
      </c>
      <c r="O591" t="s">
        <v>28</v>
      </c>
      <c r="P591">
        <v>66716653</v>
      </c>
    </row>
    <row r="592" spans="1:16" ht="14.25" x14ac:dyDescent="0.2">
      <c r="A592">
        <v>33</v>
      </c>
      <c r="B592" t="s">
        <v>22</v>
      </c>
      <c r="C592" t="s">
        <v>23</v>
      </c>
      <c r="D592">
        <v>7</v>
      </c>
      <c r="E592">
        <v>3</v>
      </c>
      <c r="F592" t="s">
        <v>29</v>
      </c>
      <c r="G592">
        <v>3</v>
      </c>
      <c r="H592">
        <v>3</v>
      </c>
      <c r="I592" t="s">
        <v>24</v>
      </c>
      <c r="J592">
        <v>11691</v>
      </c>
      <c r="K592">
        <v>0</v>
      </c>
      <c r="L592">
        <v>4</v>
      </c>
      <c r="M592">
        <v>13</v>
      </c>
      <c r="N592" t="s">
        <v>25</v>
      </c>
      <c r="O592" t="s">
        <v>35</v>
      </c>
      <c r="P592">
        <v>29467699</v>
      </c>
    </row>
    <row r="593" spans="1:16" ht="14.25" x14ac:dyDescent="0.2">
      <c r="A593">
        <v>33</v>
      </c>
      <c r="B593" t="s">
        <v>16</v>
      </c>
      <c r="C593" t="s">
        <v>17</v>
      </c>
      <c r="D593">
        <v>16</v>
      </c>
      <c r="E593">
        <v>3</v>
      </c>
      <c r="F593" t="s">
        <v>36</v>
      </c>
      <c r="G593">
        <v>1</v>
      </c>
      <c r="H593">
        <v>1</v>
      </c>
      <c r="I593" t="s">
        <v>19</v>
      </c>
      <c r="J593">
        <v>5324</v>
      </c>
      <c r="K593">
        <v>5</v>
      </c>
      <c r="L593">
        <v>3</v>
      </c>
      <c r="M593">
        <v>3</v>
      </c>
      <c r="N593" t="s">
        <v>20</v>
      </c>
      <c r="O593" t="s">
        <v>21</v>
      </c>
      <c r="P593">
        <v>32168242</v>
      </c>
    </row>
    <row r="594" spans="1:16" ht="14.25" x14ac:dyDescent="0.2">
      <c r="A594">
        <v>47</v>
      </c>
      <c r="B594" t="s">
        <v>22</v>
      </c>
      <c r="C594" t="s">
        <v>23</v>
      </c>
      <c r="D594">
        <v>2</v>
      </c>
      <c r="E594">
        <v>2</v>
      </c>
      <c r="F594" t="s">
        <v>27</v>
      </c>
      <c r="G594">
        <v>3</v>
      </c>
      <c r="H594">
        <v>4</v>
      </c>
      <c r="I594" t="s">
        <v>24</v>
      </c>
      <c r="J594">
        <v>16752</v>
      </c>
      <c r="K594">
        <v>1</v>
      </c>
      <c r="L594">
        <v>2</v>
      </c>
      <c r="M594">
        <v>26</v>
      </c>
      <c r="N594" t="s">
        <v>20</v>
      </c>
      <c r="O594" t="s">
        <v>33</v>
      </c>
      <c r="P594">
        <v>63944795</v>
      </c>
    </row>
    <row r="595" spans="1:16" ht="14.25" x14ac:dyDescent="0.2">
      <c r="A595">
        <v>36</v>
      </c>
      <c r="B595" t="s">
        <v>22</v>
      </c>
      <c r="C595" t="s">
        <v>23</v>
      </c>
      <c r="D595">
        <v>1</v>
      </c>
      <c r="E595">
        <v>3</v>
      </c>
      <c r="F595" t="s">
        <v>27</v>
      </c>
      <c r="G595">
        <v>3</v>
      </c>
      <c r="H595">
        <v>2</v>
      </c>
      <c r="I595" t="s">
        <v>24</v>
      </c>
      <c r="J595">
        <v>5228</v>
      </c>
      <c r="K595">
        <v>0</v>
      </c>
      <c r="L595">
        <v>3</v>
      </c>
      <c r="M595">
        <v>9</v>
      </c>
      <c r="N595" t="s">
        <v>20</v>
      </c>
      <c r="O595" t="s">
        <v>31</v>
      </c>
      <c r="P595">
        <v>55530139</v>
      </c>
    </row>
    <row r="596" spans="1:16" ht="14.25" x14ac:dyDescent="0.2">
      <c r="A596">
        <v>29</v>
      </c>
      <c r="B596" t="s">
        <v>22</v>
      </c>
      <c r="C596" t="s">
        <v>23</v>
      </c>
      <c r="D596">
        <v>23</v>
      </c>
      <c r="E596">
        <v>2</v>
      </c>
      <c r="F596" t="s">
        <v>18</v>
      </c>
      <c r="G596">
        <v>3</v>
      </c>
      <c r="H596">
        <v>3</v>
      </c>
      <c r="I596" t="s">
        <v>24</v>
      </c>
      <c r="J596">
        <v>2700</v>
      </c>
      <c r="K596">
        <v>1</v>
      </c>
      <c r="L596">
        <v>3</v>
      </c>
      <c r="M596">
        <v>10</v>
      </c>
      <c r="N596" t="s">
        <v>25</v>
      </c>
      <c r="O596" t="s">
        <v>26</v>
      </c>
      <c r="P596">
        <v>43777690</v>
      </c>
    </row>
    <row r="597" spans="1:16" ht="14.25" x14ac:dyDescent="0.2">
      <c r="A597">
        <v>58</v>
      </c>
      <c r="B597" t="s">
        <v>16</v>
      </c>
      <c r="C597" t="s">
        <v>23</v>
      </c>
      <c r="D597">
        <v>2</v>
      </c>
      <c r="E597">
        <v>4</v>
      </c>
      <c r="F597" t="s">
        <v>18</v>
      </c>
      <c r="G597">
        <v>4</v>
      </c>
      <c r="H597">
        <v>2</v>
      </c>
      <c r="I597" t="s">
        <v>19</v>
      </c>
      <c r="J597">
        <v>19246</v>
      </c>
      <c r="K597">
        <v>7</v>
      </c>
      <c r="L597">
        <v>3</v>
      </c>
      <c r="M597">
        <v>31</v>
      </c>
      <c r="N597" t="s">
        <v>25</v>
      </c>
      <c r="O597" t="s">
        <v>35</v>
      </c>
      <c r="P597">
        <v>53841342</v>
      </c>
    </row>
    <row r="598" spans="1:16" ht="14.25" x14ac:dyDescent="0.2">
      <c r="A598">
        <v>35</v>
      </c>
      <c r="B598" t="s">
        <v>22</v>
      </c>
      <c r="C598" t="s">
        <v>23</v>
      </c>
      <c r="D598">
        <v>1</v>
      </c>
      <c r="E598">
        <v>4</v>
      </c>
      <c r="F598" t="s">
        <v>18</v>
      </c>
      <c r="G598">
        <v>4</v>
      </c>
      <c r="H598">
        <v>3</v>
      </c>
      <c r="I598" t="s">
        <v>19</v>
      </c>
      <c r="J598">
        <v>2506</v>
      </c>
      <c r="K598">
        <v>3</v>
      </c>
      <c r="L598">
        <v>3</v>
      </c>
      <c r="M598">
        <v>2</v>
      </c>
      <c r="N598" t="s">
        <v>20</v>
      </c>
      <c r="O598" t="s">
        <v>26</v>
      </c>
      <c r="P598">
        <v>84827111</v>
      </c>
    </row>
    <row r="599" spans="1:16" ht="14.25" x14ac:dyDescent="0.2">
      <c r="A599">
        <v>42</v>
      </c>
      <c r="B599" t="s">
        <v>22</v>
      </c>
      <c r="C599" t="s">
        <v>23</v>
      </c>
      <c r="D599">
        <v>1</v>
      </c>
      <c r="E599">
        <v>2</v>
      </c>
      <c r="F599" t="s">
        <v>18</v>
      </c>
      <c r="G599">
        <v>4</v>
      </c>
      <c r="H599">
        <v>4</v>
      </c>
      <c r="I599" t="s">
        <v>24</v>
      </c>
      <c r="J599">
        <v>6062</v>
      </c>
      <c r="K599">
        <v>9</v>
      </c>
      <c r="L599">
        <v>3</v>
      </c>
      <c r="M599">
        <v>4</v>
      </c>
      <c r="N599" t="s">
        <v>20</v>
      </c>
      <c r="O599" t="s">
        <v>31</v>
      </c>
      <c r="P599">
        <v>88114994</v>
      </c>
    </row>
    <row r="600" spans="1:16" ht="14.25" x14ac:dyDescent="0.2">
      <c r="A600">
        <v>28</v>
      </c>
      <c r="B600" t="s">
        <v>16</v>
      </c>
      <c r="C600" t="s">
        <v>23</v>
      </c>
      <c r="D600">
        <v>2</v>
      </c>
      <c r="E600">
        <v>4</v>
      </c>
      <c r="F600" t="s">
        <v>29</v>
      </c>
      <c r="G600">
        <v>3</v>
      </c>
      <c r="H600">
        <v>3</v>
      </c>
      <c r="I600" t="s">
        <v>19</v>
      </c>
      <c r="J600">
        <v>4382</v>
      </c>
      <c r="K600">
        <v>6</v>
      </c>
      <c r="L600">
        <v>2</v>
      </c>
      <c r="M600">
        <v>2</v>
      </c>
      <c r="N600" t="s">
        <v>25</v>
      </c>
      <c r="O600" t="s">
        <v>26</v>
      </c>
      <c r="P600">
        <v>40866224</v>
      </c>
    </row>
    <row r="601" spans="1:16" ht="14.25" x14ac:dyDescent="0.2">
      <c r="A601">
        <v>36</v>
      </c>
      <c r="B601" t="s">
        <v>22</v>
      </c>
      <c r="C601" t="s">
        <v>38</v>
      </c>
      <c r="D601">
        <v>13</v>
      </c>
      <c r="E601">
        <v>3</v>
      </c>
      <c r="F601" t="s">
        <v>38</v>
      </c>
      <c r="G601">
        <v>3</v>
      </c>
      <c r="H601">
        <v>2</v>
      </c>
      <c r="I601" t="s">
        <v>24</v>
      </c>
      <c r="J601">
        <v>2143</v>
      </c>
      <c r="K601">
        <v>4</v>
      </c>
      <c r="L601">
        <v>3</v>
      </c>
      <c r="M601">
        <v>5</v>
      </c>
      <c r="N601" t="s">
        <v>25</v>
      </c>
      <c r="O601" t="s">
        <v>38</v>
      </c>
      <c r="P601">
        <v>75192737</v>
      </c>
    </row>
    <row r="602" spans="1:16" ht="14.25" x14ac:dyDescent="0.2">
      <c r="A602">
        <v>32</v>
      </c>
      <c r="B602" t="s">
        <v>22</v>
      </c>
      <c r="C602" t="s">
        <v>23</v>
      </c>
      <c r="D602">
        <v>4</v>
      </c>
      <c r="E602">
        <v>3</v>
      </c>
      <c r="F602" t="s">
        <v>18</v>
      </c>
      <c r="G602">
        <v>3</v>
      </c>
      <c r="H602">
        <v>3</v>
      </c>
      <c r="I602" t="s">
        <v>24</v>
      </c>
      <c r="J602">
        <v>6162</v>
      </c>
      <c r="K602">
        <v>1</v>
      </c>
      <c r="L602">
        <v>3</v>
      </c>
      <c r="M602">
        <v>14</v>
      </c>
      <c r="N602" t="s">
        <v>20</v>
      </c>
      <c r="O602" t="s">
        <v>31</v>
      </c>
      <c r="P602">
        <v>21196203</v>
      </c>
    </row>
    <row r="603" spans="1:16" ht="14.25" x14ac:dyDescent="0.2">
      <c r="A603">
        <v>40</v>
      </c>
      <c r="B603" t="s">
        <v>22</v>
      </c>
      <c r="C603" t="s">
        <v>23</v>
      </c>
      <c r="D603">
        <v>16</v>
      </c>
      <c r="E603">
        <v>4</v>
      </c>
      <c r="F603" t="s">
        <v>29</v>
      </c>
      <c r="G603">
        <v>1</v>
      </c>
      <c r="H603">
        <v>3</v>
      </c>
      <c r="I603" t="s">
        <v>19</v>
      </c>
      <c r="J603">
        <v>5094</v>
      </c>
      <c r="K603">
        <v>6</v>
      </c>
      <c r="L603">
        <v>3</v>
      </c>
      <c r="M603">
        <v>1</v>
      </c>
      <c r="N603" t="s">
        <v>25</v>
      </c>
      <c r="O603" t="s">
        <v>28</v>
      </c>
      <c r="P603">
        <v>69929844</v>
      </c>
    </row>
    <row r="604" spans="1:16" ht="14.25" x14ac:dyDescent="0.2">
      <c r="A604">
        <v>30</v>
      </c>
      <c r="B604" t="s">
        <v>22</v>
      </c>
      <c r="C604" t="s">
        <v>23</v>
      </c>
      <c r="D604">
        <v>2</v>
      </c>
      <c r="E604">
        <v>3</v>
      </c>
      <c r="F604" t="s">
        <v>29</v>
      </c>
      <c r="G604">
        <v>3</v>
      </c>
      <c r="H604">
        <v>4</v>
      </c>
      <c r="I604" t="s">
        <v>19</v>
      </c>
      <c r="J604">
        <v>6877</v>
      </c>
      <c r="K604">
        <v>5</v>
      </c>
      <c r="L604">
        <v>2</v>
      </c>
      <c r="M604">
        <v>0</v>
      </c>
      <c r="N604" t="s">
        <v>20</v>
      </c>
      <c r="O604" t="s">
        <v>31</v>
      </c>
      <c r="P604">
        <v>46663340</v>
      </c>
    </row>
    <row r="605" spans="1:16" ht="14.25" x14ac:dyDescent="0.2">
      <c r="A605">
        <v>45</v>
      </c>
      <c r="B605" t="s">
        <v>22</v>
      </c>
      <c r="C605" t="s">
        <v>23</v>
      </c>
      <c r="D605">
        <v>2</v>
      </c>
      <c r="E605">
        <v>3</v>
      </c>
      <c r="F605" t="s">
        <v>18</v>
      </c>
      <c r="G605">
        <v>2</v>
      </c>
      <c r="H605">
        <v>3</v>
      </c>
      <c r="I605" t="s">
        <v>19</v>
      </c>
      <c r="J605">
        <v>2274</v>
      </c>
      <c r="K605">
        <v>1</v>
      </c>
      <c r="L605">
        <v>3</v>
      </c>
      <c r="M605">
        <v>1</v>
      </c>
      <c r="N605" t="s">
        <v>20</v>
      </c>
      <c r="O605" t="s">
        <v>26</v>
      </c>
      <c r="P605">
        <v>72260531</v>
      </c>
    </row>
    <row r="606" spans="1:16" ht="14.25" x14ac:dyDescent="0.2">
      <c r="A606">
        <v>42</v>
      </c>
      <c r="B606" t="s">
        <v>22</v>
      </c>
      <c r="C606" t="s">
        <v>23</v>
      </c>
      <c r="D606">
        <v>29</v>
      </c>
      <c r="E606">
        <v>3</v>
      </c>
      <c r="F606" t="s">
        <v>18</v>
      </c>
      <c r="G606">
        <v>2</v>
      </c>
      <c r="H606">
        <v>2</v>
      </c>
      <c r="I606" t="s">
        <v>24</v>
      </c>
      <c r="J606">
        <v>4434</v>
      </c>
      <c r="K606">
        <v>1</v>
      </c>
      <c r="L606">
        <v>2</v>
      </c>
      <c r="M606">
        <v>9</v>
      </c>
      <c r="N606" t="s">
        <v>25</v>
      </c>
      <c r="O606" t="s">
        <v>31</v>
      </c>
      <c r="P606">
        <v>82991942</v>
      </c>
    </row>
    <row r="607" spans="1:16" ht="14.25" x14ac:dyDescent="0.2">
      <c r="A607">
        <v>38</v>
      </c>
      <c r="B607" t="s">
        <v>22</v>
      </c>
      <c r="C607" t="s">
        <v>23</v>
      </c>
      <c r="D607">
        <v>12</v>
      </c>
      <c r="E607">
        <v>3</v>
      </c>
      <c r="F607" t="s">
        <v>18</v>
      </c>
      <c r="G607">
        <v>1</v>
      </c>
      <c r="H607">
        <v>1</v>
      </c>
      <c r="I607" t="s">
        <v>30</v>
      </c>
      <c r="J607">
        <v>6288</v>
      </c>
      <c r="K607">
        <v>2</v>
      </c>
      <c r="L607">
        <v>2</v>
      </c>
      <c r="M607">
        <v>4</v>
      </c>
      <c r="N607" t="s">
        <v>25</v>
      </c>
      <c r="O607" t="s">
        <v>32</v>
      </c>
      <c r="P607">
        <v>42678266</v>
      </c>
    </row>
    <row r="608" spans="1:16" ht="14.25" x14ac:dyDescent="0.2">
      <c r="A608">
        <v>34</v>
      </c>
      <c r="B608" t="s">
        <v>22</v>
      </c>
      <c r="C608" t="s">
        <v>23</v>
      </c>
      <c r="D608">
        <v>16</v>
      </c>
      <c r="E608">
        <v>4</v>
      </c>
      <c r="F608" t="s">
        <v>18</v>
      </c>
      <c r="G608">
        <v>3</v>
      </c>
      <c r="H608">
        <v>4</v>
      </c>
      <c r="I608" t="s">
        <v>19</v>
      </c>
      <c r="J608">
        <v>2553</v>
      </c>
      <c r="K608">
        <v>1</v>
      </c>
      <c r="L608">
        <v>3</v>
      </c>
      <c r="M608">
        <v>5</v>
      </c>
      <c r="N608" t="s">
        <v>20</v>
      </c>
      <c r="O608" t="s">
        <v>26</v>
      </c>
      <c r="P608">
        <v>38736425</v>
      </c>
    </row>
    <row r="609" spans="1:16" ht="14.25" x14ac:dyDescent="0.2">
      <c r="A609">
        <v>49</v>
      </c>
      <c r="B609" t="s">
        <v>16</v>
      </c>
      <c r="C609" t="s">
        <v>17</v>
      </c>
      <c r="D609">
        <v>11</v>
      </c>
      <c r="E609">
        <v>3</v>
      </c>
      <c r="F609" t="s">
        <v>36</v>
      </c>
      <c r="G609">
        <v>3</v>
      </c>
      <c r="H609">
        <v>4</v>
      </c>
      <c r="I609" t="s">
        <v>24</v>
      </c>
      <c r="J609">
        <v>7654</v>
      </c>
      <c r="K609">
        <v>1</v>
      </c>
      <c r="L609">
        <v>4</v>
      </c>
      <c r="M609">
        <v>9</v>
      </c>
      <c r="N609" t="s">
        <v>20</v>
      </c>
      <c r="O609" t="s">
        <v>21</v>
      </c>
      <c r="P609">
        <v>65377404</v>
      </c>
    </row>
    <row r="610" spans="1:16" ht="14.25" x14ac:dyDescent="0.2">
      <c r="A610">
        <v>55</v>
      </c>
      <c r="B610" t="s">
        <v>16</v>
      </c>
      <c r="C610" t="s">
        <v>17</v>
      </c>
      <c r="D610">
        <v>2</v>
      </c>
      <c r="E610">
        <v>1</v>
      </c>
      <c r="F610" t="s">
        <v>29</v>
      </c>
      <c r="G610">
        <v>3</v>
      </c>
      <c r="H610">
        <v>4</v>
      </c>
      <c r="I610" t="s">
        <v>19</v>
      </c>
      <c r="J610">
        <v>5160</v>
      </c>
      <c r="K610">
        <v>4</v>
      </c>
      <c r="L610">
        <v>2</v>
      </c>
      <c r="M610">
        <v>9</v>
      </c>
      <c r="N610" t="s">
        <v>25</v>
      </c>
      <c r="O610" t="s">
        <v>21</v>
      </c>
      <c r="P610">
        <v>71419370</v>
      </c>
    </row>
    <row r="611" spans="1:16" ht="14.25" x14ac:dyDescent="0.2">
      <c r="A611">
        <v>43</v>
      </c>
      <c r="B611" t="s">
        <v>22</v>
      </c>
      <c r="C611" t="s">
        <v>23</v>
      </c>
      <c r="D611">
        <v>14</v>
      </c>
      <c r="E611">
        <v>2</v>
      </c>
      <c r="F611" t="s">
        <v>18</v>
      </c>
      <c r="G611">
        <v>2</v>
      </c>
      <c r="H611">
        <v>1</v>
      </c>
      <c r="I611" t="s">
        <v>24</v>
      </c>
      <c r="J611">
        <v>17159</v>
      </c>
      <c r="K611">
        <v>6</v>
      </c>
      <c r="L611">
        <v>3</v>
      </c>
      <c r="M611">
        <v>4</v>
      </c>
      <c r="N611" t="s">
        <v>25</v>
      </c>
      <c r="O611" t="s">
        <v>35</v>
      </c>
      <c r="P611">
        <v>35133564</v>
      </c>
    </row>
    <row r="612" spans="1:16" ht="14.25" x14ac:dyDescent="0.2">
      <c r="A612">
        <v>27</v>
      </c>
      <c r="B612" t="s">
        <v>22</v>
      </c>
      <c r="C612" t="s">
        <v>23</v>
      </c>
      <c r="D612">
        <v>5</v>
      </c>
      <c r="E612">
        <v>1</v>
      </c>
      <c r="F612" t="s">
        <v>37</v>
      </c>
      <c r="G612">
        <v>3</v>
      </c>
      <c r="H612">
        <v>4</v>
      </c>
      <c r="I612" t="s">
        <v>30</v>
      </c>
      <c r="J612">
        <v>12808</v>
      </c>
      <c r="K612">
        <v>1</v>
      </c>
      <c r="L612">
        <v>3</v>
      </c>
      <c r="M612">
        <v>9</v>
      </c>
      <c r="N612" t="s">
        <v>25</v>
      </c>
      <c r="O612" t="s">
        <v>35</v>
      </c>
      <c r="P612">
        <v>14737918</v>
      </c>
    </row>
    <row r="613" spans="1:16" ht="14.25" x14ac:dyDescent="0.2">
      <c r="A613">
        <v>35</v>
      </c>
      <c r="B613" t="s">
        <v>22</v>
      </c>
      <c r="C613" t="s">
        <v>23</v>
      </c>
      <c r="D613">
        <v>7</v>
      </c>
      <c r="E613">
        <v>3</v>
      </c>
      <c r="F613" t="s">
        <v>27</v>
      </c>
      <c r="G613">
        <v>3</v>
      </c>
      <c r="H613">
        <v>3</v>
      </c>
      <c r="I613" t="s">
        <v>19</v>
      </c>
      <c r="J613">
        <v>10221</v>
      </c>
      <c r="K613">
        <v>3</v>
      </c>
      <c r="L613">
        <v>4</v>
      </c>
      <c r="M613">
        <v>8</v>
      </c>
      <c r="N613" t="s">
        <v>25</v>
      </c>
      <c r="O613" t="s">
        <v>31</v>
      </c>
      <c r="P613">
        <v>78590345</v>
      </c>
    </row>
    <row r="614" spans="1:16" ht="14.25" x14ac:dyDescent="0.2">
      <c r="A614">
        <v>28</v>
      </c>
      <c r="B614" t="s">
        <v>22</v>
      </c>
      <c r="C614" t="s">
        <v>17</v>
      </c>
      <c r="D614">
        <v>2</v>
      </c>
      <c r="E614">
        <v>4</v>
      </c>
      <c r="F614" t="s">
        <v>36</v>
      </c>
      <c r="G614">
        <v>2</v>
      </c>
      <c r="H614">
        <v>2</v>
      </c>
      <c r="I614" t="s">
        <v>24</v>
      </c>
      <c r="J614">
        <v>4779</v>
      </c>
      <c r="K614">
        <v>1</v>
      </c>
      <c r="L614">
        <v>3</v>
      </c>
      <c r="M614">
        <v>8</v>
      </c>
      <c r="N614" t="s">
        <v>20</v>
      </c>
      <c r="O614" t="s">
        <v>21</v>
      </c>
      <c r="P614">
        <v>49631664</v>
      </c>
    </row>
    <row r="615" spans="1:16" ht="14.25" x14ac:dyDescent="0.2">
      <c r="A615">
        <v>34</v>
      </c>
      <c r="B615" t="s">
        <v>22</v>
      </c>
      <c r="C615" t="s">
        <v>38</v>
      </c>
      <c r="D615">
        <v>3</v>
      </c>
      <c r="E615">
        <v>2</v>
      </c>
      <c r="F615" t="s">
        <v>38</v>
      </c>
      <c r="G615">
        <v>3</v>
      </c>
      <c r="H615">
        <v>4</v>
      </c>
      <c r="I615" t="s">
        <v>24</v>
      </c>
      <c r="J615">
        <v>3737</v>
      </c>
      <c r="K615">
        <v>0</v>
      </c>
      <c r="L615">
        <v>1</v>
      </c>
      <c r="M615">
        <v>3</v>
      </c>
      <c r="N615" t="s">
        <v>25</v>
      </c>
      <c r="O615" t="s">
        <v>38</v>
      </c>
      <c r="P615">
        <v>63468402</v>
      </c>
    </row>
    <row r="616" spans="1:16" ht="14.25" x14ac:dyDescent="0.2">
      <c r="A616">
        <v>26</v>
      </c>
      <c r="B616" t="s">
        <v>16</v>
      </c>
      <c r="C616" t="s">
        <v>23</v>
      </c>
      <c r="D616">
        <v>5</v>
      </c>
      <c r="E616">
        <v>2</v>
      </c>
      <c r="F616" t="s">
        <v>29</v>
      </c>
      <c r="G616">
        <v>3</v>
      </c>
      <c r="H616">
        <v>3</v>
      </c>
      <c r="I616" t="s">
        <v>24</v>
      </c>
      <c r="J616">
        <v>2366</v>
      </c>
      <c r="K616">
        <v>1</v>
      </c>
      <c r="L616">
        <v>3</v>
      </c>
      <c r="M616">
        <v>8</v>
      </c>
      <c r="N616" t="s">
        <v>20</v>
      </c>
      <c r="O616" t="s">
        <v>26</v>
      </c>
      <c r="P616">
        <v>13624627</v>
      </c>
    </row>
    <row r="617" spans="1:16" ht="14.25" x14ac:dyDescent="0.2">
      <c r="A617">
        <v>27</v>
      </c>
      <c r="B617" t="s">
        <v>22</v>
      </c>
      <c r="C617" t="s">
        <v>23</v>
      </c>
      <c r="D617">
        <v>3</v>
      </c>
      <c r="E617">
        <v>3</v>
      </c>
      <c r="F617" t="s">
        <v>29</v>
      </c>
      <c r="G617">
        <v>4</v>
      </c>
      <c r="H617">
        <v>4</v>
      </c>
      <c r="I617" t="s">
        <v>24</v>
      </c>
      <c r="J617">
        <v>1706</v>
      </c>
      <c r="K617">
        <v>1</v>
      </c>
      <c r="L617">
        <v>2</v>
      </c>
      <c r="M617">
        <v>0</v>
      </c>
      <c r="N617" t="s">
        <v>25</v>
      </c>
      <c r="O617" t="s">
        <v>26</v>
      </c>
      <c r="P617">
        <v>27400312</v>
      </c>
    </row>
    <row r="618" spans="1:16" ht="14.25" x14ac:dyDescent="0.2">
      <c r="A618">
        <v>51</v>
      </c>
      <c r="B618" t="s">
        <v>22</v>
      </c>
      <c r="C618" t="s">
        <v>17</v>
      </c>
      <c r="D618">
        <v>26</v>
      </c>
      <c r="E618">
        <v>4</v>
      </c>
      <c r="F618" t="s">
        <v>36</v>
      </c>
      <c r="G618">
        <v>1</v>
      </c>
      <c r="H618">
        <v>3</v>
      </c>
      <c r="I618" t="s">
        <v>24</v>
      </c>
      <c r="J618">
        <v>16307</v>
      </c>
      <c r="K618">
        <v>2</v>
      </c>
      <c r="L618">
        <v>2</v>
      </c>
      <c r="M618">
        <v>20</v>
      </c>
      <c r="N618" t="s">
        <v>20</v>
      </c>
      <c r="O618" t="s">
        <v>33</v>
      </c>
      <c r="P618">
        <v>68231401</v>
      </c>
    </row>
    <row r="619" spans="1:16" ht="14.25" x14ac:dyDescent="0.2">
      <c r="A619">
        <v>44</v>
      </c>
      <c r="B619" t="s">
        <v>22</v>
      </c>
      <c r="C619" t="s">
        <v>23</v>
      </c>
      <c r="D619">
        <v>4</v>
      </c>
      <c r="E619">
        <v>3</v>
      </c>
      <c r="F619" t="s">
        <v>29</v>
      </c>
      <c r="G619">
        <v>4</v>
      </c>
      <c r="H619">
        <v>2</v>
      </c>
      <c r="I619" t="s">
        <v>19</v>
      </c>
      <c r="J619">
        <v>5933</v>
      </c>
      <c r="K619">
        <v>9</v>
      </c>
      <c r="L619">
        <v>2</v>
      </c>
      <c r="M619">
        <v>5</v>
      </c>
      <c r="N619" t="s">
        <v>25</v>
      </c>
      <c r="O619" t="s">
        <v>32</v>
      </c>
      <c r="P619">
        <v>56135360</v>
      </c>
    </row>
    <row r="620" spans="1:16" ht="14.25" x14ac:dyDescent="0.2">
      <c r="A620">
        <v>25</v>
      </c>
      <c r="B620" t="s">
        <v>22</v>
      </c>
      <c r="C620" t="s">
        <v>23</v>
      </c>
      <c r="D620">
        <v>2</v>
      </c>
      <c r="E620">
        <v>1</v>
      </c>
      <c r="F620" t="s">
        <v>29</v>
      </c>
      <c r="G620">
        <v>1</v>
      </c>
      <c r="H620">
        <v>1</v>
      </c>
      <c r="I620" t="s">
        <v>19</v>
      </c>
      <c r="J620">
        <v>3424</v>
      </c>
      <c r="K620">
        <v>7</v>
      </c>
      <c r="L620">
        <v>2</v>
      </c>
      <c r="M620">
        <v>4</v>
      </c>
      <c r="N620" t="s">
        <v>25</v>
      </c>
      <c r="O620" t="s">
        <v>26</v>
      </c>
      <c r="P620">
        <v>89067911</v>
      </c>
    </row>
    <row r="621" spans="1:16" ht="14.25" x14ac:dyDescent="0.2">
      <c r="A621">
        <v>33</v>
      </c>
      <c r="B621" t="s">
        <v>22</v>
      </c>
      <c r="C621" t="s">
        <v>17</v>
      </c>
      <c r="D621">
        <v>1</v>
      </c>
      <c r="E621">
        <v>3</v>
      </c>
      <c r="F621" t="s">
        <v>29</v>
      </c>
      <c r="G621">
        <v>1</v>
      </c>
      <c r="H621">
        <v>1</v>
      </c>
      <c r="I621" t="s">
        <v>30</v>
      </c>
      <c r="J621">
        <v>4037</v>
      </c>
      <c r="K621">
        <v>1</v>
      </c>
      <c r="L621">
        <v>3</v>
      </c>
      <c r="M621">
        <v>9</v>
      </c>
      <c r="N621" t="s">
        <v>25</v>
      </c>
      <c r="O621" t="s">
        <v>21</v>
      </c>
      <c r="P621">
        <v>62880492</v>
      </c>
    </row>
    <row r="622" spans="1:16" ht="14.25" x14ac:dyDescent="0.2">
      <c r="A622">
        <v>35</v>
      </c>
      <c r="B622" t="s">
        <v>22</v>
      </c>
      <c r="C622" t="s">
        <v>23</v>
      </c>
      <c r="D622">
        <v>27</v>
      </c>
      <c r="E622">
        <v>1</v>
      </c>
      <c r="F622" t="s">
        <v>29</v>
      </c>
      <c r="G622">
        <v>3</v>
      </c>
      <c r="H622">
        <v>1</v>
      </c>
      <c r="I622" t="s">
        <v>19</v>
      </c>
      <c r="J622">
        <v>2559</v>
      </c>
      <c r="K622">
        <v>1</v>
      </c>
      <c r="L622">
        <v>2</v>
      </c>
      <c r="M622">
        <v>6</v>
      </c>
      <c r="N622" t="s">
        <v>20</v>
      </c>
      <c r="O622" t="s">
        <v>26</v>
      </c>
      <c r="P622">
        <v>10508190</v>
      </c>
    </row>
    <row r="623" spans="1:16" ht="14.25" x14ac:dyDescent="0.2">
      <c r="A623">
        <v>36</v>
      </c>
      <c r="B623" t="s">
        <v>22</v>
      </c>
      <c r="C623" t="s">
        <v>17</v>
      </c>
      <c r="D623">
        <v>1</v>
      </c>
      <c r="E623">
        <v>2</v>
      </c>
      <c r="F623" t="s">
        <v>18</v>
      </c>
      <c r="G623">
        <v>2</v>
      </c>
      <c r="H623">
        <v>4</v>
      </c>
      <c r="I623" t="s">
        <v>24</v>
      </c>
      <c r="J623">
        <v>6201</v>
      </c>
      <c r="K623">
        <v>1</v>
      </c>
      <c r="L623">
        <v>2</v>
      </c>
      <c r="M623">
        <v>18</v>
      </c>
      <c r="N623" t="s">
        <v>25</v>
      </c>
      <c r="O623" t="s">
        <v>21</v>
      </c>
      <c r="P623">
        <v>47376879</v>
      </c>
    </row>
    <row r="624" spans="1:16" ht="14.25" x14ac:dyDescent="0.2">
      <c r="A624">
        <v>32</v>
      </c>
      <c r="B624" t="s">
        <v>22</v>
      </c>
      <c r="C624" t="s">
        <v>17</v>
      </c>
      <c r="D624">
        <v>13</v>
      </c>
      <c r="E624">
        <v>4</v>
      </c>
      <c r="F624" t="s">
        <v>18</v>
      </c>
      <c r="G624">
        <v>2</v>
      </c>
      <c r="H624">
        <v>4</v>
      </c>
      <c r="I624" t="s">
        <v>30</v>
      </c>
      <c r="J624">
        <v>4403</v>
      </c>
      <c r="K624">
        <v>2</v>
      </c>
      <c r="L624">
        <v>2</v>
      </c>
      <c r="M624">
        <v>5</v>
      </c>
      <c r="N624" t="s">
        <v>25</v>
      </c>
      <c r="O624" t="s">
        <v>21</v>
      </c>
      <c r="P624">
        <v>79269312</v>
      </c>
    </row>
    <row r="625" spans="1:16" ht="14.25" x14ac:dyDescent="0.2">
      <c r="A625">
        <v>30</v>
      </c>
      <c r="B625" t="s">
        <v>22</v>
      </c>
      <c r="C625" t="s">
        <v>23</v>
      </c>
      <c r="D625">
        <v>5</v>
      </c>
      <c r="E625">
        <v>4</v>
      </c>
      <c r="F625" t="s">
        <v>18</v>
      </c>
      <c r="G625">
        <v>2</v>
      </c>
      <c r="H625">
        <v>4</v>
      </c>
      <c r="I625" t="s">
        <v>30</v>
      </c>
      <c r="J625">
        <v>3761</v>
      </c>
      <c r="K625">
        <v>9</v>
      </c>
      <c r="L625">
        <v>2</v>
      </c>
      <c r="M625">
        <v>5</v>
      </c>
      <c r="N625" t="s">
        <v>25</v>
      </c>
      <c r="O625" t="s">
        <v>26</v>
      </c>
      <c r="P625">
        <v>69736188</v>
      </c>
    </row>
    <row r="626" spans="1:16" ht="14.25" x14ac:dyDescent="0.2">
      <c r="A626">
        <v>53</v>
      </c>
      <c r="B626" t="s">
        <v>22</v>
      </c>
      <c r="C626" t="s">
        <v>17</v>
      </c>
      <c r="D626">
        <v>7</v>
      </c>
      <c r="E626">
        <v>2</v>
      </c>
      <c r="F626" t="s">
        <v>36</v>
      </c>
      <c r="G626">
        <v>1</v>
      </c>
      <c r="H626">
        <v>4</v>
      </c>
      <c r="I626" t="s">
        <v>24</v>
      </c>
      <c r="J626">
        <v>10934</v>
      </c>
      <c r="K626">
        <v>7</v>
      </c>
      <c r="L626">
        <v>3</v>
      </c>
      <c r="M626">
        <v>5</v>
      </c>
      <c r="N626" t="s">
        <v>20</v>
      </c>
      <c r="O626" t="s">
        <v>21</v>
      </c>
      <c r="P626">
        <v>75682587</v>
      </c>
    </row>
    <row r="627" spans="1:16" ht="14.25" x14ac:dyDescent="0.2">
      <c r="A627">
        <v>45</v>
      </c>
      <c r="B627" t="s">
        <v>22</v>
      </c>
      <c r="C627" t="s">
        <v>17</v>
      </c>
      <c r="D627">
        <v>9</v>
      </c>
      <c r="E627">
        <v>3</v>
      </c>
      <c r="F627" t="s">
        <v>36</v>
      </c>
      <c r="G627">
        <v>4</v>
      </c>
      <c r="H627">
        <v>1</v>
      </c>
      <c r="I627" t="s">
        <v>30</v>
      </c>
      <c r="J627">
        <v>10761</v>
      </c>
      <c r="K627">
        <v>4</v>
      </c>
      <c r="L627">
        <v>3</v>
      </c>
      <c r="M627">
        <v>5</v>
      </c>
      <c r="N627" t="s">
        <v>25</v>
      </c>
      <c r="O627" t="s">
        <v>21</v>
      </c>
      <c r="P627">
        <v>38910208</v>
      </c>
    </row>
    <row r="628" spans="1:16" ht="14.25" x14ac:dyDescent="0.2">
      <c r="A628">
        <v>32</v>
      </c>
      <c r="B628" t="s">
        <v>22</v>
      </c>
      <c r="C628" t="s">
        <v>23</v>
      </c>
      <c r="D628">
        <v>8</v>
      </c>
      <c r="E628">
        <v>2</v>
      </c>
      <c r="F628" t="s">
        <v>29</v>
      </c>
      <c r="G628">
        <v>3</v>
      </c>
      <c r="H628">
        <v>3</v>
      </c>
      <c r="I628" t="s">
        <v>24</v>
      </c>
      <c r="J628">
        <v>5175</v>
      </c>
      <c r="K628">
        <v>5</v>
      </c>
      <c r="L628">
        <v>2</v>
      </c>
      <c r="M628">
        <v>5</v>
      </c>
      <c r="N628" t="s">
        <v>20</v>
      </c>
      <c r="O628" t="s">
        <v>26</v>
      </c>
      <c r="P628">
        <v>88338629</v>
      </c>
    </row>
    <row r="629" spans="1:16" ht="14.25" x14ac:dyDescent="0.2">
      <c r="A629">
        <v>52</v>
      </c>
      <c r="B629" t="s">
        <v>22</v>
      </c>
      <c r="C629" t="s">
        <v>23</v>
      </c>
      <c r="D629">
        <v>25</v>
      </c>
      <c r="E629">
        <v>4</v>
      </c>
      <c r="F629" t="s">
        <v>29</v>
      </c>
      <c r="G629">
        <v>3</v>
      </c>
      <c r="H629">
        <v>4</v>
      </c>
      <c r="I629" t="s">
        <v>24</v>
      </c>
      <c r="J629">
        <v>13826</v>
      </c>
      <c r="K629">
        <v>3</v>
      </c>
      <c r="L629">
        <v>3</v>
      </c>
      <c r="M629">
        <v>9</v>
      </c>
      <c r="N629" t="s">
        <v>20</v>
      </c>
      <c r="O629" t="s">
        <v>31</v>
      </c>
      <c r="P629">
        <v>44499902</v>
      </c>
    </row>
    <row r="630" spans="1:16" ht="14.25" x14ac:dyDescent="0.2">
      <c r="A630">
        <v>37</v>
      </c>
      <c r="B630" t="s">
        <v>22</v>
      </c>
      <c r="C630" t="s">
        <v>17</v>
      </c>
      <c r="D630">
        <v>16</v>
      </c>
      <c r="E630">
        <v>4</v>
      </c>
      <c r="F630" t="s">
        <v>36</v>
      </c>
      <c r="G630">
        <v>4</v>
      </c>
      <c r="H630">
        <v>3</v>
      </c>
      <c r="I630" t="s">
        <v>30</v>
      </c>
      <c r="J630">
        <v>6334</v>
      </c>
      <c r="K630">
        <v>4</v>
      </c>
      <c r="L630">
        <v>3</v>
      </c>
      <c r="M630">
        <v>1</v>
      </c>
      <c r="N630" t="s">
        <v>25</v>
      </c>
      <c r="O630" t="s">
        <v>21</v>
      </c>
      <c r="P630">
        <v>69937737</v>
      </c>
    </row>
    <row r="631" spans="1:16" ht="14.25" x14ac:dyDescent="0.2">
      <c r="A631">
        <v>28</v>
      </c>
      <c r="B631" t="s">
        <v>22</v>
      </c>
      <c r="C631" t="s">
        <v>38</v>
      </c>
      <c r="D631">
        <v>8</v>
      </c>
      <c r="E631">
        <v>2</v>
      </c>
      <c r="F631" t="s">
        <v>29</v>
      </c>
      <c r="G631">
        <v>2</v>
      </c>
      <c r="H631">
        <v>4</v>
      </c>
      <c r="I631" t="s">
        <v>30</v>
      </c>
      <c r="J631">
        <v>4936</v>
      </c>
      <c r="K631">
        <v>1</v>
      </c>
      <c r="L631">
        <v>3</v>
      </c>
      <c r="M631">
        <v>5</v>
      </c>
      <c r="N631" t="s">
        <v>25</v>
      </c>
      <c r="O631" t="s">
        <v>38</v>
      </c>
      <c r="P631">
        <v>35011765</v>
      </c>
    </row>
    <row r="632" spans="1:16" ht="14.25" x14ac:dyDescent="0.2">
      <c r="A632">
        <v>22</v>
      </c>
      <c r="B632" t="s">
        <v>22</v>
      </c>
      <c r="C632" t="s">
        <v>23</v>
      </c>
      <c r="D632">
        <v>1</v>
      </c>
      <c r="E632">
        <v>2</v>
      </c>
      <c r="F632" t="s">
        <v>18</v>
      </c>
      <c r="G632">
        <v>4</v>
      </c>
      <c r="H632">
        <v>4</v>
      </c>
      <c r="I632" t="s">
        <v>24</v>
      </c>
      <c r="J632">
        <v>4775</v>
      </c>
      <c r="K632">
        <v>6</v>
      </c>
      <c r="L632">
        <v>1</v>
      </c>
      <c r="M632">
        <v>2</v>
      </c>
      <c r="N632" t="s">
        <v>25</v>
      </c>
      <c r="O632" t="s">
        <v>31</v>
      </c>
      <c r="P632">
        <v>34717842</v>
      </c>
    </row>
    <row r="633" spans="1:16" ht="14.25" x14ac:dyDescent="0.2">
      <c r="A633">
        <v>44</v>
      </c>
      <c r="B633" t="s">
        <v>22</v>
      </c>
      <c r="C633" t="s">
        <v>23</v>
      </c>
      <c r="D633">
        <v>8</v>
      </c>
      <c r="E633">
        <v>4</v>
      </c>
      <c r="F633" t="s">
        <v>18</v>
      </c>
      <c r="G633">
        <v>1</v>
      </c>
      <c r="H633">
        <v>4</v>
      </c>
      <c r="I633" t="s">
        <v>24</v>
      </c>
      <c r="J633">
        <v>2818</v>
      </c>
      <c r="K633">
        <v>2</v>
      </c>
      <c r="L633">
        <v>2</v>
      </c>
      <c r="M633">
        <v>3</v>
      </c>
      <c r="N633" t="s">
        <v>25</v>
      </c>
      <c r="O633" t="s">
        <v>28</v>
      </c>
      <c r="P633">
        <v>15383278</v>
      </c>
    </row>
    <row r="634" spans="1:16" ht="14.25" x14ac:dyDescent="0.2">
      <c r="A634">
        <v>42</v>
      </c>
      <c r="B634" t="s">
        <v>22</v>
      </c>
      <c r="C634" t="s">
        <v>23</v>
      </c>
      <c r="D634">
        <v>2</v>
      </c>
      <c r="E634">
        <v>1</v>
      </c>
      <c r="F634" t="s">
        <v>29</v>
      </c>
      <c r="G634">
        <v>2</v>
      </c>
      <c r="H634">
        <v>4</v>
      </c>
      <c r="I634" t="s">
        <v>19</v>
      </c>
      <c r="J634">
        <v>2515</v>
      </c>
      <c r="K634">
        <v>5</v>
      </c>
      <c r="L634">
        <v>3</v>
      </c>
      <c r="M634">
        <v>2</v>
      </c>
      <c r="N634" t="s">
        <v>25</v>
      </c>
      <c r="O634" t="s">
        <v>26</v>
      </c>
      <c r="P634">
        <v>18240879</v>
      </c>
    </row>
    <row r="635" spans="1:16" ht="14.25" x14ac:dyDescent="0.2">
      <c r="A635">
        <v>36</v>
      </c>
      <c r="B635" t="s">
        <v>22</v>
      </c>
      <c r="C635" t="s">
        <v>38</v>
      </c>
      <c r="D635">
        <v>8</v>
      </c>
      <c r="E635">
        <v>3</v>
      </c>
      <c r="F635" t="s">
        <v>18</v>
      </c>
      <c r="G635">
        <v>1</v>
      </c>
      <c r="H635">
        <v>1</v>
      </c>
      <c r="I635" t="s">
        <v>24</v>
      </c>
      <c r="J635">
        <v>2342</v>
      </c>
      <c r="K635">
        <v>0</v>
      </c>
      <c r="L635">
        <v>3</v>
      </c>
      <c r="M635">
        <v>5</v>
      </c>
      <c r="N635" t="s">
        <v>25</v>
      </c>
      <c r="O635" t="s">
        <v>38</v>
      </c>
      <c r="P635">
        <v>12385313</v>
      </c>
    </row>
    <row r="636" spans="1:16" ht="14.25" x14ac:dyDescent="0.2">
      <c r="A636">
        <v>25</v>
      </c>
      <c r="B636" t="s">
        <v>22</v>
      </c>
      <c r="C636" t="s">
        <v>17</v>
      </c>
      <c r="D636">
        <v>3</v>
      </c>
      <c r="E636">
        <v>1</v>
      </c>
      <c r="F636" t="s">
        <v>27</v>
      </c>
      <c r="G636">
        <v>3</v>
      </c>
      <c r="H636">
        <v>1</v>
      </c>
      <c r="I636" t="s">
        <v>24</v>
      </c>
      <c r="J636">
        <v>4194</v>
      </c>
      <c r="K636">
        <v>1</v>
      </c>
      <c r="L636">
        <v>3</v>
      </c>
      <c r="M636">
        <v>5</v>
      </c>
      <c r="N636" t="s">
        <v>25</v>
      </c>
      <c r="O636" t="s">
        <v>21</v>
      </c>
      <c r="P636">
        <v>53204466</v>
      </c>
    </row>
    <row r="637" spans="1:16" ht="14.25" x14ac:dyDescent="0.2">
      <c r="A637">
        <v>35</v>
      </c>
      <c r="B637" t="s">
        <v>22</v>
      </c>
      <c r="C637" t="s">
        <v>23</v>
      </c>
      <c r="D637">
        <v>9</v>
      </c>
      <c r="E637">
        <v>3</v>
      </c>
      <c r="F637" t="s">
        <v>18</v>
      </c>
      <c r="G637">
        <v>4</v>
      </c>
      <c r="H637">
        <v>3</v>
      </c>
      <c r="I637" t="s">
        <v>24</v>
      </c>
      <c r="J637">
        <v>10685</v>
      </c>
      <c r="K637">
        <v>1</v>
      </c>
      <c r="L637">
        <v>3</v>
      </c>
      <c r="M637">
        <v>17</v>
      </c>
      <c r="N637" t="s">
        <v>20</v>
      </c>
      <c r="O637" t="s">
        <v>31</v>
      </c>
      <c r="P637">
        <v>29335107</v>
      </c>
    </row>
    <row r="638" spans="1:16" ht="14.25" x14ac:dyDescent="0.2">
      <c r="A638">
        <v>35</v>
      </c>
      <c r="B638" t="s">
        <v>16</v>
      </c>
      <c r="C638" t="s">
        <v>23</v>
      </c>
      <c r="D638">
        <v>25</v>
      </c>
      <c r="E638">
        <v>4</v>
      </c>
      <c r="F638" t="s">
        <v>18</v>
      </c>
      <c r="G638">
        <v>4</v>
      </c>
      <c r="H638">
        <v>2</v>
      </c>
      <c r="I638" t="s">
        <v>30</v>
      </c>
      <c r="J638">
        <v>2022</v>
      </c>
      <c r="K638">
        <v>1</v>
      </c>
      <c r="L638">
        <v>2</v>
      </c>
      <c r="M638">
        <v>10</v>
      </c>
      <c r="N638" t="s">
        <v>20</v>
      </c>
      <c r="O638" t="s">
        <v>26</v>
      </c>
      <c r="P638">
        <v>55543286</v>
      </c>
    </row>
    <row r="639" spans="1:16" ht="14.25" x14ac:dyDescent="0.2">
      <c r="A639">
        <v>32</v>
      </c>
      <c r="B639" t="s">
        <v>22</v>
      </c>
      <c r="C639" t="s">
        <v>23</v>
      </c>
      <c r="D639">
        <v>1</v>
      </c>
      <c r="E639">
        <v>3</v>
      </c>
      <c r="F639" t="s">
        <v>18</v>
      </c>
      <c r="G639">
        <v>4</v>
      </c>
      <c r="H639">
        <v>4</v>
      </c>
      <c r="I639" t="s">
        <v>30</v>
      </c>
      <c r="J639">
        <v>2314</v>
      </c>
      <c r="K639">
        <v>0</v>
      </c>
      <c r="L639">
        <v>3</v>
      </c>
      <c r="M639">
        <v>3</v>
      </c>
      <c r="N639" t="s">
        <v>25</v>
      </c>
      <c r="O639" t="s">
        <v>28</v>
      </c>
      <c r="P639">
        <v>86850077</v>
      </c>
    </row>
    <row r="640" spans="1:16" ht="14.25" x14ac:dyDescent="0.2">
      <c r="A640">
        <v>25</v>
      </c>
      <c r="B640" t="s">
        <v>22</v>
      </c>
      <c r="C640" t="s">
        <v>17</v>
      </c>
      <c r="D640">
        <v>4</v>
      </c>
      <c r="E640">
        <v>1</v>
      </c>
      <c r="F640" t="s">
        <v>36</v>
      </c>
      <c r="G640">
        <v>3</v>
      </c>
      <c r="H640">
        <v>1</v>
      </c>
      <c r="I640" t="s">
        <v>24</v>
      </c>
      <c r="J640">
        <v>4256</v>
      </c>
      <c r="K640">
        <v>1</v>
      </c>
      <c r="L640">
        <v>4</v>
      </c>
      <c r="M640">
        <v>5</v>
      </c>
      <c r="N640" t="s">
        <v>25</v>
      </c>
      <c r="O640" t="s">
        <v>21</v>
      </c>
      <c r="P640">
        <v>69490486</v>
      </c>
    </row>
    <row r="641" spans="1:16" ht="14.25" x14ac:dyDescent="0.2">
      <c r="A641">
        <v>49</v>
      </c>
      <c r="B641" t="s">
        <v>22</v>
      </c>
      <c r="C641" t="s">
        <v>23</v>
      </c>
      <c r="D641">
        <v>1</v>
      </c>
      <c r="E641">
        <v>3</v>
      </c>
      <c r="F641" t="s">
        <v>37</v>
      </c>
      <c r="G641">
        <v>3</v>
      </c>
      <c r="H641">
        <v>1</v>
      </c>
      <c r="I641" t="s">
        <v>24</v>
      </c>
      <c r="J641">
        <v>3580</v>
      </c>
      <c r="K641">
        <v>2</v>
      </c>
      <c r="L641">
        <v>3</v>
      </c>
      <c r="M641">
        <v>4</v>
      </c>
      <c r="N641" t="s">
        <v>20</v>
      </c>
      <c r="O641" t="s">
        <v>26</v>
      </c>
      <c r="P641">
        <v>72082090</v>
      </c>
    </row>
    <row r="642" spans="1:16" ht="14.25" x14ac:dyDescent="0.2">
      <c r="A642">
        <v>24</v>
      </c>
      <c r="B642" t="s">
        <v>22</v>
      </c>
      <c r="C642" t="s">
        <v>23</v>
      </c>
      <c r="D642">
        <v>4</v>
      </c>
      <c r="E642">
        <v>1</v>
      </c>
      <c r="F642" t="s">
        <v>18</v>
      </c>
      <c r="G642">
        <v>1</v>
      </c>
      <c r="H642">
        <v>4</v>
      </c>
      <c r="I642" t="s">
        <v>24</v>
      </c>
      <c r="J642">
        <v>3162</v>
      </c>
      <c r="K642">
        <v>0</v>
      </c>
      <c r="L642">
        <v>2</v>
      </c>
      <c r="M642">
        <v>5</v>
      </c>
      <c r="N642" t="s">
        <v>25</v>
      </c>
      <c r="O642" t="s">
        <v>28</v>
      </c>
      <c r="P642">
        <v>49378489</v>
      </c>
    </row>
    <row r="643" spans="1:16" ht="14.25" x14ac:dyDescent="0.2">
      <c r="A643">
        <v>32</v>
      </c>
      <c r="B643" t="s">
        <v>22</v>
      </c>
      <c r="C643" t="s">
        <v>17</v>
      </c>
      <c r="D643">
        <v>5</v>
      </c>
      <c r="E643">
        <v>2</v>
      </c>
      <c r="F643" t="s">
        <v>18</v>
      </c>
      <c r="G643">
        <v>2</v>
      </c>
      <c r="H643">
        <v>2</v>
      </c>
      <c r="I643" t="s">
        <v>24</v>
      </c>
      <c r="J643">
        <v>6524</v>
      </c>
      <c r="K643">
        <v>1</v>
      </c>
      <c r="L643">
        <v>3</v>
      </c>
      <c r="M643">
        <v>10</v>
      </c>
      <c r="N643" t="s">
        <v>25</v>
      </c>
      <c r="O643" t="s">
        <v>21</v>
      </c>
      <c r="P643">
        <v>19488774</v>
      </c>
    </row>
    <row r="644" spans="1:16" ht="14.25" x14ac:dyDescent="0.2">
      <c r="A644">
        <v>38</v>
      </c>
      <c r="B644" t="s">
        <v>22</v>
      </c>
      <c r="C644" t="s">
        <v>17</v>
      </c>
      <c r="D644">
        <v>9</v>
      </c>
      <c r="E644">
        <v>3</v>
      </c>
      <c r="F644" t="s">
        <v>36</v>
      </c>
      <c r="G644">
        <v>2</v>
      </c>
      <c r="H644">
        <v>2</v>
      </c>
      <c r="I644" t="s">
        <v>24</v>
      </c>
      <c r="J644">
        <v>2899</v>
      </c>
      <c r="K644">
        <v>0</v>
      </c>
      <c r="L644">
        <v>3</v>
      </c>
      <c r="M644">
        <v>2</v>
      </c>
      <c r="N644" t="s">
        <v>25</v>
      </c>
      <c r="O644" t="s">
        <v>34</v>
      </c>
      <c r="P644">
        <v>10041801</v>
      </c>
    </row>
    <row r="645" spans="1:16" ht="14.25" x14ac:dyDescent="0.2">
      <c r="A645">
        <v>42</v>
      </c>
      <c r="B645" t="s">
        <v>22</v>
      </c>
      <c r="C645" t="s">
        <v>23</v>
      </c>
      <c r="D645">
        <v>3</v>
      </c>
      <c r="E645">
        <v>3</v>
      </c>
      <c r="F645" t="s">
        <v>18</v>
      </c>
      <c r="G645">
        <v>3</v>
      </c>
      <c r="H645">
        <v>4</v>
      </c>
      <c r="I645" t="s">
        <v>24</v>
      </c>
      <c r="J645">
        <v>5231</v>
      </c>
      <c r="K645">
        <v>2</v>
      </c>
      <c r="L645">
        <v>2</v>
      </c>
      <c r="M645">
        <v>5</v>
      </c>
      <c r="N645" t="s">
        <v>20</v>
      </c>
      <c r="O645" t="s">
        <v>28</v>
      </c>
      <c r="P645">
        <v>76264970</v>
      </c>
    </row>
    <row r="646" spans="1:16" ht="14.25" x14ac:dyDescent="0.2">
      <c r="A646">
        <v>31</v>
      </c>
      <c r="B646" t="s">
        <v>22</v>
      </c>
      <c r="C646" t="s">
        <v>23</v>
      </c>
      <c r="D646">
        <v>11</v>
      </c>
      <c r="E646">
        <v>4</v>
      </c>
      <c r="F646" t="s">
        <v>18</v>
      </c>
      <c r="G646">
        <v>4</v>
      </c>
      <c r="H646">
        <v>4</v>
      </c>
      <c r="I646" t="s">
        <v>24</v>
      </c>
      <c r="J646">
        <v>2356</v>
      </c>
      <c r="K646">
        <v>3</v>
      </c>
      <c r="L646">
        <v>3</v>
      </c>
      <c r="M646">
        <v>6</v>
      </c>
      <c r="N646" t="s">
        <v>25</v>
      </c>
      <c r="O646" t="s">
        <v>26</v>
      </c>
      <c r="P646">
        <v>86834270</v>
      </c>
    </row>
    <row r="647" spans="1:16" ht="14.25" x14ac:dyDescent="0.2">
      <c r="A647">
        <v>29</v>
      </c>
      <c r="B647" t="s">
        <v>16</v>
      </c>
      <c r="C647" t="s">
        <v>17</v>
      </c>
      <c r="D647">
        <v>1</v>
      </c>
      <c r="E647">
        <v>3</v>
      </c>
      <c r="F647" t="s">
        <v>29</v>
      </c>
      <c r="G647">
        <v>2</v>
      </c>
      <c r="H647">
        <v>3</v>
      </c>
      <c r="I647" t="s">
        <v>30</v>
      </c>
      <c r="J647">
        <v>2800</v>
      </c>
      <c r="K647">
        <v>6</v>
      </c>
      <c r="L647">
        <v>3</v>
      </c>
      <c r="M647">
        <v>3</v>
      </c>
      <c r="N647" t="s">
        <v>20</v>
      </c>
      <c r="O647" t="s">
        <v>34</v>
      </c>
      <c r="P647">
        <v>56036763</v>
      </c>
    </row>
    <row r="648" spans="1:16" ht="14.25" x14ac:dyDescent="0.2">
      <c r="A648">
        <v>53</v>
      </c>
      <c r="B648" t="s">
        <v>22</v>
      </c>
      <c r="C648" t="s">
        <v>17</v>
      </c>
      <c r="D648">
        <v>8</v>
      </c>
      <c r="E648">
        <v>3</v>
      </c>
      <c r="F648" t="s">
        <v>36</v>
      </c>
      <c r="G648">
        <v>1</v>
      </c>
      <c r="H648">
        <v>4</v>
      </c>
      <c r="I648" t="s">
        <v>24</v>
      </c>
      <c r="J648">
        <v>11836</v>
      </c>
      <c r="K648">
        <v>5</v>
      </c>
      <c r="L648">
        <v>3</v>
      </c>
      <c r="M648">
        <v>2</v>
      </c>
      <c r="N648" t="s">
        <v>25</v>
      </c>
      <c r="O648" t="s">
        <v>21</v>
      </c>
      <c r="P648">
        <v>52987880</v>
      </c>
    </row>
    <row r="649" spans="1:16" ht="14.25" x14ac:dyDescent="0.2">
      <c r="A649">
        <v>35</v>
      </c>
      <c r="B649" t="s">
        <v>22</v>
      </c>
      <c r="C649" t="s">
        <v>23</v>
      </c>
      <c r="D649">
        <v>25</v>
      </c>
      <c r="E649">
        <v>3</v>
      </c>
      <c r="F649" t="s">
        <v>37</v>
      </c>
      <c r="G649">
        <v>4</v>
      </c>
      <c r="H649">
        <v>2</v>
      </c>
      <c r="I649" t="s">
        <v>24</v>
      </c>
      <c r="J649">
        <v>10903</v>
      </c>
      <c r="K649">
        <v>3</v>
      </c>
      <c r="L649">
        <v>3</v>
      </c>
      <c r="M649">
        <v>13</v>
      </c>
      <c r="N649" t="s">
        <v>25</v>
      </c>
      <c r="O649" t="s">
        <v>31</v>
      </c>
      <c r="P649">
        <v>64402530</v>
      </c>
    </row>
    <row r="650" spans="1:16" ht="14.25" x14ac:dyDescent="0.2">
      <c r="A650">
        <v>37</v>
      </c>
      <c r="B650" t="s">
        <v>22</v>
      </c>
      <c r="C650" t="s">
        <v>17</v>
      </c>
      <c r="D650">
        <v>21</v>
      </c>
      <c r="E650">
        <v>2</v>
      </c>
      <c r="F650" t="s">
        <v>29</v>
      </c>
      <c r="G650">
        <v>3</v>
      </c>
      <c r="H650">
        <v>4</v>
      </c>
      <c r="I650" t="s">
        <v>24</v>
      </c>
      <c r="J650">
        <v>2973</v>
      </c>
      <c r="K650">
        <v>5</v>
      </c>
      <c r="L650">
        <v>3</v>
      </c>
      <c r="M650">
        <v>5</v>
      </c>
      <c r="N650" t="s">
        <v>20</v>
      </c>
      <c r="O650" t="s">
        <v>34</v>
      </c>
      <c r="P650">
        <v>35296981</v>
      </c>
    </row>
    <row r="651" spans="1:16" ht="14.25" x14ac:dyDescent="0.2">
      <c r="A651">
        <v>53</v>
      </c>
      <c r="B651" t="s">
        <v>22</v>
      </c>
      <c r="C651" t="s">
        <v>23</v>
      </c>
      <c r="D651">
        <v>23</v>
      </c>
      <c r="E651">
        <v>4</v>
      </c>
      <c r="F651" t="s">
        <v>18</v>
      </c>
      <c r="G651">
        <v>4</v>
      </c>
      <c r="H651">
        <v>4</v>
      </c>
      <c r="I651" t="s">
        <v>19</v>
      </c>
      <c r="J651">
        <v>14275</v>
      </c>
      <c r="K651">
        <v>6</v>
      </c>
      <c r="L651">
        <v>3</v>
      </c>
      <c r="M651">
        <v>12</v>
      </c>
      <c r="N651" t="s">
        <v>20</v>
      </c>
      <c r="O651" t="s">
        <v>35</v>
      </c>
      <c r="P651">
        <v>39242154</v>
      </c>
    </row>
    <row r="652" spans="1:16" ht="14.25" x14ac:dyDescent="0.2">
      <c r="A652">
        <v>43</v>
      </c>
      <c r="B652" t="s">
        <v>22</v>
      </c>
      <c r="C652" t="s">
        <v>23</v>
      </c>
      <c r="D652">
        <v>1</v>
      </c>
      <c r="E652">
        <v>3</v>
      </c>
      <c r="F652" t="s">
        <v>18</v>
      </c>
      <c r="G652">
        <v>4</v>
      </c>
      <c r="H652">
        <v>4</v>
      </c>
      <c r="I652" t="s">
        <v>24</v>
      </c>
      <c r="J652">
        <v>5562</v>
      </c>
      <c r="K652">
        <v>4</v>
      </c>
      <c r="L652">
        <v>2</v>
      </c>
      <c r="M652">
        <v>5</v>
      </c>
      <c r="N652" t="s">
        <v>20</v>
      </c>
      <c r="O652" t="s">
        <v>32</v>
      </c>
      <c r="P652">
        <v>71781401</v>
      </c>
    </row>
    <row r="653" spans="1:16" ht="14.25" x14ac:dyDescent="0.2">
      <c r="A653">
        <v>47</v>
      </c>
      <c r="B653" t="s">
        <v>22</v>
      </c>
      <c r="C653" t="s">
        <v>17</v>
      </c>
      <c r="D653">
        <v>2</v>
      </c>
      <c r="E653">
        <v>2</v>
      </c>
      <c r="F653" t="s">
        <v>36</v>
      </c>
      <c r="G653">
        <v>3</v>
      </c>
      <c r="H653">
        <v>4</v>
      </c>
      <c r="I653" t="s">
        <v>24</v>
      </c>
      <c r="J653">
        <v>4537</v>
      </c>
      <c r="K653">
        <v>0</v>
      </c>
      <c r="L653">
        <v>3</v>
      </c>
      <c r="M653">
        <v>7</v>
      </c>
      <c r="N653" t="s">
        <v>20</v>
      </c>
      <c r="O653" t="s">
        <v>21</v>
      </c>
      <c r="P653">
        <v>46933903</v>
      </c>
    </row>
    <row r="654" spans="1:16" ht="14.25" x14ac:dyDescent="0.2">
      <c r="A654">
        <v>37</v>
      </c>
      <c r="B654" t="s">
        <v>22</v>
      </c>
      <c r="C654" t="s">
        <v>17</v>
      </c>
      <c r="D654">
        <v>19</v>
      </c>
      <c r="E654">
        <v>2</v>
      </c>
      <c r="F654" t="s">
        <v>29</v>
      </c>
      <c r="G654">
        <v>1</v>
      </c>
      <c r="H654">
        <v>2</v>
      </c>
      <c r="I654" t="s">
        <v>19</v>
      </c>
      <c r="J654">
        <v>7642</v>
      </c>
      <c r="K654">
        <v>1</v>
      </c>
      <c r="L654">
        <v>3</v>
      </c>
      <c r="M654">
        <v>10</v>
      </c>
      <c r="N654" t="s">
        <v>25</v>
      </c>
      <c r="O654" t="s">
        <v>21</v>
      </c>
      <c r="P654">
        <v>72726767</v>
      </c>
    </row>
    <row r="655" spans="1:16" ht="14.25" x14ac:dyDescent="0.2">
      <c r="A655">
        <v>50</v>
      </c>
      <c r="B655" t="s">
        <v>22</v>
      </c>
      <c r="C655" t="s">
        <v>23</v>
      </c>
      <c r="D655">
        <v>2</v>
      </c>
      <c r="E655">
        <v>4</v>
      </c>
      <c r="F655" t="s">
        <v>18</v>
      </c>
      <c r="G655">
        <v>1</v>
      </c>
      <c r="H655">
        <v>1</v>
      </c>
      <c r="I655" t="s">
        <v>30</v>
      </c>
      <c r="J655">
        <v>17924</v>
      </c>
      <c r="K655">
        <v>1</v>
      </c>
      <c r="L655">
        <v>3</v>
      </c>
      <c r="M655">
        <v>31</v>
      </c>
      <c r="N655" t="s">
        <v>25</v>
      </c>
      <c r="O655" t="s">
        <v>33</v>
      </c>
      <c r="P655">
        <v>25605913</v>
      </c>
    </row>
    <row r="656" spans="1:16" ht="14.25" x14ac:dyDescent="0.2">
      <c r="A656">
        <v>39</v>
      </c>
      <c r="B656" t="s">
        <v>22</v>
      </c>
      <c r="C656" t="s">
        <v>38</v>
      </c>
      <c r="D656">
        <v>2</v>
      </c>
      <c r="E656">
        <v>3</v>
      </c>
      <c r="F656" t="s">
        <v>18</v>
      </c>
      <c r="G656">
        <v>4</v>
      </c>
      <c r="H656">
        <v>4</v>
      </c>
      <c r="I656" t="s">
        <v>24</v>
      </c>
      <c r="J656">
        <v>5204</v>
      </c>
      <c r="K656">
        <v>8</v>
      </c>
      <c r="L656">
        <v>3</v>
      </c>
      <c r="M656">
        <v>5</v>
      </c>
      <c r="N656" t="s">
        <v>20</v>
      </c>
      <c r="O656" t="s">
        <v>38</v>
      </c>
      <c r="P656">
        <v>65216349</v>
      </c>
    </row>
    <row r="657" spans="1:16" ht="14.25" x14ac:dyDescent="0.2">
      <c r="A657">
        <v>33</v>
      </c>
      <c r="B657" t="s">
        <v>22</v>
      </c>
      <c r="C657" t="s">
        <v>38</v>
      </c>
      <c r="D657">
        <v>3</v>
      </c>
      <c r="E657">
        <v>2</v>
      </c>
      <c r="F657" t="s">
        <v>38</v>
      </c>
      <c r="G657">
        <v>4</v>
      </c>
      <c r="H657">
        <v>2</v>
      </c>
      <c r="I657" t="s">
        <v>30</v>
      </c>
      <c r="J657">
        <v>2277</v>
      </c>
      <c r="K657">
        <v>3</v>
      </c>
      <c r="L657">
        <v>4</v>
      </c>
      <c r="M657">
        <v>4</v>
      </c>
      <c r="N657" t="s">
        <v>25</v>
      </c>
      <c r="O657" t="s">
        <v>38</v>
      </c>
      <c r="P657">
        <v>56399237</v>
      </c>
    </row>
    <row r="658" spans="1:16" ht="14.25" x14ac:dyDescent="0.2">
      <c r="A658">
        <v>32</v>
      </c>
      <c r="B658" t="s">
        <v>16</v>
      </c>
      <c r="C658" t="s">
        <v>23</v>
      </c>
      <c r="D658">
        <v>25</v>
      </c>
      <c r="E658">
        <v>4</v>
      </c>
      <c r="F658" t="s">
        <v>18</v>
      </c>
      <c r="G658">
        <v>1</v>
      </c>
      <c r="H658">
        <v>4</v>
      </c>
      <c r="I658" t="s">
        <v>19</v>
      </c>
      <c r="J658">
        <v>2795</v>
      </c>
      <c r="K658">
        <v>1</v>
      </c>
      <c r="L658">
        <v>1</v>
      </c>
      <c r="M658">
        <v>1</v>
      </c>
      <c r="N658" t="s">
        <v>25</v>
      </c>
      <c r="O658" t="s">
        <v>28</v>
      </c>
      <c r="P658">
        <v>16728148</v>
      </c>
    </row>
    <row r="659" spans="1:16" ht="14.25" x14ac:dyDescent="0.2">
      <c r="A659">
        <v>29</v>
      </c>
      <c r="B659" t="s">
        <v>22</v>
      </c>
      <c r="C659" t="s">
        <v>23</v>
      </c>
      <c r="D659">
        <v>7</v>
      </c>
      <c r="E659">
        <v>1</v>
      </c>
      <c r="F659" t="s">
        <v>29</v>
      </c>
      <c r="G659">
        <v>1</v>
      </c>
      <c r="H659">
        <v>4</v>
      </c>
      <c r="I659" t="s">
        <v>30</v>
      </c>
      <c r="J659">
        <v>2532</v>
      </c>
      <c r="K659">
        <v>6</v>
      </c>
      <c r="L659">
        <v>3</v>
      </c>
      <c r="M659">
        <v>4</v>
      </c>
      <c r="N659" t="s">
        <v>20</v>
      </c>
      <c r="O659" t="s">
        <v>28</v>
      </c>
      <c r="P659">
        <v>30399723</v>
      </c>
    </row>
    <row r="660" spans="1:16" ht="14.25" x14ac:dyDescent="0.2">
      <c r="A660">
        <v>44</v>
      </c>
      <c r="B660" t="s">
        <v>22</v>
      </c>
      <c r="C660" t="s">
        <v>23</v>
      </c>
      <c r="D660">
        <v>9</v>
      </c>
      <c r="E660">
        <v>2</v>
      </c>
      <c r="F660" t="s">
        <v>18</v>
      </c>
      <c r="G660">
        <v>2</v>
      </c>
      <c r="H660">
        <v>1</v>
      </c>
      <c r="I660" t="s">
        <v>24</v>
      </c>
      <c r="J660">
        <v>2559</v>
      </c>
      <c r="K660">
        <v>1</v>
      </c>
      <c r="L660">
        <v>3</v>
      </c>
      <c r="M660">
        <v>8</v>
      </c>
      <c r="N660" t="s">
        <v>25</v>
      </c>
      <c r="O660" t="s">
        <v>26</v>
      </c>
      <c r="P660">
        <v>33629236</v>
      </c>
    </row>
    <row r="661" spans="1:16" ht="14.25" x14ac:dyDescent="0.2">
      <c r="A661">
        <v>28</v>
      </c>
      <c r="B661" t="s">
        <v>22</v>
      </c>
      <c r="C661" t="s">
        <v>17</v>
      </c>
      <c r="D661">
        <v>5</v>
      </c>
      <c r="E661">
        <v>4</v>
      </c>
      <c r="F661" t="s">
        <v>29</v>
      </c>
      <c r="G661">
        <v>1</v>
      </c>
      <c r="H661">
        <v>4</v>
      </c>
      <c r="I661" t="s">
        <v>19</v>
      </c>
      <c r="J661">
        <v>4908</v>
      </c>
      <c r="K661">
        <v>1</v>
      </c>
      <c r="L661">
        <v>3</v>
      </c>
      <c r="M661">
        <v>4</v>
      </c>
      <c r="N661" t="s">
        <v>25</v>
      </c>
      <c r="O661" t="s">
        <v>21</v>
      </c>
      <c r="P661">
        <v>33710906</v>
      </c>
    </row>
    <row r="662" spans="1:16" ht="14.25" x14ac:dyDescent="0.2">
      <c r="A662">
        <v>58</v>
      </c>
      <c r="B662" t="s">
        <v>16</v>
      </c>
      <c r="C662" t="s">
        <v>23</v>
      </c>
      <c r="D662">
        <v>2</v>
      </c>
      <c r="E662">
        <v>1</v>
      </c>
      <c r="F662" t="s">
        <v>18</v>
      </c>
      <c r="G662">
        <v>4</v>
      </c>
      <c r="H662">
        <v>4</v>
      </c>
      <c r="I662" t="s">
        <v>30</v>
      </c>
      <c r="J662">
        <v>2380</v>
      </c>
      <c r="K662">
        <v>9</v>
      </c>
      <c r="L662">
        <v>2</v>
      </c>
      <c r="M662">
        <v>1</v>
      </c>
      <c r="N662" t="s">
        <v>25</v>
      </c>
      <c r="O662" t="s">
        <v>28</v>
      </c>
      <c r="P662">
        <v>36781621</v>
      </c>
    </row>
    <row r="663" spans="1:16" ht="14.25" x14ac:dyDescent="0.2">
      <c r="A663">
        <v>43</v>
      </c>
      <c r="B663" t="s">
        <v>22</v>
      </c>
      <c r="C663" t="s">
        <v>23</v>
      </c>
      <c r="D663">
        <v>8</v>
      </c>
      <c r="E663">
        <v>3</v>
      </c>
      <c r="F663" t="s">
        <v>18</v>
      </c>
      <c r="G663">
        <v>1</v>
      </c>
      <c r="H663">
        <v>2</v>
      </c>
      <c r="I663" t="s">
        <v>30</v>
      </c>
      <c r="J663">
        <v>4765</v>
      </c>
      <c r="K663">
        <v>4</v>
      </c>
      <c r="L663">
        <v>4</v>
      </c>
      <c r="M663">
        <v>1</v>
      </c>
      <c r="N663" t="s">
        <v>20</v>
      </c>
      <c r="O663" t="s">
        <v>31</v>
      </c>
      <c r="P663">
        <v>80820934</v>
      </c>
    </row>
    <row r="664" spans="1:16" ht="14.25" x14ac:dyDescent="0.2">
      <c r="A664">
        <v>20</v>
      </c>
      <c r="B664" t="s">
        <v>16</v>
      </c>
      <c r="C664" t="s">
        <v>17</v>
      </c>
      <c r="D664">
        <v>2</v>
      </c>
      <c r="E664">
        <v>3</v>
      </c>
      <c r="F664" t="s">
        <v>29</v>
      </c>
      <c r="G664">
        <v>3</v>
      </c>
      <c r="H664">
        <v>3</v>
      </c>
      <c r="I664" t="s">
        <v>19</v>
      </c>
      <c r="J664">
        <v>2044</v>
      </c>
      <c r="K664">
        <v>1</v>
      </c>
      <c r="L664">
        <v>2</v>
      </c>
      <c r="M664">
        <v>2</v>
      </c>
      <c r="N664" t="s">
        <v>20</v>
      </c>
      <c r="O664" t="s">
        <v>34</v>
      </c>
      <c r="P664">
        <v>36075517</v>
      </c>
    </row>
    <row r="665" spans="1:16" ht="14.25" x14ac:dyDescent="0.2">
      <c r="A665">
        <v>21</v>
      </c>
      <c r="B665" t="s">
        <v>16</v>
      </c>
      <c r="C665" t="s">
        <v>23</v>
      </c>
      <c r="D665">
        <v>18</v>
      </c>
      <c r="E665">
        <v>1</v>
      </c>
      <c r="F665" t="s">
        <v>27</v>
      </c>
      <c r="G665">
        <v>4</v>
      </c>
      <c r="H665">
        <v>4</v>
      </c>
      <c r="I665" t="s">
        <v>19</v>
      </c>
      <c r="J665">
        <v>2693</v>
      </c>
      <c r="K665">
        <v>1</v>
      </c>
      <c r="L665">
        <v>2</v>
      </c>
      <c r="M665">
        <v>1</v>
      </c>
      <c r="N665" t="s">
        <v>20</v>
      </c>
      <c r="O665" t="s">
        <v>26</v>
      </c>
      <c r="P665">
        <v>83717250</v>
      </c>
    </row>
    <row r="666" spans="1:16" ht="14.25" x14ac:dyDescent="0.2">
      <c r="A666">
        <v>36</v>
      </c>
      <c r="B666" t="s">
        <v>22</v>
      </c>
      <c r="C666" t="s">
        <v>23</v>
      </c>
      <c r="D666">
        <v>14</v>
      </c>
      <c r="E666">
        <v>1</v>
      </c>
      <c r="F666" t="s">
        <v>18</v>
      </c>
      <c r="G666">
        <v>3</v>
      </c>
      <c r="H666">
        <v>4</v>
      </c>
      <c r="I666" t="s">
        <v>24</v>
      </c>
      <c r="J666">
        <v>6586</v>
      </c>
      <c r="K666">
        <v>0</v>
      </c>
      <c r="L666">
        <v>2</v>
      </c>
      <c r="M666">
        <v>16</v>
      </c>
      <c r="N666" t="s">
        <v>25</v>
      </c>
      <c r="O666" t="s">
        <v>32</v>
      </c>
      <c r="P666">
        <v>61488076</v>
      </c>
    </row>
    <row r="667" spans="1:16" ht="14.25" x14ac:dyDescent="0.2">
      <c r="A667">
        <v>47</v>
      </c>
      <c r="B667" t="s">
        <v>22</v>
      </c>
      <c r="C667" t="s">
        <v>17</v>
      </c>
      <c r="D667">
        <v>2</v>
      </c>
      <c r="E667">
        <v>4</v>
      </c>
      <c r="F667" t="s">
        <v>18</v>
      </c>
      <c r="G667">
        <v>4</v>
      </c>
      <c r="H667">
        <v>4</v>
      </c>
      <c r="I667" t="s">
        <v>19</v>
      </c>
      <c r="J667">
        <v>3294</v>
      </c>
      <c r="K667">
        <v>1</v>
      </c>
      <c r="L667">
        <v>2</v>
      </c>
      <c r="M667">
        <v>3</v>
      </c>
      <c r="N667" t="s">
        <v>20</v>
      </c>
      <c r="O667" t="s">
        <v>34</v>
      </c>
      <c r="P667">
        <v>85893703</v>
      </c>
    </row>
    <row r="668" spans="1:16" ht="14.25" x14ac:dyDescent="0.2">
      <c r="A668">
        <v>22</v>
      </c>
      <c r="B668" t="s">
        <v>16</v>
      </c>
      <c r="C668" t="s">
        <v>23</v>
      </c>
      <c r="D668">
        <v>3</v>
      </c>
      <c r="E668">
        <v>1</v>
      </c>
      <c r="F668" t="s">
        <v>18</v>
      </c>
      <c r="G668">
        <v>2</v>
      </c>
      <c r="H668">
        <v>3</v>
      </c>
      <c r="I668" t="s">
        <v>24</v>
      </c>
      <c r="J668">
        <v>4171</v>
      </c>
      <c r="K668">
        <v>0</v>
      </c>
      <c r="L668">
        <v>4</v>
      </c>
      <c r="M668">
        <v>3</v>
      </c>
      <c r="N668" t="s">
        <v>20</v>
      </c>
      <c r="O668" t="s">
        <v>31</v>
      </c>
      <c r="P668">
        <v>25007026</v>
      </c>
    </row>
    <row r="669" spans="1:16" ht="14.25" x14ac:dyDescent="0.2">
      <c r="A669">
        <v>41</v>
      </c>
      <c r="B669" t="s">
        <v>16</v>
      </c>
      <c r="C669" t="s">
        <v>23</v>
      </c>
      <c r="D669">
        <v>2</v>
      </c>
      <c r="E669">
        <v>4</v>
      </c>
      <c r="F669" t="s">
        <v>18</v>
      </c>
      <c r="G669">
        <v>2</v>
      </c>
      <c r="H669">
        <v>4</v>
      </c>
      <c r="I669" t="s">
        <v>30</v>
      </c>
      <c r="J669">
        <v>2778</v>
      </c>
      <c r="K669">
        <v>4</v>
      </c>
      <c r="L669">
        <v>2</v>
      </c>
      <c r="M669">
        <v>7</v>
      </c>
      <c r="N669" t="s">
        <v>20</v>
      </c>
      <c r="O669" t="s">
        <v>28</v>
      </c>
      <c r="P669">
        <v>71963089</v>
      </c>
    </row>
    <row r="670" spans="1:16" ht="14.25" x14ac:dyDescent="0.2">
      <c r="A670">
        <v>28</v>
      </c>
      <c r="B670" t="s">
        <v>22</v>
      </c>
      <c r="C670" t="s">
        <v>23</v>
      </c>
      <c r="D670">
        <v>9</v>
      </c>
      <c r="E670">
        <v>3</v>
      </c>
      <c r="F670" t="s">
        <v>29</v>
      </c>
      <c r="G670">
        <v>3</v>
      </c>
      <c r="H670">
        <v>3</v>
      </c>
      <c r="I670" t="s">
        <v>30</v>
      </c>
      <c r="J670">
        <v>2377</v>
      </c>
      <c r="K670">
        <v>5</v>
      </c>
      <c r="L670">
        <v>3</v>
      </c>
      <c r="M670">
        <v>2</v>
      </c>
      <c r="N670" t="s">
        <v>20</v>
      </c>
      <c r="O670" t="s">
        <v>26</v>
      </c>
      <c r="P670">
        <v>71325381</v>
      </c>
    </row>
    <row r="671" spans="1:16" ht="14.25" x14ac:dyDescent="0.2">
      <c r="A671">
        <v>39</v>
      </c>
      <c r="B671" t="s">
        <v>16</v>
      </c>
      <c r="C671" t="s">
        <v>23</v>
      </c>
      <c r="D671">
        <v>6</v>
      </c>
      <c r="E671">
        <v>3</v>
      </c>
      <c r="F671" t="s">
        <v>29</v>
      </c>
      <c r="G671">
        <v>4</v>
      </c>
      <c r="H671">
        <v>1</v>
      </c>
      <c r="I671" t="s">
        <v>24</v>
      </c>
      <c r="J671">
        <v>2404</v>
      </c>
      <c r="K671">
        <v>7</v>
      </c>
      <c r="L671">
        <v>1</v>
      </c>
      <c r="M671">
        <v>2</v>
      </c>
      <c r="N671" t="s">
        <v>25</v>
      </c>
      <c r="O671" t="s">
        <v>28</v>
      </c>
      <c r="P671">
        <v>39788656</v>
      </c>
    </row>
    <row r="672" spans="1:16" ht="14.25" x14ac:dyDescent="0.2">
      <c r="A672">
        <v>27</v>
      </c>
      <c r="B672" t="s">
        <v>22</v>
      </c>
      <c r="C672" t="s">
        <v>23</v>
      </c>
      <c r="D672">
        <v>4</v>
      </c>
      <c r="E672">
        <v>3</v>
      </c>
      <c r="F672" t="s">
        <v>18</v>
      </c>
      <c r="G672">
        <v>2</v>
      </c>
      <c r="H672">
        <v>3</v>
      </c>
      <c r="I672" t="s">
        <v>19</v>
      </c>
      <c r="J672">
        <v>2318</v>
      </c>
      <c r="K672">
        <v>1</v>
      </c>
      <c r="L672">
        <v>3</v>
      </c>
      <c r="M672">
        <v>1</v>
      </c>
      <c r="N672" t="s">
        <v>20</v>
      </c>
      <c r="O672" t="s">
        <v>26</v>
      </c>
      <c r="P672">
        <v>79367004</v>
      </c>
    </row>
    <row r="673" spans="1:16" ht="14.25" x14ac:dyDescent="0.2">
      <c r="A673">
        <v>34</v>
      </c>
      <c r="B673" t="s">
        <v>22</v>
      </c>
      <c r="C673" t="s">
        <v>23</v>
      </c>
      <c r="D673">
        <v>10</v>
      </c>
      <c r="E673">
        <v>3</v>
      </c>
      <c r="F673" t="s">
        <v>18</v>
      </c>
      <c r="G673">
        <v>2</v>
      </c>
      <c r="H673">
        <v>2</v>
      </c>
      <c r="I673" t="s">
        <v>30</v>
      </c>
      <c r="J673">
        <v>2008</v>
      </c>
      <c r="K673">
        <v>1</v>
      </c>
      <c r="L673">
        <v>3</v>
      </c>
      <c r="M673">
        <v>1</v>
      </c>
      <c r="N673" t="s">
        <v>25</v>
      </c>
      <c r="O673" t="s">
        <v>28</v>
      </c>
      <c r="P673">
        <v>35090960</v>
      </c>
    </row>
    <row r="674" spans="1:16" ht="14.25" x14ac:dyDescent="0.2">
      <c r="A674">
        <v>42</v>
      </c>
      <c r="B674" t="s">
        <v>22</v>
      </c>
      <c r="C674" t="s">
        <v>17</v>
      </c>
      <c r="D674">
        <v>14</v>
      </c>
      <c r="E674">
        <v>2</v>
      </c>
      <c r="F674" t="s">
        <v>29</v>
      </c>
      <c r="G674">
        <v>3</v>
      </c>
      <c r="H674">
        <v>3</v>
      </c>
      <c r="I674" t="s">
        <v>19</v>
      </c>
      <c r="J674">
        <v>6244</v>
      </c>
      <c r="K674">
        <v>7</v>
      </c>
      <c r="L674">
        <v>3</v>
      </c>
      <c r="M674">
        <v>5</v>
      </c>
      <c r="N674" t="s">
        <v>20</v>
      </c>
      <c r="O674" t="s">
        <v>21</v>
      </c>
      <c r="P674">
        <v>35393833</v>
      </c>
    </row>
    <row r="675" spans="1:16" ht="14.25" x14ac:dyDescent="0.2">
      <c r="A675">
        <v>33</v>
      </c>
      <c r="B675" t="s">
        <v>22</v>
      </c>
      <c r="C675" t="s">
        <v>23</v>
      </c>
      <c r="D675">
        <v>1</v>
      </c>
      <c r="E675">
        <v>4</v>
      </c>
      <c r="F675" t="s">
        <v>27</v>
      </c>
      <c r="G675">
        <v>3</v>
      </c>
      <c r="H675">
        <v>1</v>
      </c>
      <c r="I675" t="s">
        <v>19</v>
      </c>
      <c r="J675">
        <v>2799</v>
      </c>
      <c r="K675">
        <v>3</v>
      </c>
      <c r="L675">
        <v>3</v>
      </c>
      <c r="M675">
        <v>3</v>
      </c>
      <c r="N675" t="s">
        <v>25</v>
      </c>
      <c r="O675" t="s">
        <v>26</v>
      </c>
      <c r="P675">
        <v>45801845</v>
      </c>
    </row>
    <row r="676" spans="1:16" ht="14.25" x14ac:dyDescent="0.2">
      <c r="A676">
        <v>58</v>
      </c>
      <c r="B676" t="s">
        <v>22</v>
      </c>
      <c r="C676" t="s">
        <v>23</v>
      </c>
      <c r="D676">
        <v>5</v>
      </c>
      <c r="E676">
        <v>3</v>
      </c>
      <c r="F676" t="s">
        <v>37</v>
      </c>
      <c r="G676">
        <v>3</v>
      </c>
      <c r="H676">
        <v>2</v>
      </c>
      <c r="I676" t="s">
        <v>30</v>
      </c>
      <c r="J676">
        <v>10552</v>
      </c>
      <c r="K676">
        <v>2</v>
      </c>
      <c r="L676">
        <v>3</v>
      </c>
      <c r="M676">
        <v>6</v>
      </c>
      <c r="N676" t="s">
        <v>20</v>
      </c>
      <c r="O676" t="s">
        <v>32</v>
      </c>
      <c r="P676">
        <v>36764237</v>
      </c>
    </row>
    <row r="677" spans="1:16" ht="14.25" x14ac:dyDescent="0.2">
      <c r="A677">
        <v>31</v>
      </c>
      <c r="B677" t="s">
        <v>22</v>
      </c>
      <c r="C677" t="s">
        <v>17</v>
      </c>
      <c r="D677">
        <v>7</v>
      </c>
      <c r="E677">
        <v>4</v>
      </c>
      <c r="F677" t="s">
        <v>18</v>
      </c>
      <c r="G677">
        <v>2</v>
      </c>
      <c r="H677">
        <v>3</v>
      </c>
      <c r="I677" t="s">
        <v>24</v>
      </c>
      <c r="J677">
        <v>2329</v>
      </c>
      <c r="K677">
        <v>3</v>
      </c>
      <c r="L677">
        <v>4</v>
      </c>
      <c r="M677">
        <v>7</v>
      </c>
      <c r="N677" t="s">
        <v>25</v>
      </c>
      <c r="O677" t="s">
        <v>34</v>
      </c>
      <c r="P677">
        <v>12577636</v>
      </c>
    </row>
    <row r="678" spans="1:16" ht="14.25" x14ac:dyDescent="0.2">
      <c r="A678">
        <v>35</v>
      </c>
      <c r="B678" t="s">
        <v>22</v>
      </c>
      <c r="C678" t="s">
        <v>23</v>
      </c>
      <c r="D678">
        <v>21</v>
      </c>
      <c r="E678">
        <v>1</v>
      </c>
      <c r="F678" t="s">
        <v>18</v>
      </c>
      <c r="G678">
        <v>4</v>
      </c>
      <c r="H678">
        <v>4</v>
      </c>
      <c r="I678" t="s">
        <v>24</v>
      </c>
      <c r="J678">
        <v>4014</v>
      </c>
      <c r="K678">
        <v>1</v>
      </c>
      <c r="L678">
        <v>1</v>
      </c>
      <c r="M678">
        <v>10</v>
      </c>
      <c r="N678" t="s">
        <v>20</v>
      </c>
      <c r="O678" t="s">
        <v>32</v>
      </c>
      <c r="P678">
        <v>79276517</v>
      </c>
    </row>
    <row r="679" spans="1:16" ht="14.25" x14ac:dyDescent="0.2">
      <c r="A679">
        <v>49</v>
      </c>
      <c r="B679" t="s">
        <v>22</v>
      </c>
      <c r="C679" t="s">
        <v>23</v>
      </c>
      <c r="D679">
        <v>8</v>
      </c>
      <c r="E679">
        <v>2</v>
      </c>
      <c r="F679" t="s">
        <v>27</v>
      </c>
      <c r="G679">
        <v>1</v>
      </c>
      <c r="H679">
        <v>2</v>
      </c>
      <c r="I679" t="s">
        <v>24</v>
      </c>
      <c r="J679">
        <v>7403</v>
      </c>
      <c r="K679">
        <v>4</v>
      </c>
      <c r="L679">
        <v>2</v>
      </c>
      <c r="M679">
        <v>26</v>
      </c>
      <c r="N679" t="s">
        <v>20</v>
      </c>
      <c r="O679" t="s">
        <v>28</v>
      </c>
      <c r="P679">
        <v>70880239</v>
      </c>
    </row>
    <row r="680" spans="1:16" ht="14.25" x14ac:dyDescent="0.2">
      <c r="A680">
        <v>48</v>
      </c>
      <c r="B680" t="s">
        <v>22</v>
      </c>
      <c r="C680" t="s">
        <v>23</v>
      </c>
      <c r="D680">
        <v>20</v>
      </c>
      <c r="E680">
        <v>4</v>
      </c>
      <c r="F680" t="s">
        <v>29</v>
      </c>
      <c r="G680">
        <v>4</v>
      </c>
      <c r="H680">
        <v>3</v>
      </c>
      <c r="I680" t="s">
        <v>24</v>
      </c>
      <c r="J680">
        <v>2259</v>
      </c>
      <c r="K680">
        <v>4</v>
      </c>
      <c r="L680">
        <v>2</v>
      </c>
      <c r="M680">
        <v>0</v>
      </c>
      <c r="N680" t="s">
        <v>25</v>
      </c>
      <c r="O680" t="s">
        <v>26</v>
      </c>
      <c r="P680">
        <v>17264306</v>
      </c>
    </row>
    <row r="681" spans="1:16" ht="14.25" x14ac:dyDescent="0.2">
      <c r="A681">
        <v>31</v>
      </c>
      <c r="B681" t="s">
        <v>22</v>
      </c>
      <c r="C681" t="s">
        <v>17</v>
      </c>
      <c r="D681">
        <v>20</v>
      </c>
      <c r="E681">
        <v>2</v>
      </c>
      <c r="F681" t="s">
        <v>36</v>
      </c>
      <c r="G681">
        <v>4</v>
      </c>
      <c r="H681">
        <v>3</v>
      </c>
      <c r="I681" t="s">
        <v>24</v>
      </c>
      <c r="J681">
        <v>6932</v>
      </c>
      <c r="K681">
        <v>1</v>
      </c>
      <c r="L681">
        <v>2</v>
      </c>
      <c r="M681">
        <v>9</v>
      </c>
      <c r="N681" t="s">
        <v>20</v>
      </c>
      <c r="O681" t="s">
        <v>21</v>
      </c>
      <c r="P681">
        <v>79648752</v>
      </c>
    </row>
    <row r="682" spans="1:16" ht="14.25" x14ac:dyDescent="0.2">
      <c r="A682">
        <v>36</v>
      </c>
      <c r="B682" t="s">
        <v>22</v>
      </c>
      <c r="C682" t="s">
        <v>23</v>
      </c>
      <c r="D682">
        <v>7</v>
      </c>
      <c r="E682">
        <v>4</v>
      </c>
      <c r="F682" t="s">
        <v>27</v>
      </c>
      <c r="G682">
        <v>2</v>
      </c>
      <c r="H682">
        <v>4</v>
      </c>
      <c r="I682" t="s">
        <v>19</v>
      </c>
      <c r="J682">
        <v>4678</v>
      </c>
      <c r="K682">
        <v>2</v>
      </c>
      <c r="L682">
        <v>3</v>
      </c>
      <c r="M682">
        <v>6</v>
      </c>
      <c r="N682" t="s">
        <v>25</v>
      </c>
      <c r="O682" t="s">
        <v>26</v>
      </c>
      <c r="P682">
        <v>29103668</v>
      </c>
    </row>
    <row r="683" spans="1:16" ht="14.25" x14ac:dyDescent="0.2">
      <c r="A683">
        <v>38</v>
      </c>
      <c r="B683" t="s">
        <v>22</v>
      </c>
      <c r="C683" t="s">
        <v>23</v>
      </c>
      <c r="D683">
        <v>1</v>
      </c>
      <c r="E683">
        <v>3</v>
      </c>
      <c r="F683" t="s">
        <v>37</v>
      </c>
      <c r="G683">
        <v>4</v>
      </c>
      <c r="H683">
        <v>1</v>
      </c>
      <c r="I683" t="s">
        <v>24</v>
      </c>
      <c r="J683">
        <v>13582</v>
      </c>
      <c r="K683">
        <v>1</v>
      </c>
      <c r="L683">
        <v>3</v>
      </c>
      <c r="M683">
        <v>15</v>
      </c>
      <c r="N683" t="s">
        <v>20</v>
      </c>
      <c r="O683" t="s">
        <v>35</v>
      </c>
      <c r="P683">
        <v>79988573</v>
      </c>
    </row>
    <row r="684" spans="1:16" ht="14.25" x14ac:dyDescent="0.2">
      <c r="A684">
        <v>32</v>
      </c>
      <c r="B684" t="s">
        <v>22</v>
      </c>
      <c r="C684" t="s">
        <v>23</v>
      </c>
      <c r="D684">
        <v>1</v>
      </c>
      <c r="E684">
        <v>3</v>
      </c>
      <c r="F684" t="s">
        <v>18</v>
      </c>
      <c r="G684">
        <v>3</v>
      </c>
      <c r="H684">
        <v>2</v>
      </c>
      <c r="I684" t="s">
        <v>24</v>
      </c>
      <c r="J684">
        <v>2332</v>
      </c>
      <c r="K684">
        <v>6</v>
      </c>
      <c r="L684">
        <v>3</v>
      </c>
      <c r="M684">
        <v>3</v>
      </c>
      <c r="N684" t="s">
        <v>20</v>
      </c>
      <c r="O684" t="s">
        <v>28</v>
      </c>
      <c r="P684">
        <v>70120969</v>
      </c>
    </row>
    <row r="685" spans="1:16" ht="14.25" x14ac:dyDescent="0.2">
      <c r="A685">
        <v>25</v>
      </c>
      <c r="B685" t="s">
        <v>16</v>
      </c>
      <c r="C685" t="s">
        <v>17</v>
      </c>
      <c r="D685">
        <v>19</v>
      </c>
      <c r="E685">
        <v>2</v>
      </c>
      <c r="F685" t="s">
        <v>36</v>
      </c>
      <c r="G685">
        <v>3</v>
      </c>
      <c r="H685">
        <v>2</v>
      </c>
      <c r="I685" t="s">
        <v>24</v>
      </c>
      <c r="J685">
        <v>2413</v>
      </c>
      <c r="K685">
        <v>1</v>
      </c>
      <c r="L685">
        <v>3</v>
      </c>
      <c r="M685">
        <v>1</v>
      </c>
      <c r="N685" t="s">
        <v>25</v>
      </c>
      <c r="O685" t="s">
        <v>34</v>
      </c>
      <c r="P685">
        <v>66071119</v>
      </c>
    </row>
    <row r="686" spans="1:16" ht="14.25" x14ac:dyDescent="0.2">
      <c r="A686">
        <v>40</v>
      </c>
      <c r="B686" t="s">
        <v>22</v>
      </c>
      <c r="C686" t="s">
        <v>17</v>
      </c>
      <c r="D686">
        <v>10</v>
      </c>
      <c r="E686">
        <v>4</v>
      </c>
      <c r="F686" t="s">
        <v>36</v>
      </c>
      <c r="G686">
        <v>1</v>
      </c>
      <c r="H686">
        <v>2</v>
      </c>
      <c r="I686" t="s">
        <v>30</v>
      </c>
      <c r="J686">
        <v>9705</v>
      </c>
      <c r="K686">
        <v>2</v>
      </c>
      <c r="L686">
        <v>2</v>
      </c>
      <c r="M686">
        <v>1</v>
      </c>
      <c r="N686" t="s">
        <v>25</v>
      </c>
      <c r="O686" t="s">
        <v>21</v>
      </c>
      <c r="P686">
        <v>39892002</v>
      </c>
    </row>
    <row r="687" spans="1:16" ht="14.25" x14ac:dyDescent="0.2">
      <c r="A687">
        <v>26</v>
      </c>
      <c r="B687" t="s">
        <v>22</v>
      </c>
      <c r="C687" t="s">
        <v>17</v>
      </c>
      <c r="D687">
        <v>1</v>
      </c>
      <c r="E687">
        <v>3</v>
      </c>
      <c r="F687" t="s">
        <v>29</v>
      </c>
      <c r="G687">
        <v>3</v>
      </c>
      <c r="H687">
        <v>1</v>
      </c>
      <c r="I687" t="s">
        <v>19</v>
      </c>
      <c r="J687">
        <v>4294</v>
      </c>
      <c r="K687">
        <v>1</v>
      </c>
      <c r="L687">
        <v>3</v>
      </c>
      <c r="M687">
        <v>7</v>
      </c>
      <c r="N687" t="s">
        <v>25</v>
      </c>
      <c r="O687" t="s">
        <v>21</v>
      </c>
      <c r="P687">
        <v>20369108</v>
      </c>
    </row>
    <row r="688" spans="1:16" ht="14.25" x14ac:dyDescent="0.2">
      <c r="A688">
        <v>41</v>
      </c>
      <c r="B688" t="s">
        <v>22</v>
      </c>
      <c r="C688" t="s">
        <v>23</v>
      </c>
      <c r="D688">
        <v>6</v>
      </c>
      <c r="E688">
        <v>3</v>
      </c>
      <c r="F688" t="s">
        <v>29</v>
      </c>
      <c r="G688">
        <v>4</v>
      </c>
      <c r="H688">
        <v>1</v>
      </c>
      <c r="I688" t="s">
        <v>19</v>
      </c>
      <c r="J688">
        <v>4721</v>
      </c>
      <c r="K688">
        <v>2</v>
      </c>
      <c r="L688">
        <v>3</v>
      </c>
      <c r="M688">
        <v>18</v>
      </c>
      <c r="N688" t="s">
        <v>25</v>
      </c>
      <c r="O688" t="s">
        <v>28</v>
      </c>
      <c r="P688">
        <v>87546732</v>
      </c>
    </row>
    <row r="689" spans="1:16" ht="14.25" x14ac:dyDescent="0.2">
      <c r="A689">
        <v>36</v>
      </c>
      <c r="B689" t="s">
        <v>22</v>
      </c>
      <c r="C689" t="s">
        <v>23</v>
      </c>
      <c r="D689">
        <v>2</v>
      </c>
      <c r="E689">
        <v>4</v>
      </c>
      <c r="F689" t="s">
        <v>29</v>
      </c>
      <c r="G689">
        <v>3</v>
      </c>
      <c r="H689">
        <v>3</v>
      </c>
      <c r="I689" t="s">
        <v>19</v>
      </c>
      <c r="J689">
        <v>2519</v>
      </c>
      <c r="K689">
        <v>4</v>
      </c>
      <c r="L689">
        <v>3</v>
      </c>
      <c r="M689">
        <v>11</v>
      </c>
      <c r="N689" t="s">
        <v>25</v>
      </c>
      <c r="O689" t="s">
        <v>28</v>
      </c>
      <c r="P689">
        <v>49260025</v>
      </c>
    </row>
    <row r="690" spans="1:16" ht="14.25" x14ac:dyDescent="0.2">
      <c r="A690">
        <v>19</v>
      </c>
      <c r="B690" t="s">
        <v>16</v>
      </c>
      <c r="C690" t="s">
        <v>17</v>
      </c>
      <c r="D690">
        <v>21</v>
      </c>
      <c r="E690">
        <v>3</v>
      </c>
      <c r="F690" t="s">
        <v>27</v>
      </c>
      <c r="G690">
        <v>4</v>
      </c>
      <c r="H690">
        <v>2</v>
      </c>
      <c r="I690" t="s">
        <v>19</v>
      </c>
      <c r="J690">
        <v>2121</v>
      </c>
      <c r="K690">
        <v>1</v>
      </c>
      <c r="L690">
        <v>4</v>
      </c>
      <c r="M690">
        <v>1</v>
      </c>
      <c r="N690" t="s">
        <v>25</v>
      </c>
      <c r="O690" t="s">
        <v>34</v>
      </c>
      <c r="P690">
        <v>30802656</v>
      </c>
    </row>
    <row r="691" spans="1:16" ht="14.25" x14ac:dyDescent="0.2">
      <c r="A691">
        <v>20</v>
      </c>
      <c r="B691" t="s">
        <v>16</v>
      </c>
      <c r="C691" t="s">
        <v>23</v>
      </c>
      <c r="D691">
        <v>4</v>
      </c>
      <c r="E691">
        <v>3</v>
      </c>
      <c r="F691" t="s">
        <v>37</v>
      </c>
      <c r="G691">
        <v>1</v>
      </c>
      <c r="H691">
        <v>1</v>
      </c>
      <c r="I691" t="s">
        <v>19</v>
      </c>
      <c r="J691">
        <v>2973</v>
      </c>
      <c r="K691">
        <v>1</v>
      </c>
      <c r="L691">
        <v>3</v>
      </c>
      <c r="M691">
        <v>1</v>
      </c>
      <c r="N691" t="s">
        <v>25</v>
      </c>
      <c r="O691" t="s">
        <v>28</v>
      </c>
      <c r="P691">
        <v>49309394</v>
      </c>
    </row>
    <row r="692" spans="1:16" ht="14.25" x14ac:dyDescent="0.2">
      <c r="A692">
        <v>31</v>
      </c>
      <c r="B692" t="s">
        <v>22</v>
      </c>
      <c r="C692" t="s">
        <v>23</v>
      </c>
      <c r="D692">
        <v>12</v>
      </c>
      <c r="E692">
        <v>3</v>
      </c>
      <c r="F692" t="s">
        <v>29</v>
      </c>
      <c r="G692">
        <v>4</v>
      </c>
      <c r="H692">
        <v>4</v>
      </c>
      <c r="I692" t="s">
        <v>24</v>
      </c>
      <c r="J692">
        <v>5855</v>
      </c>
      <c r="K692">
        <v>0</v>
      </c>
      <c r="L692">
        <v>1</v>
      </c>
      <c r="M692">
        <v>9</v>
      </c>
      <c r="N692" t="s">
        <v>20</v>
      </c>
      <c r="O692" t="s">
        <v>32</v>
      </c>
      <c r="P692">
        <v>68615905</v>
      </c>
    </row>
    <row r="693" spans="1:16" ht="14.25" x14ac:dyDescent="0.2">
      <c r="A693">
        <v>40</v>
      </c>
      <c r="B693" t="s">
        <v>22</v>
      </c>
      <c r="C693" t="s">
        <v>23</v>
      </c>
      <c r="D693">
        <v>9</v>
      </c>
      <c r="E693">
        <v>4</v>
      </c>
      <c r="F693" t="s">
        <v>29</v>
      </c>
      <c r="G693">
        <v>4</v>
      </c>
      <c r="H693">
        <v>2</v>
      </c>
      <c r="I693" t="s">
        <v>30</v>
      </c>
      <c r="J693">
        <v>3617</v>
      </c>
      <c r="K693">
        <v>8</v>
      </c>
      <c r="L693">
        <v>3</v>
      </c>
      <c r="M693">
        <v>1</v>
      </c>
      <c r="N693" t="s">
        <v>25</v>
      </c>
      <c r="O693" t="s">
        <v>26</v>
      </c>
      <c r="P693">
        <v>20956713</v>
      </c>
    </row>
    <row r="694" spans="1:16" ht="14.25" x14ac:dyDescent="0.2">
      <c r="A694">
        <v>32</v>
      </c>
      <c r="B694" t="s">
        <v>22</v>
      </c>
      <c r="C694" t="s">
        <v>23</v>
      </c>
      <c r="D694">
        <v>3</v>
      </c>
      <c r="E694">
        <v>4</v>
      </c>
      <c r="F694" t="s">
        <v>29</v>
      </c>
      <c r="G694">
        <v>3</v>
      </c>
      <c r="H694">
        <v>1</v>
      </c>
      <c r="I694" t="s">
        <v>24</v>
      </c>
      <c r="J694">
        <v>6725</v>
      </c>
      <c r="K694">
        <v>1</v>
      </c>
      <c r="L694">
        <v>4</v>
      </c>
      <c r="M694">
        <v>8</v>
      </c>
      <c r="N694" t="s">
        <v>20</v>
      </c>
      <c r="O694" t="s">
        <v>31</v>
      </c>
      <c r="P694">
        <v>30212442</v>
      </c>
    </row>
    <row r="695" spans="1:16" ht="14.25" x14ac:dyDescent="0.2">
      <c r="A695">
        <v>36</v>
      </c>
      <c r="B695" t="s">
        <v>16</v>
      </c>
      <c r="C695" t="s">
        <v>17</v>
      </c>
      <c r="D695">
        <v>3</v>
      </c>
      <c r="E695">
        <v>1</v>
      </c>
      <c r="F695" t="s">
        <v>18</v>
      </c>
      <c r="G695">
        <v>3</v>
      </c>
      <c r="H695">
        <v>4</v>
      </c>
      <c r="I695" t="s">
        <v>24</v>
      </c>
      <c r="J695">
        <v>10325</v>
      </c>
      <c r="K695">
        <v>1</v>
      </c>
      <c r="L695">
        <v>3</v>
      </c>
      <c r="M695">
        <v>16</v>
      </c>
      <c r="N695" t="s">
        <v>25</v>
      </c>
      <c r="O695" t="s">
        <v>21</v>
      </c>
      <c r="P695">
        <v>27995213</v>
      </c>
    </row>
    <row r="696" spans="1:16" ht="14.25" x14ac:dyDescent="0.2">
      <c r="A696">
        <v>33</v>
      </c>
      <c r="B696" t="s">
        <v>22</v>
      </c>
      <c r="C696" t="s">
        <v>23</v>
      </c>
      <c r="D696">
        <v>1</v>
      </c>
      <c r="E696">
        <v>3</v>
      </c>
      <c r="F696" t="s">
        <v>18</v>
      </c>
      <c r="G696">
        <v>2</v>
      </c>
      <c r="H696">
        <v>4</v>
      </c>
      <c r="I696" t="s">
        <v>19</v>
      </c>
      <c r="J696">
        <v>6949</v>
      </c>
      <c r="K696">
        <v>0</v>
      </c>
      <c r="L696">
        <v>3</v>
      </c>
      <c r="M696">
        <v>5</v>
      </c>
      <c r="N696" t="s">
        <v>20</v>
      </c>
      <c r="O696" t="s">
        <v>32</v>
      </c>
      <c r="P696">
        <v>73127132</v>
      </c>
    </row>
    <row r="697" spans="1:16" ht="14.25" x14ac:dyDescent="0.2">
      <c r="A697">
        <v>37</v>
      </c>
      <c r="B697" t="s">
        <v>16</v>
      </c>
      <c r="C697" t="s">
        <v>17</v>
      </c>
      <c r="D697">
        <v>1</v>
      </c>
      <c r="E697">
        <v>4</v>
      </c>
      <c r="F697" t="s">
        <v>18</v>
      </c>
      <c r="G697">
        <v>1</v>
      </c>
      <c r="H697">
        <v>3</v>
      </c>
      <c r="I697" t="s">
        <v>24</v>
      </c>
      <c r="J697">
        <v>10609</v>
      </c>
      <c r="K697">
        <v>5</v>
      </c>
      <c r="L697">
        <v>1</v>
      </c>
      <c r="M697">
        <v>14</v>
      </c>
      <c r="N697" t="s">
        <v>25</v>
      </c>
      <c r="O697" t="s">
        <v>21</v>
      </c>
      <c r="P697">
        <v>76192263</v>
      </c>
    </row>
    <row r="698" spans="1:16" ht="14.25" x14ac:dyDescent="0.2">
      <c r="A698">
        <v>45</v>
      </c>
      <c r="B698" t="s">
        <v>22</v>
      </c>
      <c r="C698" t="s">
        <v>23</v>
      </c>
      <c r="D698">
        <v>4</v>
      </c>
      <c r="E698">
        <v>2</v>
      </c>
      <c r="F698" t="s">
        <v>18</v>
      </c>
      <c r="G698">
        <v>3</v>
      </c>
      <c r="H698">
        <v>2</v>
      </c>
      <c r="I698" t="s">
        <v>24</v>
      </c>
      <c r="J698">
        <v>4447</v>
      </c>
      <c r="K698">
        <v>1</v>
      </c>
      <c r="L698">
        <v>2</v>
      </c>
      <c r="M698">
        <v>9</v>
      </c>
      <c r="N698" t="s">
        <v>25</v>
      </c>
      <c r="O698" t="s">
        <v>28</v>
      </c>
      <c r="P698">
        <v>85416703</v>
      </c>
    </row>
    <row r="699" spans="1:16" ht="14.25" x14ac:dyDescent="0.2">
      <c r="A699">
        <v>29</v>
      </c>
      <c r="B699" t="s">
        <v>22</v>
      </c>
      <c r="C699" t="s">
        <v>17</v>
      </c>
      <c r="D699">
        <v>20</v>
      </c>
      <c r="E699">
        <v>3</v>
      </c>
      <c r="F699" t="s">
        <v>37</v>
      </c>
      <c r="G699">
        <v>3</v>
      </c>
      <c r="H699">
        <v>4</v>
      </c>
      <c r="I699" t="s">
        <v>24</v>
      </c>
      <c r="J699">
        <v>2157</v>
      </c>
      <c r="K699">
        <v>1</v>
      </c>
      <c r="L699">
        <v>3</v>
      </c>
      <c r="M699">
        <v>3</v>
      </c>
      <c r="N699" t="s">
        <v>20</v>
      </c>
      <c r="O699" t="s">
        <v>34</v>
      </c>
      <c r="P699">
        <v>88613900</v>
      </c>
    </row>
    <row r="700" spans="1:16" ht="14.25" x14ac:dyDescent="0.2">
      <c r="A700">
        <v>35</v>
      </c>
      <c r="B700" t="s">
        <v>22</v>
      </c>
      <c r="C700" t="s">
        <v>17</v>
      </c>
      <c r="D700">
        <v>18</v>
      </c>
      <c r="E700">
        <v>3</v>
      </c>
      <c r="F700" t="s">
        <v>29</v>
      </c>
      <c r="G700">
        <v>3</v>
      </c>
      <c r="H700">
        <v>3</v>
      </c>
      <c r="I700" t="s">
        <v>24</v>
      </c>
      <c r="J700">
        <v>4601</v>
      </c>
      <c r="K700">
        <v>1</v>
      </c>
      <c r="L700">
        <v>3</v>
      </c>
      <c r="M700">
        <v>5</v>
      </c>
      <c r="N700" t="s">
        <v>20</v>
      </c>
      <c r="O700" t="s">
        <v>21</v>
      </c>
      <c r="P700">
        <v>59258971</v>
      </c>
    </row>
    <row r="701" spans="1:16" ht="14.25" x14ac:dyDescent="0.2">
      <c r="A701">
        <v>52</v>
      </c>
      <c r="B701" t="s">
        <v>22</v>
      </c>
      <c r="C701" t="s">
        <v>23</v>
      </c>
      <c r="D701">
        <v>1</v>
      </c>
      <c r="E701">
        <v>2</v>
      </c>
      <c r="F701" t="s">
        <v>18</v>
      </c>
      <c r="G701">
        <v>4</v>
      </c>
      <c r="H701">
        <v>4</v>
      </c>
      <c r="I701" t="s">
        <v>24</v>
      </c>
      <c r="J701">
        <v>17099</v>
      </c>
      <c r="K701">
        <v>2</v>
      </c>
      <c r="L701">
        <v>2</v>
      </c>
      <c r="M701">
        <v>9</v>
      </c>
      <c r="N701" t="s">
        <v>25</v>
      </c>
      <c r="O701" t="s">
        <v>33</v>
      </c>
      <c r="P701">
        <v>21123590</v>
      </c>
    </row>
    <row r="702" spans="1:16" ht="14.25" x14ac:dyDescent="0.2">
      <c r="A702">
        <v>58</v>
      </c>
      <c r="B702" t="s">
        <v>16</v>
      </c>
      <c r="C702" t="s">
        <v>23</v>
      </c>
      <c r="D702">
        <v>2</v>
      </c>
      <c r="E702">
        <v>3</v>
      </c>
      <c r="F702" t="s">
        <v>37</v>
      </c>
      <c r="G702">
        <v>4</v>
      </c>
      <c r="H702">
        <v>3</v>
      </c>
      <c r="I702" t="s">
        <v>19</v>
      </c>
      <c r="J702">
        <v>2479</v>
      </c>
      <c r="K702">
        <v>4</v>
      </c>
      <c r="L702">
        <v>3</v>
      </c>
      <c r="M702">
        <v>1</v>
      </c>
      <c r="N702" t="s">
        <v>25</v>
      </c>
      <c r="O702" t="s">
        <v>26</v>
      </c>
      <c r="P702">
        <v>74415720</v>
      </c>
    </row>
    <row r="703" spans="1:16" ht="14.25" x14ac:dyDescent="0.2">
      <c r="A703">
        <v>53</v>
      </c>
      <c r="B703" t="s">
        <v>22</v>
      </c>
      <c r="C703" t="s">
        <v>17</v>
      </c>
      <c r="D703">
        <v>2</v>
      </c>
      <c r="E703">
        <v>2</v>
      </c>
      <c r="F703" t="s">
        <v>29</v>
      </c>
      <c r="G703">
        <v>3</v>
      </c>
      <c r="H703">
        <v>3</v>
      </c>
      <c r="I703" t="s">
        <v>30</v>
      </c>
      <c r="J703">
        <v>14852</v>
      </c>
      <c r="K703">
        <v>6</v>
      </c>
      <c r="L703">
        <v>4</v>
      </c>
      <c r="M703">
        <v>17</v>
      </c>
      <c r="N703" t="s">
        <v>25</v>
      </c>
      <c r="O703" t="s">
        <v>33</v>
      </c>
      <c r="P703">
        <v>20594362</v>
      </c>
    </row>
    <row r="704" spans="1:16" ht="14.25" x14ac:dyDescent="0.2">
      <c r="A704">
        <v>30</v>
      </c>
      <c r="B704" t="s">
        <v>22</v>
      </c>
      <c r="C704" t="s">
        <v>17</v>
      </c>
      <c r="D704">
        <v>8</v>
      </c>
      <c r="E704">
        <v>2</v>
      </c>
      <c r="F704" t="s">
        <v>27</v>
      </c>
      <c r="G704">
        <v>3</v>
      </c>
      <c r="H704">
        <v>3</v>
      </c>
      <c r="I704" t="s">
        <v>30</v>
      </c>
      <c r="J704">
        <v>7264</v>
      </c>
      <c r="K704">
        <v>5</v>
      </c>
      <c r="L704">
        <v>4</v>
      </c>
      <c r="M704">
        <v>8</v>
      </c>
      <c r="N704" t="s">
        <v>25</v>
      </c>
      <c r="O704" t="s">
        <v>21</v>
      </c>
      <c r="P704">
        <v>70817776</v>
      </c>
    </row>
    <row r="705" spans="1:16" ht="14.25" x14ac:dyDescent="0.2">
      <c r="A705">
        <v>38</v>
      </c>
      <c r="B705" t="s">
        <v>22</v>
      </c>
      <c r="C705" t="s">
        <v>17</v>
      </c>
      <c r="D705">
        <v>10</v>
      </c>
      <c r="E705">
        <v>3</v>
      </c>
      <c r="F705" t="s">
        <v>37</v>
      </c>
      <c r="G705">
        <v>3</v>
      </c>
      <c r="H705">
        <v>4</v>
      </c>
      <c r="I705" t="s">
        <v>19</v>
      </c>
      <c r="J705">
        <v>5666</v>
      </c>
      <c r="K705">
        <v>1</v>
      </c>
      <c r="L705">
        <v>3</v>
      </c>
      <c r="M705">
        <v>5</v>
      </c>
      <c r="N705" t="s">
        <v>20</v>
      </c>
      <c r="O705" t="s">
        <v>21</v>
      </c>
      <c r="P705">
        <v>40859220</v>
      </c>
    </row>
    <row r="706" spans="1:16" ht="14.25" x14ac:dyDescent="0.2">
      <c r="A706">
        <v>35</v>
      </c>
      <c r="B706" t="s">
        <v>22</v>
      </c>
      <c r="C706" t="s">
        <v>17</v>
      </c>
      <c r="D706">
        <v>3</v>
      </c>
      <c r="E706">
        <v>4</v>
      </c>
      <c r="F706" t="s">
        <v>18</v>
      </c>
      <c r="G706">
        <v>4</v>
      </c>
      <c r="H706">
        <v>4</v>
      </c>
      <c r="I706" t="s">
        <v>30</v>
      </c>
      <c r="J706">
        <v>7823</v>
      </c>
      <c r="K706">
        <v>6</v>
      </c>
      <c r="L706">
        <v>3</v>
      </c>
      <c r="M706">
        <v>10</v>
      </c>
      <c r="N706" t="s">
        <v>25</v>
      </c>
      <c r="O706" t="s">
        <v>21</v>
      </c>
      <c r="P706">
        <v>47378034</v>
      </c>
    </row>
    <row r="707" spans="1:16" ht="14.25" x14ac:dyDescent="0.2">
      <c r="A707">
        <v>39</v>
      </c>
      <c r="B707" t="s">
        <v>22</v>
      </c>
      <c r="C707" t="s">
        <v>17</v>
      </c>
      <c r="D707">
        <v>2</v>
      </c>
      <c r="E707">
        <v>5</v>
      </c>
      <c r="F707" t="s">
        <v>18</v>
      </c>
      <c r="G707">
        <v>1</v>
      </c>
      <c r="H707">
        <v>3</v>
      </c>
      <c r="I707" t="s">
        <v>19</v>
      </c>
      <c r="J707">
        <v>7880</v>
      </c>
      <c r="K707">
        <v>0</v>
      </c>
      <c r="L707">
        <v>3</v>
      </c>
      <c r="M707">
        <v>8</v>
      </c>
      <c r="N707" t="s">
        <v>25</v>
      </c>
      <c r="O707" t="s">
        <v>21</v>
      </c>
      <c r="P707">
        <v>69178642</v>
      </c>
    </row>
    <row r="708" spans="1:16" ht="14.25" x14ac:dyDescent="0.2">
      <c r="A708">
        <v>40</v>
      </c>
      <c r="B708" t="s">
        <v>16</v>
      </c>
      <c r="C708" t="s">
        <v>17</v>
      </c>
      <c r="D708">
        <v>24</v>
      </c>
      <c r="E708">
        <v>3</v>
      </c>
      <c r="F708" t="s">
        <v>18</v>
      </c>
      <c r="G708">
        <v>2</v>
      </c>
      <c r="H708">
        <v>2</v>
      </c>
      <c r="I708" t="s">
        <v>19</v>
      </c>
      <c r="J708">
        <v>13194</v>
      </c>
      <c r="K708">
        <v>4</v>
      </c>
      <c r="L708">
        <v>2</v>
      </c>
      <c r="M708">
        <v>1</v>
      </c>
      <c r="N708" t="s">
        <v>20</v>
      </c>
      <c r="O708" t="s">
        <v>21</v>
      </c>
      <c r="P708">
        <v>26474741</v>
      </c>
    </row>
    <row r="709" spans="1:16" ht="14.25" x14ac:dyDescent="0.2">
      <c r="A709">
        <v>47</v>
      </c>
      <c r="B709" t="s">
        <v>22</v>
      </c>
      <c r="C709" t="s">
        <v>23</v>
      </c>
      <c r="D709">
        <v>16</v>
      </c>
      <c r="E709">
        <v>4</v>
      </c>
      <c r="F709" t="s">
        <v>29</v>
      </c>
      <c r="G709">
        <v>3</v>
      </c>
      <c r="H709">
        <v>3</v>
      </c>
      <c r="I709" t="s">
        <v>30</v>
      </c>
      <c r="J709">
        <v>5067</v>
      </c>
      <c r="K709">
        <v>1</v>
      </c>
      <c r="L709">
        <v>4</v>
      </c>
      <c r="M709">
        <v>19</v>
      </c>
      <c r="N709" t="s">
        <v>25</v>
      </c>
      <c r="O709" t="s">
        <v>31</v>
      </c>
      <c r="P709">
        <v>72765129</v>
      </c>
    </row>
    <row r="710" spans="1:16" ht="14.25" x14ac:dyDescent="0.2">
      <c r="A710">
        <v>36</v>
      </c>
      <c r="B710" t="s">
        <v>22</v>
      </c>
      <c r="C710" t="s">
        <v>17</v>
      </c>
      <c r="D710">
        <v>8</v>
      </c>
      <c r="E710">
        <v>4</v>
      </c>
      <c r="F710" t="s">
        <v>37</v>
      </c>
      <c r="G710">
        <v>1</v>
      </c>
      <c r="H710">
        <v>4</v>
      </c>
      <c r="I710" t="s">
        <v>30</v>
      </c>
      <c r="J710">
        <v>5079</v>
      </c>
      <c r="K710">
        <v>4</v>
      </c>
      <c r="L710">
        <v>3</v>
      </c>
      <c r="M710">
        <v>7</v>
      </c>
      <c r="N710" t="s">
        <v>25</v>
      </c>
      <c r="O710" t="s">
        <v>21</v>
      </c>
      <c r="P710">
        <v>75713232</v>
      </c>
    </row>
    <row r="711" spans="1:16" ht="14.25" x14ac:dyDescent="0.2">
      <c r="A711">
        <v>31</v>
      </c>
      <c r="B711" t="s">
        <v>16</v>
      </c>
      <c r="C711" t="s">
        <v>23</v>
      </c>
      <c r="D711">
        <v>9</v>
      </c>
      <c r="E711">
        <v>2</v>
      </c>
      <c r="F711" t="s">
        <v>29</v>
      </c>
      <c r="G711">
        <v>3</v>
      </c>
      <c r="H711">
        <v>1</v>
      </c>
      <c r="I711" t="s">
        <v>19</v>
      </c>
      <c r="J711">
        <v>2321</v>
      </c>
      <c r="K711">
        <v>0</v>
      </c>
      <c r="L711">
        <v>3</v>
      </c>
      <c r="M711">
        <v>3</v>
      </c>
      <c r="N711" t="s">
        <v>25</v>
      </c>
      <c r="O711" t="s">
        <v>26</v>
      </c>
      <c r="P711">
        <v>69052088</v>
      </c>
    </row>
    <row r="712" spans="1:16" ht="14.25" x14ac:dyDescent="0.2">
      <c r="A712">
        <v>33</v>
      </c>
      <c r="B712" t="s">
        <v>22</v>
      </c>
      <c r="C712" t="s">
        <v>17</v>
      </c>
      <c r="D712">
        <v>17</v>
      </c>
      <c r="E712">
        <v>3</v>
      </c>
      <c r="F712" t="s">
        <v>18</v>
      </c>
      <c r="G712">
        <v>4</v>
      </c>
      <c r="H712">
        <v>3</v>
      </c>
      <c r="I712" t="s">
        <v>19</v>
      </c>
      <c r="J712">
        <v>17444</v>
      </c>
      <c r="K712">
        <v>1</v>
      </c>
      <c r="L712">
        <v>3</v>
      </c>
      <c r="M712">
        <v>10</v>
      </c>
      <c r="N712" t="s">
        <v>25</v>
      </c>
      <c r="O712" t="s">
        <v>33</v>
      </c>
      <c r="P712">
        <v>46413961</v>
      </c>
    </row>
    <row r="713" spans="1:16" ht="14.25" x14ac:dyDescent="0.2">
      <c r="A713">
        <v>29</v>
      </c>
      <c r="B713" t="s">
        <v>16</v>
      </c>
      <c r="C713" t="s">
        <v>23</v>
      </c>
      <c r="D713">
        <v>10</v>
      </c>
      <c r="E713">
        <v>3</v>
      </c>
      <c r="F713" t="s">
        <v>18</v>
      </c>
      <c r="G713">
        <v>4</v>
      </c>
      <c r="H713">
        <v>1</v>
      </c>
      <c r="I713" t="s">
        <v>19</v>
      </c>
      <c r="J713">
        <v>2404</v>
      </c>
      <c r="K713">
        <v>6</v>
      </c>
      <c r="L713">
        <v>3</v>
      </c>
      <c r="M713">
        <v>0</v>
      </c>
      <c r="N713" t="s">
        <v>20</v>
      </c>
      <c r="O713" t="s">
        <v>26</v>
      </c>
      <c r="P713">
        <v>14188372</v>
      </c>
    </row>
    <row r="714" spans="1:16" ht="14.25" x14ac:dyDescent="0.2">
      <c r="A714">
        <v>33</v>
      </c>
      <c r="B714" t="s">
        <v>22</v>
      </c>
      <c r="C714" t="s">
        <v>23</v>
      </c>
      <c r="D714">
        <v>13</v>
      </c>
      <c r="E714">
        <v>1</v>
      </c>
      <c r="F714" t="s">
        <v>18</v>
      </c>
      <c r="G714">
        <v>2</v>
      </c>
      <c r="H714">
        <v>4</v>
      </c>
      <c r="I714" t="s">
        <v>19</v>
      </c>
      <c r="J714">
        <v>3452</v>
      </c>
      <c r="K714">
        <v>3</v>
      </c>
      <c r="L714">
        <v>3</v>
      </c>
      <c r="M714">
        <v>3</v>
      </c>
      <c r="N714" t="s">
        <v>20</v>
      </c>
      <c r="O714" t="s">
        <v>26</v>
      </c>
      <c r="P714">
        <v>57792565</v>
      </c>
    </row>
    <row r="715" spans="1:16" ht="14.25" x14ac:dyDescent="0.2">
      <c r="A715">
        <v>45</v>
      </c>
      <c r="B715" t="s">
        <v>22</v>
      </c>
      <c r="C715" t="s">
        <v>23</v>
      </c>
      <c r="D715">
        <v>1</v>
      </c>
      <c r="E715">
        <v>4</v>
      </c>
      <c r="F715" t="s">
        <v>29</v>
      </c>
      <c r="G715">
        <v>4</v>
      </c>
      <c r="H715">
        <v>4</v>
      </c>
      <c r="I715" t="s">
        <v>30</v>
      </c>
      <c r="J715">
        <v>2270</v>
      </c>
      <c r="K715">
        <v>3</v>
      </c>
      <c r="L715">
        <v>3</v>
      </c>
      <c r="M715">
        <v>5</v>
      </c>
      <c r="N715" t="s">
        <v>20</v>
      </c>
      <c r="O715" t="s">
        <v>28</v>
      </c>
      <c r="P715">
        <v>41000649</v>
      </c>
    </row>
    <row r="716" spans="1:16" ht="14.25" x14ac:dyDescent="0.2">
      <c r="A716">
        <v>50</v>
      </c>
      <c r="B716" t="s">
        <v>22</v>
      </c>
      <c r="C716" t="s">
        <v>23</v>
      </c>
      <c r="D716">
        <v>1</v>
      </c>
      <c r="E716">
        <v>2</v>
      </c>
      <c r="F716" t="s">
        <v>29</v>
      </c>
      <c r="G716">
        <v>4</v>
      </c>
      <c r="H716">
        <v>4</v>
      </c>
      <c r="I716" t="s">
        <v>30</v>
      </c>
      <c r="J716">
        <v>17399</v>
      </c>
      <c r="K716">
        <v>9</v>
      </c>
      <c r="L716">
        <v>2</v>
      </c>
      <c r="M716">
        <v>5</v>
      </c>
      <c r="N716" t="s">
        <v>25</v>
      </c>
      <c r="O716" t="s">
        <v>35</v>
      </c>
      <c r="P716">
        <v>54947333</v>
      </c>
    </row>
    <row r="717" spans="1:16" ht="14.25" x14ac:dyDescent="0.2">
      <c r="A717">
        <v>33</v>
      </c>
      <c r="B717" t="s">
        <v>22</v>
      </c>
      <c r="C717" t="s">
        <v>23</v>
      </c>
      <c r="D717">
        <v>1</v>
      </c>
      <c r="E717">
        <v>4</v>
      </c>
      <c r="F717" t="s">
        <v>27</v>
      </c>
      <c r="G717">
        <v>3</v>
      </c>
      <c r="H717">
        <v>2</v>
      </c>
      <c r="I717" t="s">
        <v>24</v>
      </c>
      <c r="J717">
        <v>5488</v>
      </c>
      <c r="K717">
        <v>1</v>
      </c>
      <c r="L717">
        <v>3</v>
      </c>
      <c r="M717">
        <v>6</v>
      </c>
      <c r="N717" t="s">
        <v>20</v>
      </c>
      <c r="O717" t="s">
        <v>32</v>
      </c>
      <c r="P717">
        <v>10512103</v>
      </c>
    </row>
    <row r="718" spans="1:16" ht="14.25" x14ac:dyDescent="0.2">
      <c r="A718">
        <v>41</v>
      </c>
      <c r="B718" t="s">
        <v>22</v>
      </c>
      <c r="C718" t="s">
        <v>23</v>
      </c>
      <c r="D718">
        <v>9</v>
      </c>
      <c r="E718">
        <v>3</v>
      </c>
      <c r="F718" t="s">
        <v>29</v>
      </c>
      <c r="G718">
        <v>1</v>
      </c>
      <c r="H718">
        <v>3</v>
      </c>
      <c r="I718" t="s">
        <v>30</v>
      </c>
      <c r="J718">
        <v>19419</v>
      </c>
      <c r="K718">
        <v>2</v>
      </c>
      <c r="L718">
        <v>4</v>
      </c>
      <c r="M718">
        <v>18</v>
      </c>
      <c r="N718" t="s">
        <v>25</v>
      </c>
      <c r="O718" t="s">
        <v>35</v>
      </c>
      <c r="P718">
        <v>67272685</v>
      </c>
    </row>
    <row r="719" spans="1:16" ht="14.25" x14ac:dyDescent="0.2">
      <c r="A719">
        <v>27</v>
      </c>
      <c r="B719" t="s">
        <v>22</v>
      </c>
      <c r="C719" t="s">
        <v>23</v>
      </c>
      <c r="D719">
        <v>16</v>
      </c>
      <c r="E719">
        <v>4</v>
      </c>
      <c r="F719" t="s">
        <v>37</v>
      </c>
      <c r="G719">
        <v>3</v>
      </c>
      <c r="H719">
        <v>2</v>
      </c>
      <c r="I719" t="s">
        <v>24</v>
      </c>
      <c r="J719">
        <v>2811</v>
      </c>
      <c r="K719">
        <v>9</v>
      </c>
      <c r="L719">
        <v>3</v>
      </c>
      <c r="M719">
        <v>2</v>
      </c>
      <c r="N719" t="s">
        <v>20</v>
      </c>
      <c r="O719" t="s">
        <v>28</v>
      </c>
      <c r="P719">
        <v>62454437</v>
      </c>
    </row>
    <row r="720" spans="1:16" ht="14.25" x14ac:dyDescent="0.2">
      <c r="A720">
        <v>45</v>
      </c>
      <c r="B720" t="s">
        <v>22</v>
      </c>
      <c r="C720" t="s">
        <v>23</v>
      </c>
      <c r="D720">
        <v>23</v>
      </c>
      <c r="E720">
        <v>2</v>
      </c>
      <c r="F720" t="s">
        <v>18</v>
      </c>
      <c r="G720">
        <v>4</v>
      </c>
      <c r="H720">
        <v>1</v>
      </c>
      <c r="I720" t="s">
        <v>24</v>
      </c>
      <c r="J720">
        <v>3633</v>
      </c>
      <c r="K720">
        <v>1</v>
      </c>
      <c r="L720">
        <v>3</v>
      </c>
      <c r="M720">
        <v>9</v>
      </c>
      <c r="N720" t="s">
        <v>25</v>
      </c>
      <c r="O720" t="s">
        <v>28</v>
      </c>
      <c r="P720">
        <v>13640307</v>
      </c>
    </row>
    <row r="721" spans="1:16" ht="14.25" x14ac:dyDescent="0.2">
      <c r="A721">
        <v>47</v>
      </c>
      <c r="B721" t="s">
        <v>22</v>
      </c>
      <c r="C721" t="s">
        <v>17</v>
      </c>
      <c r="D721">
        <v>4</v>
      </c>
      <c r="E721">
        <v>2</v>
      </c>
      <c r="F721" t="s">
        <v>18</v>
      </c>
      <c r="G721">
        <v>4</v>
      </c>
      <c r="H721">
        <v>4</v>
      </c>
      <c r="I721" t="s">
        <v>19</v>
      </c>
      <c r="J721">
        <v>4163</v>
      </c>
      <c r="K721">
        <v>1</v>
      </c>
      <c r="L721">
        <v>3</v>
      </c>
      <c r="M721">
        <v>9</v>
      </c>
      <c r="N721" t="s">
        <v>20</v>
      </c>
      <c r="O721" t="s">
        <v>21</v>
      </c>
      <c r="P721">
        <v>25167742</v>
      </c>
    </row>
    <row r="722" spans="1:16" ht="14.25" x14ac:dyDescent="0.2">
      <c r="A722">
        <v>30</v>
      </c>
      <c r="B722" t="s">
        <v>16</v>
      </c>
      <c r="C722" t="s">
        <v>23</v>
      </c>
      <c r="D722">
        <v>22</v>
      </c>
      <c r="E722">
        <v>3</v>
      </c>
      <c r="F722" t="s">
        <v>18</v>
      </c>
      <c r="G722">
        <v>1</v>
      </c>
      <c r="H722">
        <v>3</v>
      </c>
      <c r="I722" t="s">
        <v>24</v>
      </c>
      <c r="J722">
        <v>2132</v>
      </c>
      <c r="K722">
        <v>4</v>
      </c>
      <c r="L722">
        <v>3</v>
      </c>
      <c r="M722">
        <v>5</v>
      </c>
      <c r="N722" t="s">
        <v>20</v>
      </c>
      <c r="O722" t="s">
        <v>26</v>
      </c>
      <c r="P722">
        <v>89646447</v>
      </c>
    </row>
    <row r="723" spans="1:16" ht="14.25" x14ac:dyDescent="0.2">
      <c r="A723">
        <v>50</v>
      </c>
      <c r="B723" t="s">
        <v>22</v>
      </c>
      <c r="C723" t="s">
        <v>23</v>
      </c>
      <c r="D723">
        <v>24</v>
      </c>
      <c r="E723">
        <v>3</v>
      </c>
      <c r="F723" t="s">
        <v>18</v>
      </c>
      <c r="G723">
        <v>4</v>
      </c>
      <c r="H723">
        <v>3</v>
      </c>
      <c r="I723" t="s">
        <v>24</v>
      </c>
      <c r="J723">
        <v>13973</v>
      </c>
      <c r="K723">
        <v>3</v>
      </c>
      <c r="L723">
        <v>3</v>
      </c>
      <c r="M723">
        <v>12</v>
      </c>
      <c r="N723" t="s">
        <v>25</v>
      </c>
      <c r="O723" t="s">
        <v>31</v>
      </c>
      <c r="P723">
        <v>64994621</v>
      </c>
    </row>
    <row r="724" spans="1:16" ht="14.25" x14ac:dyDescent="0.2">
      <c r="A724">
        <v>38</v>
      </c>
      <c r="B724" t="s">
        <v>22</v>
      </c>
      <c r="C724" t="s">
        <v>23</v>
      </c>
      <c r="D724">
        <v>10</v>
      </c>
      <c r="E724">
        <v>1</v>
      </c>
      <c r="F724" t="s">
        <v>29</v>
      </c>
      <c r="G724">
        <v>3</v>
      </c>
      <c r="H724">
        <v>3</v>
      </c>
      <c r="I724" t="s">
        <v>24</v>
      </c>
      <c r="J724">
        <v>2684</v>
      </c>
      <c r="K724">
        <v>0</v>
      </c>
      <c r="L724">
        <v>2</v>
      </c>
      <c r="M724">
        <v>2</v>
      </c>
      <c r="N724" t="s">
        <v>25</v>
      </c>
      <c r="O724" t="s">
        <v>26</v>
      </c>
      <c r="P724">
        <v>66286183</v>
      </c>
    </row>
    <row r="725" spans="1:16" ht="14.25" x14ac:dyDescent="0.2">
      <c r="A725">
        <v>46</v>
      </c>
      <c r="B725" t="s">
        <v>22</v>
      </c>
      <c r="C725" t="s">
        <v>23</v>
      </c>
      <c r="D725">
        <v>7</v>
      </c>
      <c r="E725">
        <v>2</v>
      </c>
      <c r="F725" t="s">
        <v>29</v>
      </c>
      <c r="G725">
        <v>4</v>
      </c>
      <c r="H725">
        <v>3</v>
      </c>
      <c r="I725" t="s">
        <v>30</v>
      </c>
      <c r="J725">
        <v>10845</v>
      </c>
      <c r="K725">
        <v>6</v>
      </c>
      <c r="L725">
        <v>3</v>
      </c>
      <c r="M725">
        <v>8</v>
      </c>
      <c r="N725" t="s">
        <v>25</v>
      </c>
      <c r="O725" t="s">
        <v>31</v>
      </c>
      <c r="P725">
        <v>24408512</v>
      </c>
    </row>
    <row r="726" spans="1:16" ht="14.25" x14ac:dyDescent="0.2">
      <c r="A726">
        <v>24</v>
      </c>
      <c r="B726" t="s">
        <v>22</v>
      </c>
      <c r="C726" t="s">
        <v>23</v>
      </c>
      <c r="D726">
        <v>17</v>
      </c>
      <c r="E726">
        <v>1</v>
      </c>
      <c r="F726" t="s">
        <v>29</v>
      </c>
      <c r="G726">
        <v>4</v>
      </c>
      <c r="H726">
        <v>3</v>
      </c>
      <c r="I726" t="s">
        <v>30</v>
      </c>
      <c r="J726">
        <v>4377</v>
      </c>
      <c r="K726">
        <v>1</v>
      </c>
      <c r="L726">
        <v>3</v>
      </c>
      <c r="M726">
        <v>4</v>
      </c>
      <c r="N726" t="s">
        <v>20</v>
      </c>
      <c r="O726" t="s">
        <v>31</v>
      </c>
      <c r="P726">
        <v>88080971</v>
      </c>
    </row>
    <row r="727" spans="1:16" ht="14.25" x14ac:dyDescent="0.2">
      <c r="A727">
        <v>35</v>
      </c>
      <c r="B727" t="s">
        <v>16</v>
      </c>
      <c r="C727" t="s">
        <v>23</v>
      </c>
      <c r="D727">
        <v>14</v>
      </c>
      <c r="E727">
        <v>4</v>
      </c>
      <c r="F727" t="s">
        <v>27</v>
      </c>
      <c r="G727">
        <v>3</v>
      </c>
      <c r="H727">
        <v>2</v>
      </c>
      <c r="I727" t="s">
        <v>30</v>
      </c>
      <c r="J727">
        <v>3743</v>
      </c>
      <c r="K727">
        <v>1</v>
      </c>
      <c r="L727">
        <v>1</v>
      </c>
      <c r="M727">
        <v>4</v>
      </c>
      <c r="N727" t="s">
        <v>25</v>
      </c>
      <c r="O727" t="s">
        <v>28</v>
      </c>
      <c r="P727">
        <v>34788113</v>
      </c>
    </row>
    <row r="728" spans="1:16" ht="14.25" x14ac:dyDescent="0.2">
      <c r="A728">
        <v>31</v>
      </c>
      <c r="B728" t="s">
        <v>22</v>
      </c>
      <c r="C728" t="s">
        <v>23</v>
      </c>
      <c r="D728">
        <v>1</v>
      </c>
      <c r="E728">
        <v>1</v>
      </c>
      <c r="F728" t="s">
        <v>18</v>
      </c>
      <c r="G728">
        <v>3</v>
      </c>
      <c r="H728">
        <v>1</v>
      </c>
      <c r="I728" t="s">
        <v>24</v>
      </c>
      <c r="J728">
        <v>4148</v>
      </c>
      <c r="K728">
        <v>1</v>
      </c>
      <c r="L728">
        <v>3</v>
      </c>
      <c r="M728">
        <v>4</v>
      </c>
      <c r="N728" t="s">
        <v>20</v>
      </c>
      <c r="O728" t="s">
        <v>31</v>
      </c>
      <c r="P728">
        <v>13079076</v>
      </c>
    </row>
    <row r="729" spans="1:16" ht="14.25" x14ac:dyDescent="0.2">
      <c r="A729">
        <v>18</v>
      </c>
      <c r="B729" t="s">
        <v>22</v>
      </c>
      <c r="C729" t="s">
        <v>23</v>
      </c>
      <c r="D729">
        <v>5</v>
      </c>
      <c r="E729">
        <v>2</v>
      </c>
      <c r="F729" t="s">
        <v>18</v>
      </c>
      <c r="G729">
        <v>2</v>
      </c>
      <c r="H729">
        <v>4</v>
      </c>
      <c r="I729" t="s">
        <v>19</v>
      </c>
      <c r="J729">
        <v>1051</v>
      </c>
      <c r="K729">
        <v>1</v>
      </c>
      <c r="L729">
        <v>3</v>
      </c>
      <c r="M729">
        <v>0</v>
      </c>
      <c r="N729" t="s">
        <v>25</v>
      </c>
      <c r="O729" t="s">
        <v>26</v>
      </c>
      <c r="P729">
        <v>11481132</v>
      </c>
    </row>
    <row r="730" spans="1:16" ht="14.25" x14ac:dyDescent="0.2">
      <c r="A730">
        <v>54</v>
      </c>
      <c r="B730" t="s">
        <v>22</v>
      </c>
      <c r="C730" t="s">
        <v>23</v>
      </c>
      <c r="D730">
        <v>17</v>
      </c>
      <c r="E730">
        <v>3</v>
      </c>
      <c r="F730" t="s">
        <v>37</v>
      </c>
      <c r="G730">
        <v>3</v>
      </c>
      <c r="H730">
        <v>3</v>
      </c>
      <c r="I730" t="s">
        <v>24</v>
      </c>
      <c r="J730">
        <v>10739</v>
      </c>
      <c r="K730">
        <v>8</v>
      </c>
      <c r="L730">
        <v>3</v>
      </c>
      <c r="M730">
        <v>10</v>
      </c>
      <c r="N730" t="s">
        <v>20</v>
      </c>
      <c r="O730" t="s">
        <v>31</v>
      </c>
      <c r="P730">
        <v>51938988</v>
      </c>
    </row>
    <row r="731" spans="1:16" ht="14.25" x14ac:dyDescent="0.2">
      <c r="A731">
        <v>35</v>
      </c>
      <c r="B731" t="s">
        <v>22</v>
      </c>
      <c r="C731" t="s">
        <v>23</v>
      </c>
      <c r="D731">
        <v>25</v>
      </c>
      <c r="E731">
        <v>4</v>
      </c>
      <c r="F731" t="s">
        <v>29</v>
      </c>
      <c r="G731">
        <v>3</v>
      </c>
      <c r="H731">
        <v>3</v>
      </c>
      <c r="I731" t="s">
        <v>30</v>
      </c>
      <c r="J731">
        <v>10388</v>
      </c>
      <c r="K731">
        <v>1</v>
      </c>
      <c r="L731">
        <v>2</v>
      </c>
      <c r="M731">
        <v>16</v>
      </c>
      <c r="N731" t="s">
        <v>20</v>
      </c>
      <c r="O731" t="s">
        <v>32</v>
      </c>
      <c r="P731">
        <v>79711581</v>
      </c>
    </row>
    <row r="732" spans="1:16" ht="14.25" x14ac:dyDescent="0.2">
      <c r="A732">
        <v>30</v>
      </c>
      <c r="B732" t="s">
        <v>22</v>
      </c>
      <c r="C732" t="s">
        <v>23</v>
      </c>
      <c r="D732">
        <v>8</v>
      </c>
      <c r="E732">
        <v>2</v>
      </c>
      <c r="F732" t="s">
        <v>18</v>
      </c>
      <c r="G732">
        <v>2</v>
      </c>
      <c r="H732">
        <v>1</v>
      </c>
      <c r="I732" t="s">
        <v>24</v>
      </c>
      <c r="J732">
        <v>11416</v>
      </c>
      <c r="K732">
        <v>0</v>
      </c>
      <c r="L732">
        <v>2</v>
      </c>
      <c r="M732">
        <v>8</v>
      </c>
      <c r="N732" t="s">
        <v>20</v>
      </c>
      <c r="O732" t="s">
        <v>35</v>
      </c>
      <c r="P732">
        <v>73854130</v>
      </c>
    </row>
    <row r="733" spans="1:16" ht="14.25" x14ac:dyDescent="0.2">
      <c r="A733">
        <v>20</v>
      </c>
      <c r="B733" t="s">
        <v>16</v>
      </c>
      <c r="C733" t="s">
        <v>23</v>
      </c>
      <c r="D733">
        <v>11</v>
      </c>
      <c r="E733">
        <v>3</v>
      </c>
      <c r="F733" t="s">
        <v>29</v>
      </c>
      <c r="G733">
        <v>4</v>
      </c>
      <c r="H733">
        <v>1</v>
      </c>
      <c r="I733" t="s">
        <v>19</v>
      </c>
      <c r="J733">
        <v>2600</v>
      </c>
      <c r="K733">
        <v>1</v>
      </c>
      <c r="L733">
        <v>3</v>
      </c>
      <c r="M733">
        <v>1</v>
      </c>
      <c r="N733" t="s">
        <v>20</v>
      </c>
      <c r="O733" t="s">
        <v>26</v>
      </c>
      <c r="P733">
        <v>65803707</v>
      </c>
    </row>
    <row r="734" spans="1:16" ht="14.25" x14ac:dyDescent="0.2">
      <c r="A734">
        <v>30</v>
      </c>
      <c r="B734" t="s">
        <v>16</v>
      </c>
      <c r="C734" t="s">
        <v>23</v>
      </c>
      <c r="D734">
        <v>5</v>
      </c>
      <c r="E734">
        <v>3</v>
      </c>
      <c r="F734" t="s">
        <v>29</v>
      </c>
      <c r="G734">
        <v>2</v>
      </c>
      <c r="H734">
        <v>2</v>
      </c>
      <c r="I734" t="s">
        <v>19</v>
      </c>
      <c r="J734">
        <v>2422</v>
      </c>
      <c r="K734">
        <v>0</v>
      </c>
      <c r="L734">
        <v>3</v>
      </c>
      <c r="M734">
        <v>3</v>
      </c>
      <c r="N734" t="s">
        <v>20</v>
      </c>
      <c r="O734" t="s">
        <v>28</v>
      </c>
      <c r="P734">
        <v>57482801</v>
      </c>
    </row>
    <row r="735" spans="1:16" ht="14.25" x14ac:dyDescent="0.2">
      <c r="A735">
        <v>26</v>
      </c>
      <c r="B735" t="s">
        <v>22</v>
      </c>
      <c r="C735" t="s">
        <v>23</v>
      </c>
      <c r="D735">
        <v>2</v>
      </c>
      <c r="E735">
        <v>2</v>
      </c>
      <c r="F735" t="s">
        <v>29</v>
      </c>
      <c r="G735">
        <v>4</v>
      </c>
      <c r="H735">
        <v>4</v>
      </c>
      <c r="I735" t="s">
        <v>24</v>
      </c>
      <c r="J735">
        <v>5472</v>
      </c>
      <c r="K735">
        <v>1</v>
      </c>
      <c r="L735">
        <v>3</v>
      </c>
      <c r="M735">
        <v>8</v>
      </c>
      <c r="N735" t="s">
        <v>25</v>
      </c>
      <c r="O735" t="s">
        <v>31</v>
      </c>
      <c r="P735">
        <v>46892510</v>
      </c>
    </row>
    <row r="736" spans="1:16" ht="14.25" x14ac:dyDescent="0.2">
      <c r="A736">
        <v>22</v>
      </c>
      <c r="B736" t="s">
        <v>22</v>
      </c>
      <c r="C736" t="s">
        <v>23</v>
      </c>
      <c r="D736">
        <v>8</v>
      </c>
      <c r="E736">
        <v>1</v>
      </c>
      <c r="F736" t="s">
        <v>18</v>
      </c>
      <c r="G736">
        <v>2</v>
      </c>
      <c r="H736">
        <v>1</v>
      </c>
      <c r="I736" t="s">
        <v>24</v>
      </c>
      <c r="J736">
        <v>2451</v>
      </c>
      <c r="K736">
        <v>1</v>
      </c>
      <c r="L736">
        <v>2</v>
      </c>
      <c r="M736">
        <v>4</v>
      </c>
      <c r="N736" t="s">
        <v>25</v>
      </c>
      <c r="O736" t="s">
        <v>28</v>
      </c>
      <c r="P736">
        <v>56747092</v>
      </c>
    </row>
    <row r="737" spans="1:16" ht="14.25" x14ac:dyDescent="0.2">
      <c r="A737">
        <v>48</v>
      </c>
      <c r="B737" t="s">
        <v>22</v>
      </c>
      <c r="C737" t="s">
        <v>23</v>
      </c>
      <c r="D737">
        <v>6</v>
      </c>
      <c r="E737">
        <v>3</v>
      </c>
      <c r="F737" t="s">
        <v>18</v>
      </c>
      <c r="G737">
        <v>1</v>
      </c>
      <c r="H737">
        <v>3</v>
      </c>
      <c r="I737" t="s">
        <v>19</v>
      </c>
      <c r="J737">
        <v>4240</v>
      </c>
      <c r="K737">
        <v>2</v>
      </c>
      <c r="L737">
        <v>3</v>
      </c>
      <c r="M737">
        <v>2</v>
      </c>
      <c r="N737" t="s">
        <v>25</v>
      </c>
      <c r="O737" t="s">
        <v>32</v>
      </c>
      <c r="P737">
        <v>72188700</v>
      </c>
    </row>
    <row r="738" spans="1:16" ht="14.25" x14ac:dyDescent="0.2">
      <c r="A738">
        <v>48</v>
      </c>
      <c r="B738" t="s">
        <v>22</v>
      </c>
      <c r="C738" t="s">
        <v>23</v>
      </c>
      <c r="D738">
        <v>4</v>
      </c>
      <c r="E738">
        <v>4</v>
      </c>
      <c r="F738" t="s">
        <v>18</v>
      </c>
      <c r="G738">
        <v>3</v>
      </c>
      <c r="H738">
        <v>3</v>
      </c>
      <c r="I738" t="s">
        <v>19</v>
      </c>
      <c r="J738">
        <v>10999</v>
      </c>
      <c r="K738">
        <v>7</v>
      </c>
      <c r="L738">
        <v>3</v>
      </c>
      <c r="M738">
        <v>15</v>
      </c>
      <c r="N738" t="s">
        <v>25</v>
      </c>
      <c r="O738" t="s">
        <v>32</v>
      </c>
      <c r="P738">
        <v>65324509</v>
      </c>
    </row>
    <row r="739" spans="1:16" ht="14.25" x14ac:dyDescent="0.2">
      <c r="A739">
        <v>41</v>
      </c>
      <c r="B739" t="s">
        <v>22</v>
      </c>
      <c r="C739" t="s">
        <v>23</v>
      </c>
      <c r="D739">
        <v>7</v>
      </c>
      <c r="E739">
        <v>2</v>
      </c>
      <c r="F739" t="s">
        <v>29</v>
      </c>
      <c r="G739">
        <v>4</v>
      </c>
      <c r="H739">
        <v>3</v>
      </c>
      <c r="I739" t="s">
        <v>19</v>
      </c>
      <c r="J739">
        <v>5003</v>
      </c>
      <c r="K739">
        <v>6</v>
      </c>
      <c r="L739">
        <v>3</v>
      </c>
      <c r="M739">
        <v>2</v>
      </c>
      <c r="N739" t="s">
        <v>20</v>
      </c>
      <c r="O739" t="s">
        <v>31</v>
      </c>
      <c r="P739">
        <v>66715110</v>
      </c>
    </row>
    <row r="740" spans="1:16" ht="14.25" x14ac:dyDescent="0.2">
      <c r="A740">
        <v>39</v>
      </c>
      <c r="B740" t="s">
        <v>22</v>
      </c>
      <c r="C740" t="s">
        <v>23</v>
      </c>
      <c r="D740">
        <v>1</v>
      </c>
      <c r="E740">
        <v>1</v>
      </c>
      <c r="F740" t="s">
        <v>18</v>
      </c>
      <c r="G740">
        <v>4</v>
      </c>
      <c r="H740">
        <v>4</v>
      </c>
      <c r="I740" t="s">
        <v>24</v>
      </c>
      <c r="J740">
        <v>12742</v>
      </c>
      <c r="K740">
        <v>1</v>
      </c>
      <c r="L740">
        <v>3</v>
      </c>
      <c r="M740">
        <v>21</v>
      </c>
      <c r="N740" t="s">
        <v>20</v>
      </c>
      <c r="O740" t="s">
        <v>31</v>
      </c>
      <c r="P740">
        <v>74403840</v>
      </c>
    </row>
    <row r="741" spans="1:16" ht="14.25" x14ac:dyDescent="0.2">
      <c r="A741">
        <v>27</v>
      </c>
      <c r="B741" t="s">
        <v>22</v>
      </c>
      <c r="C741" t="s">
        <v>23</v>
      </c>
      <c r="D741">
        <v>2</v>
      </c>
      <c r="E741">
        <v>4</v>
      </c>
      <c r="F741" t="s">
        <v>18</v>
      </c>
      <c r="G741">
        <v>1</v>
      </c>
      <c r="H741">
        <v>4</v>
      </c>
      <c r="I741" t="s">
        <v>24</v>
      </c>
      <c r="J741">
        <v>4227</v>
      </c>
      <c r="K741">
        <v>0</v>
      </c>
      <c r="L741">
        <v>3</v>
      </c>
      <c r="M741">
        <v>3</v>
      </c>
      <c r="N741" t="s">
        <v>20</v>
      </c>
      <c r="O741" t="s">
        <v>31</v>
      </c>
      <c r="P741">
        <v>28438023</v>
      </c>
    </row>
    <row r="742" spans="1:16" ht="14.25" x14ac:dyDescent="0.2">
      <c r="A742">
        <v>35</v>
      </c>
      <c r="B742" t="s">
        <v>22</v>
      </c>
      <c r="C742" t="s">
        <v>23</v>
      </c>
      <c r="D742">
        <v>10</v>
      </c>
      <c r="E742">
        <v>3</v>
      </c>
      <c r="F742" t="s">
        <v>27</v>
      </c>
      <c r="G742">
        <v>2</v>
      </c>
      <c r="H742">
        <v>4</v>
      </c>
      <c r="I742" t="s">
        <v>30</v>
      </c>
      <c r="J742">
        <v>3917</v>
      </c>
      <c r="K742">
        <v>1</v>
      </c>
      <c r="L742">
        <v>2</v>
      </c>
      <c r="M742">
        <v>3</v>
      </c>
      <c r="N742" t="s">
        <v>25</v>
      </c>
      <c r="O742" t="s">
        <v>28</v>
      </c>
      <c r="P742">
        <v>12621297</v>
      </c>
    </row>
    <row r="743" spans="1:16" ht="14.25" x14ac:dyDescent="0.2">
      <c r="A743">
        <v>42</v>
      </c>
      <c r="B743" t="s">
        <v>22</v>
      </c>
      <c r="C743" t="s">
        <v>17</v>
      </c>
      <c r="D743">
        <v>5</v>
      </c>
      <c r="E743">
        <v>2</v>
      </c>
      <c r="F743" t="s">
        <v>36</v>
      </c>
      <c r="G743">
        <v>4</v>
      </c>
      <c r="H743">
        <v>3</v>
      </c>
      <c r="I743" t="s">
        <v>24</v>
      </c>
      <c r="J743">
        <v>18303</v>
      </c>
      <c r="K743">
        <v>6</v>
      </c>
      <c r="L743">
        <v>4</v>
      </c>
      <c r="M743">
        <v>1</v>
      </c>
      <c r="N743" t="s">
        <v>25</v>
      </c>
      <c r="O743" t="s">
        <v>33</v>
      </c>
      <c r="P743">
        <v>22718211</v>
      </c>
    </row>
    <row r="744" spans="1:16" ht="14.25" x14ac:dyDescent="0.2">
      <c r="A744">
        <v>50</v>
      </c>
      <c r="B744" t="s">
        <v>22</v>
      </c>
      <c r="C744" t="s">
        <v>23</v>
      </c>
      <c r="D744">
        <v>9</v>
      </c>
      <c r="E744">
        <v>3</v>
      </c>
      <c r="F744" t="s">
        <v>18</v>
      </c>
      <c r="G744">
        <v>1</v>
      </c>
      <c r="H744">
        <v>4</v>
      </c>
      <c r="I744" t="s">
        <v>24</v>
      </c>
      <c r="J744">
        <v>2380</v>
      </c>
      <c r="K744">
        <v>4</v>
      </c>
      <c r="L744">
        <v>3</v>
      </c>
      <c r="M744">
        <v>1</v>
      </c>
      <c r="N744" t="s">
        <v>25</v>
      </c>
      <c r="O744" t="s">
        <v>28</v>
      </c>
      <c r="P744">
        <v>86620660</v>
      </c>
    </row>
    <row r="745" spans="1:16" ht="14.25" x14ac:dyDescent="0.2">
      <c r="A745">
        <v>59</v>
      </c>
      <c r="B745" t="s">
        <v>22</v>
      </c>
      <c r="C745" t="s">
        <v>23</v>
      </c>
      <c r="D745">
        <v>2</v>
      </c>
      <c r="E745">
        <v>3</v>
      </c>
      <c r="F745" t="s">
        <v>18</v>
      </c>
      <c r="G745">
        <v>3</v>
      </c>
      <c r="H745">
        <v>4</v>
      </c>
      <c r="I745" t="s">
        <v>19</v>
      </c>
      <c r="J745">
        <v>13726</v>
      </c>
      <c r="K745">
        <v>3</v>
      </c>
      <c r="L745">
        <v>3</v>
      </c>
      <c r="M745">
        <v>5</v>
      </c>
      <c r="N745" t="s">
        <v>20</v>
      </c>
      <c r="O745" t="s">
        <v>31</v>
      </c>
      <c r="P745">
        <v>57258332</v>
      </c>
    </row>
    <row r="746" spans="1:16" ht="14.25" x14ac:dyDescent="0.2">
      <c r="A746">
        <v>37</v>
      </c>
      <c r="B746" t="s">
        <v>16</v>
      </c>
      <c r="C746" t="s">
        <v>23</v>
      </c>
      <c r="D746">
        <v>11</v>
      </c>
      <c r="E746">
        <v>2</v>
      </c>
      <c r="F746" t="s">
        <v>29</v>
      </c>
      <c r="G746">
        <v>1</v>
      </c>
      <c r="H746">
        <v>2</v>
      </c>
      <c r="I746" t="s">
        <v>24</v>
      </c>
      <c r="J746">
        <v>4777</v>
      </c>
      <c r="K746">
        <v>5</v>
      </c>
      <c r="L746">
        <v>1</v>
      </c>
      <c r="M746">
        <v>1</v>
      </c>
      <c r="N746" t="s">
        <v>20</v>
      </c>
      <c r="O746" t="s">
        <v>32</v>
      </c>
      <c r="P746">
        <v>58781460</v>
      </c>
    </row>
    <row r="747" spans="1:16" ht="14.25" x14ac:dyDescent="0.2">
      <c r="A747">
        <v>55</v>
      </c>
      <c r="B747" t="s">
        <v>22</v>
      </c>
      <c r="C747" t="s">
        <v>23</v>
      </c>
      <c r="D747">
        <v>18</v>
      </c>
      <c r="E747">
        <v>4</v>
      </c>
      <c r="F747" t="s">
        <v>29</v>
      </c>
      <c r="G747">
        <v>3</v>
      </c>
      <c r="H747">
        <v>2</v>
      </c>
      <c r="I747" t="s">
        <v>24</v>
      </c>
      <c r="J747">
        <v>6385</v>
      </c>
      <c r="K747">
        <v>3</v>
      </c>
      <c r="L747">
        <v>3</v>
      </c>
      <c r="M747">
        <v>8</v>
      </c>
      <c r="N747" t="s">
        <v>25</v>
      </c>
      <c r="O747" t="s">
        <v>32</v>
      </c>
      <c r="P747">
        <v>26451878</v>
      </c>
    </row>
    <row r="748" spans="1:16" ht="14.25" x14ac:dyDescent="0.2">
      <c r="A748">
        <v>41</v>
      </c>
      <c r="B748" t="s">
        <v>22</v>
      </c>
      <c r="C748" t="s">
        <v>23</v>
      </c>
      <c r="D748">
        <v>7</v>
      </c>
      <c r="E748">
        <v>1</v>
      </c>
      <c r="F748" t="s">
        <v>18</v>
      </c>
      <c r="G748">
        <v>2</v>
      </c>
      <c r="H748">
        <v>3</v>
      </c>
      <c r="I748" t="s">
        <v>30</v>
      </c>
      <c r="J748">
        <v>19973</v>
      </c>
      <c r="K748">
        <v>1</v>
      </c>
      <c r="L748">
        <v>3</v>
      </c>
      <c r="M748">
        <v>21</v>
      </c>
      <c r="N748" t="s">
        <v>20</v>
      </c>
      <c r="O748" t="s">
        <v>35</v>
      </c>
      <c r="P748">
        <v>21508587</v>
      </c>
    </row>
    <row r="749" spans="1:16" ht="14.25" x14ac:dyDescent="0.2">
      <c r="A749">
        <v>38</v>
      </c>
      <c r="B749" t="s">
        <v>22</v>
      </c>
      <c r="C749" t="s">
        <v>17</v>
      </c>
      <c r="D749">
        <v>3</v>
      </c>
      <c r="E749">
        <v>4</v>
      </c>
      <c r="F749" t="s">
        <v>18</v>
      </c>
      <c r="G749">
        <v>2</v>
      </c>
      <c r="H749">
        <v>4</v>
      </c>
      <c r="I749" t="s">
        <v>19</v>
      </c>
      <c r="J749">
        <v>6861</v>
      </c>
      <c r="K749">
        <v>8</v>
      </c>
      <c r="L749">
        <v>3</v>
      </c>
      <c r="M749">
        <v>1</v>
      </c>
      <c r="N749" t="s">
        <v>25</v>
      </c>
      <c r="O749" t="s">
        <v>21</v>
      </c>
      <c r="P749">
        <v>49225686</v>
      </c>
    </row>
    <row r="750" spans="1:16" ht="14.25" x14ac:dyDescent="0.2">
      <c r="A750">
        <v>26</v>
      </c>
      <c r="B750" t="s">
        <v>16</v>
      </c>
      <c r="C750" t="s">
        <v>17</v>
      </c>
      <c r="D750">
        <v>29</v>
      </c>
      <c r="E750">
        <v>2</v>
      </c>
      <c r="F750" t="s">
        <v>29</v>
      </c>
      <c r="G750">
        <v>2</v>
      </c>
      <c r="H750">
        <v>1</v>
      </c>
      <c r="I750" t="s">
        <v>19</v>
      </c>
      <c r="J750">
        <v>4969</v>
      </c>
      <c r="K750">
        <v>8</v>
      </c>
      <c r="L750">
        <v>3</v>
      </c>
      <c r="M750">
        <v>2</v>
      </c>
      <c r="N750" t="s">
        <v>25</v>
      </c>
      <c r="O750" t="s">
        <v>21</v>
      </c>
      <c r="P750">
        <v>88992056</v>
      </c>
    </row>
    <row r="751" spans="1:16" ht="14.25" x14ac:dyDescent="0.2">
      <c r="A751">
        <v>52</v>
      </c>
      <c r="B751" t="s">
        <v>16</v>
      </c>
      <c r="C751" t="s">
        <v>17</v>
      </c>
      <c r="D751">
        <v>2</v>
      </c>
      <c r="E751">
        <v>1</v>
      </c>
      <c r="F751" t="s">
        <v>36</v>
      </c>
      <c r="G751">
        <v>1</v>
      </c>
      <c r="H751">
        <v>4</v>
      </c>
      <c r="I751" t="s">
        <v>24</v>
      </c>
      <c r="J751">
        <v>19845</v>
      </c>
      <c r="K751">
        <v>1</v>
      </c>
      <c r="L751">
        <v>3</v>
      </c>
      <c r="M751">
        <v>32</v>
      </c>
      <c r="N751" t="s">
        <v>20</v>
      </c>
      <c r="O751" t="s">
        <v>33</v>
      </c>
      <c r="P751">
        <v>32419826</v>
      </c>
    </row>
    <row r="752" spans="1:16" ht="14.25" x14ac:dyDescent="0.2">
      <c r="A752">
        <v>44</v>
      </c>
      <c r="B752" t="s">
        <v>22</v>
      </c>
      <c r="C752" t="s">
        <v>17</v>
      </c>
      <c r="D752">
        <v>28</v>
      </c>
      <c r="E752">
        <v>3</v>
      </c>
      <c r="F752" t="s">
        <v>29</v>
      </c>
      <c r="G752">
        <v>4</v>
      </c>
      <c r="H752">
        <v>4</v>
      </c>
      <c r="I752" t="s">
        <v>24</v>
      </c>
      <c r="J752">
        <v>13320</v>
      </c>
      <c r="K752">
        <v>3</v>
      </c>
      <c r="L752">
        <v>3</v>
      </c>
      <c r="M752">
        <v>12</v>
      </c>
      <c r="N752" t="s">
        <v>20</v>
      </c>
      <c r="O752" t="s">
        <v>21</v>
      </c>
      <c r="P752">
        <v>15223648</v>
      </c>
    </row>
    <row r="753" spans="1:16" ht="14.25" x14ac:dyDescent="0.2">
      <c r="A753">
        <v>50</v>
      </c>
      <c r="B753" t="s">
        <v>22</v>
      </c>
      <c r="C753" t="s">
        <v>17</v>
      </c>
      <c r="D753">
        <v>1</v>
      </c>
      <c r="E753">
        <v>3</v>
      </c>
      <c r="F753" t="s">
        <v>18</v>
      </c>
      <c r="G753">
        <v>4</v>
      </c>
      <c r="H753">
        <v>3</v>
      </c>
      <c r="I753" t="s">
        <v>24</v>
      </c>
      <c r="J753">
        <v>6347</v>
      </c>
      <c r="K753">
        <v>0</v>
      </c>
      <c r="L753">
        <v>3</v>
      </c>
      <c r="M753">
        <v>18</v>
      </c>
      <c r="N753" t="s">
        <v>20</v>
      </c>
      <c r="O753" t="s">
        <v>21</v>
      </c>
      <c r="P753">
        <v>51944180</v>
      </c>
    </row>
    <row r="754" spans="1:16" ht="14.25" x14ac:dyDescent="0.2">
      <c r="A754">
        <v>36</v>
      </c>
      <c r="B754" t="s">
        <v>16</v>
      </c>
      <c r="C754" t="s">
        <v>23</v>
      </c>
      <c r="D754">
        <v>16</v>
      </c>
      <c r="E754">
        <v>4</v>
      </c>
      <c r="F754" t="s">
        <v>18</v>
      </c>
      <c r="G754">
        <v>3</v>
      </c>
      <c r="H754">
        <v>1</v>
      </c>
      <c r="I754" t="s">
        <v>19</v>
      </c>
      <c r="J754">
        <v>2743</v>
      </c>
      <c r="K754">
        <v>1</v>
      </c>
      <c r="L754">
        <v>3</v>
      </c>
      <c r="M754">
        <v>17</v>
      </c>
      <c r="N754" t="s">
        <v>20</v>
      </c>
      <c r="O754" t="s">
        <v>28</v>
      </c>
      <c r="P754">
        <v>39871255</v>
      </c>
    </row>
    <row r="755" spans="1:16" ht="14.25" x14ac:dyDescent="0.2">
      <c r="A755">
        <v>39</v>
      </c>
      <c r="B755" t="s">
        <v>22</v>
      </c>
      <c r="C755" t="s">
        <v>23</v>
      </c>
      <c r="D755">
        <v>22</v>
      </c>
      <c r="E755">
        <v>3</v>
      </c>
      <c r="F755" t="s">
        <v>29</v>
      </c>
      <c r="G755">
        <v>4</v>
      </c>
      <c r="H755">
        <v>1</v>
      </c>
      <c r="I755" t="s">
        <v>19</v>
      </c>
      <c r="J755">
        <v>10880</v>
      </c>
      <c r="K755">
        <v>1</v>
      </c>
      <c r="L755">
        <v>3</v>
      </c>
      <c r="M755">
        <v>21</v>
      </c>
      <c r="N755" t="s">
        <v>20</v>
      </c>
      <c r="O755" t="s">
        <v>31</v>
      </c>
      <c r="P755">
        <v>32463226</v>
      </c>
    </row>
    <row r="756" spans="1:16" ht="14.25" x14ac:dyDescent="0.2">
      <c r="A756">
        <v>33</v>
      </c>
      <c r="B756" t="s">
        <v>22</v>
      </c>
      <c r="C756" t="s">
        <v>17</v>
      </c>
      <c r="D756">
        <v>8</v>
      </c>
      <c r="E756">
        <v>1</v>
      </c>
      <c r="F756" t="s">
        <v>18</v>
      </c>
      <c r="G756">
        <v>2</v>
      </c>
      <c r="H756">
        <v>4</v>
      </c>
      <c r="I756" t="s">
        <v>19</v>
      </c>
      <c r="J756">
        <v>2342</v>
      </c>
      <c r="K756">
        <v>0</v>
      </c>
      <c r="L756">
        <v>2</v>
      </c>
      <c r="M756">
        <v>2</v>
      </c>
      <c r="N756" t="s">
        <v>20</v>
      </c>
      <c r="O756" t="s">
        <v>34</v>
      </c>
      <c r="P756">
        <v>11041294</v>
      </c>
    </row>
    <row r="757" spans="1:16" ht="14.25" x14ac:dyDescent="0.2">
      <c r="A757">
        <v>45</v>
      </c>
      <c r="B757" t="s">
        <v>22</v>
      </c>
      <c r="C757" t="s">
        <v>17</v>
      </c>
      <c r="D757">
        <v>11</v>
      </c>
      <c r="E757">
        <v>2</v>
      </c>
      <c r="F757" t="s">
        <v>18</v>
      </c>
      <c r="G757">
        <v>4</v>
      </c>
      <c r="H757">
        <v>4</v>
      </c>
      <c r="I757" t="s">
        <v>24</v>
      </c>
      <c r="J757">
        <v>17650</v>
      </c>
      <c r="K757">
        <v>3</v>
      </c>
      <c r="L757">
        <v>4</v>
      </c>
      <c r="M757">
        <v>9</v>
      </c>
      <c r="N757" t="s">
        <v>20</v>
      </c>
      <c r="O757" t="s">
        <v>33</v>
      </c>
      <c r="P757">
        <v>19754149</v>
      </c>
    </row>
    <row r="758" spans="1:16" ht="14.25" x14ac:dyDescent="0.2">
      <c r="A758">
        <v>32</v>
      </c>
      <c r="B758" t="s">
        <v>22</v>
      </c>
      <c r="C758" t="s">
        <v>23</v>
      </c>
      <c r="D758">
        <v>29</v>
      </c>
      <c r="E758">
        <v>4</v>
      </c>
      <c r="F758" t="s">
        <v>29</v>
      </c>
      <c r="G758">
        <v>4</v>
      </c>
      <c r="H758">
        <v>3</v>
      </c>
      <c r="I758" t="s">
        <v>19</v>
      </c>
      <c r="J758">
        <v>4025</v>
      </c>
      <c r="K758">
        <v>9</v>
      </c>
      <c r="L758">
        <v>3</v>
      </c>
      <c r="M758">
        <v>8</v>
      </c>
      <c r="N758" t="s">
        <v>20</v>
      </c>
      <c r="O758" t="s">
        <v>28</v>
      </c>
      <c r="P758">
        <v>83798564</v>
      </c>
    </row>
    <row r="759" spans="1:16" ht="14.25" x14ac:dyDescent="0.2">
      <c r="A759">
        <v>34</v>
      </c>
      <c r="B759" t="s">
        <v>22</v>
      </c>
      <c r="C759" t="s">
        <v>17</v>
      </c>
      <c r="D759">
        <v>1</v>
      </c>
      <c r="E759">
        <v>4</v>
      </c>
      <c r="F759" t="s">
        <v>36</v>
      </c>
      <c r="G759">
        <v>2</v>
      </c>
      <c r="H759">
        <v>4</v>
      </c>
      <c r="I759" t="s">
        <v>30</v>
      </c>
      <c r="J759">
        <v>9725</v>
      </c>
      <c r="K759">
        <v>0</v>
      </c>
      <c r="L759">
        <v>2</v>
      </c>
      <c r="M759">
        <v>15</v>
      </c>
      <c r="N759" t="s">
        <v>25</v>
      </c>
      <c r="O759" t="s">
        <v>21</v>
      </c>
      <c r="P759">
        <v>58095069</v>
      </c>
    </row>
    <row r="760" spans="1:16" ht="14.25" x14ac:dyDescent="0.2">
      <c r="A760">
        <v>59</v>
      </c>
      <c r="B760" t="s">
        <v>22</v>
      </c>
      <c r="C760" t="s">
        <v>17</v>
      </c>
      <c r="D760">
        <v>1</v>
      </c>
      <c r="E760">
        <v>2</v>
      </c>
      <c r="F760" t="s">
        <v>37</v>
      </c>
      <c r="G760">
        <v>2</v>
      </c>
      <c r="H760">
        <v>4</v>
      </c>
      <c r="I760" t="s">
        <v>24</v>
      </c>
      <c r="J760">
        <v>11904</v>
      </c>
      <c r="K760">
        <v>3</v>
      </c>
      <c r="L760">
        <v>1</v>
      </c>
      <c r="M760">
        <v>6</v>
      </c>
      <c r="N760" t="s">
        <v>25</v>
      </c>
      <c r="O760" t="s">
        <v>33</v>
      </c>
      <c r="P760">
        <v>39110679</v>
      </c>
    </row>
    <row r="761" spans="1:16" ht="14.25" x14ac:dyDescent="0.2">
      <c r="A761">
        <v>45</v>
      </c>
      <c r="B761" t="s">
        <v>22</v>
      </c>
      <c r="C761" t="s">
        <v>38</v>
      </c>
      <c r="D761">
        <v>24</v>
      </c>
      <c r="E761">
        <v>4</v>
      </c>
      <c r="F761" t="s">
        <v>29</v>
      </c>
      <c r="G761">
        <v>2</v>
      </c>
      <c r="H761">
        <v>2</v>
      </c>
      <c r="I761" t="s">
        <v>19</v>
      </c>
      <c r="J761">
        <v>2177</v>
      </c>
      <c r="K761">
        <v>1</v>
      </c>
      <c r="L761">
        <v>3</v>
      </c>
      <c r="M761">
        <v>6</v>
      </c>
      <c r="N761" t="s">
        <v>25</v>
      </c>
      <c r="O761" t="s">
        <v>38</v>
      </c>
      <c r="P761">
        <v>58721473</v>
      </c>
    </row>
    <row r="762" spans="1:16" ht="14.25" x14ac:dyDescent="0.2">
      <c r="A762">
        <v>53</v>
      </c>
      <c r="B762" t="s">
        <v>22</v>
      </c>
      <c r="C762" t="s">
        <v>17</v>
      </c>
      <c r="D762">
        <v>2</v>
      </c>
      <c r="E762">
        <v>3</v>
      </c>
      <c r="F762" t="s">
        <v>36</v>
      </c>
      <c r="G762">
        <v>3</v>
      </c>
      <c r="H762">
        <v>2</v>
      </c>
      <c r="I762" t="s">
        <v>24</v>
      </c>
      <c r="J762">
        <v>7525</v>
      </c>
      <c r="K762">
        <v>2</v>
      </c>
      <c r="L762">
        <v>3</v>
      </c>
      <c r="M762">
        <v>15</v>
      </c>
      <c r="N762" t="s">
        <v>20</v>
      </c>
      <c r="O762" t="s">
        <v>21</v>
      </c>
      <c r="P762">
        <v>70194406</v>
      </c>
    </row>
    <row r="763" spans="1:16" ht="14.25" x14ac:dyDescent="0.2">
      <c r="A763">
        <v>36</v>
      </c>
      <c r="B763" t="s">
        <v>16</v>
      </c>
      <c r="C763" t="s">
        <v>23</v>
      </c>
      <c r="D763">
        <v>15</v>
      </c>
      <c r="E763">
        <v>3</v>
      </c>
      <c r="F763" t="s">
        <v>27</v>
      </c>
      <c r="G763">
        <v>1</v>
      </c>
      <c r="H763">
        <v>3</v>
      </c>
      <c r="I763" t="s">
        <v>30</v>
      </c>
      <c r="J763">
        <v>4834</v>
      </c>
      <c r="K763">
        <v>7</v>
      </c>
      <c r="L763">
        <v>2</v>
      </c>
      <c r="M763">
        <v>1</v>
      </c>
      <c r="N763" t="s">
        <v>25</v>
      </c>
      <c r="O763" t="s">
        <v>28</v>
      </c>
      <c r="P763">
        <v>81670721</v>
      </c>
    </row>
    <row r="764" spans="1:16" ht="14.25" x14ac:dyDescent="0.2">
      <c r="A764">
        <v>26</v>
      </c>
      <c r="B764" t="s">
        <v>16</v>
      </c>
      <c r="C764" t="s">
        <v>23</v>
      </c>
      <c r="D764">
        <v>2</v>
      </c>
      <c r="E764">
        <v>3</v>
      </c>
      <c r="F764" t="s">
        <v>18</v>
      </c>
      <c r="G764">
        <v>1</v>
      </c>
      <c r="H764">
        <v>1</v>
      </c>
      <c r="I764" t="s">
        <v>24</v>
      </c>
      <c r="J764">
        <v>2042</v>
      </c>
      <c r="K764">
        <v>6</v>
      </c>
      <c r="L764">
        <v>3</v>
      </c>
      <c r="M764">
        <v>3</v>
      </c>
      <c r="N764" t="s">
        <v>25</v>
      </c>
      <c r="O764" t="s">
        <v>26</v>
      </c>
      <c r="P764">
        <v>41583022</v>
      </c>
    </row>
    <row r="765" spans="1:16" ht="14.25" x14ac:dyDescent="0.2">
      <c r="A765">
        <v>34</v>
      </c>
      <c r="B765" t="s">
        <v>22</v>
      </c>
      <c r="C765" t="s">
        <v>17</v>
      </c>
      <c r="D765">
        <v>10</v>
      </c>
      <c r="E765">
        <v>4</v>
      </c>
      <c r="F765" t="s">
        <v>18</v>
      </c>
      <c r="G765">
        <v>3</v>
      </c>
      <c r="H765">
        <v>3</v>
      </c>
      <c r="I765" t="s">
        <v>24</v>
      </c>
      <c r="J765">
        <v>2220</v>
      </c>
      <c r="K765">
        <v>1</v>
      </c>
      <c r="L765">
        <v>3</v>
      </c>
      <c r="M765">
        <v>1</v>
      </c>
      <c r="N765" t="s">
        <v>20</v>
      </c>
      <c r="O765" t="s">
        <v>34</v>
      </c>
      <c r="P765">
        <v>24340296</v>
      </c>
    </row>
    <row r="766" spans="1:16" ht="14.25" x14ac:dyDescent="0.2">
      <c r="A766">
        <v>28</v>
      </c>
      <c r="B766" t="s">
        <v>22</v>
      </c>
      <c r="C766" t="s">
        <v>17</v>
      </c>
      <c r="D766">
        <v>10</v>
      </c>
      <c r="E766">
        <v>1</v>
      </c>
      <c r="F766" t="s">
        <v>29</v>
      </c>
      <c r="G766">
        <v>4</v>
      </c>
      <c r="H766">
        <v>2</v>
      </c>
      <c r="I766" t="s">
        <v>24</v>
      </c>
      <c r="J766">
        <v>1052</v>
      </c>
      <c r="K766">
        <v>1</v>
      </c>
      <c r="L766">
        <v>3</v>
      </c>
      <c r="M766">
        <v>1</v>
      </c>
      <c r="N766" t="s">
        <v>25</v>
      </c>
      <c r="O766" t="s">
        <v>34</v>
      </c>
      <c r="P766">
        <v>22535909</v>
      </c>
    </row>
    <row r="767" spans="1:16" ht="14.25" x14ac:dyDescent="0.2">
      <c r="A767">
        <v>38</v>
      </c>
      <c r="B767" t="s">
        <v>22</v>
      </c>
      <c r="C767" t="s">
        <v>23</v>
      </c>
      <c r="D767">
        <v>3</v>
      </c>
      <c r="E767">
        <v>4</v>
      </c>
      <c r="F767" t="s">
        <v>27</v>
      </c>
      <c r="G767">
        <v>3</v>
      </c>
      <c r="H767">
        <v>3</v>
      </c>
      <c r="I767" t="s">
        <v>24</v>
      </c>
      <c r="J767">
        <v>2821</v>
      </c>
      <c r="K767">
        <v>3</v>
      </c>
      <c r="L767">
        <v>3</v>
      </c>
      <c r="M767">
        <v>2</v>
      </c>
      <c r="N767" t="s">
        <v>25</v>
      </c>
      <c r="O767" t="s">
        <v>26</v>
      </c>
      <c r="P767">
        <v>65821779</v>
      </c>
    </row>
    <row r="768" spans="1:16" ht="14.25" x14ac:dyDescent="0.2">
      <c r="A768">
        <v>50</v>
      </c>
      <c r="B768" t="s">
        <v>22</v>
      </c>
      <c r="C768" t="s">
        <v>23</v>
      </c>
      <c r="D768">
        <v>2</v>
      </c>
      <c r="E768">
        <v>4</v>
      </c>
      <c r="F768" t="s">
        <v>29</v>
      </c>
      <c r="G768">
        <v>2</v>
      </c>
      <c r="H768">
        <v>3</v>
      </c>
      <c r="I768" t="s">
        <v>24</v>
      </c>
      <c r="J768">
        <v>19237</v>
      </c>
      <c r="K768">
        <v>2</v>
      </c>
      <c r="L768">
        <v>2</v>
      </c>
      <c r="M768">
        <v>8</v>
      </c>
      <c r="N768" t="s">
        <v>25</v>
      </c>
      <c r="O768" t="s">
        <v>35</v>
      </c>
      <c r="P768">
        <v>47108643</v>
      </c>
    </row>
    <row r="769" spans="1:16" ht="14.25" x14ac:dyDescent="0.2">
      <c r="A769">
        <v>37</v>
      </c>
      <c r="B769" t="s">
        <v>22</v>
      </c>
      <c r="C769" t="s">
        <v>23</v>
      </c>
      <c r="D769">
        <v>3</v>
      </c>
      <c r="E769">
        <v>3</v>
      </c>
      <c r="F769" t="s">
        <v>27</v>
      </c>
      <c r="G769">
        <v>4</v>
      </c>
      <c r="H769">
        <v>2</v>
      </c>
      <c r="I769" t="s">
        <v>19</v>
      </c>
      <c r="J769">
        <v>4107</v>
      </c>
      <c r="K769">
        <v>3</v>
      </c>
      <c r="L769">
        <v>2</v>
      </c>
      <c r="M769">
        <v>4</v>
      </c>
      <c r="N769" t="s">
        <v>20</v>
      </c>
      <c r="O769" t="s">
        <v>32</v>
      </c>
      <c r="P769">
        <v>21743074</v>
      </c>
    </row>
    <row r="770" spans="1:16" ht="14.25" x14ac:dyDescent="0.2">
      <c r="A770">
        <v>40</v>
      </c>
      <c r="B770" t="s">
        <v>22</v>
      </c>
      <c r="C770" t="s">
        <v>17</v>
      </c>
      <c r="D770">
        <v>26</v>
      </c>
      <c r="E770">
        <v>3</v>
      </c>
      <c r="F770" t="s">
        <v>36</v>
      </c>
      <c r="G770">
        <v>3</v>
      </c>
      <c r="H770">
        <v>1</v>
      </c>
      <c r="I770" t="s">
        <v>24</v>
      </c>
      <c r="J770">
        <v>8396</v>
      </c>
      <c r="K770">
        <v>1</v>
      </c>
      <c r="L770">
        <v>2</v>
      </c>
      <c r="M770">
        <v>7</v>
      </c>
      <c r="N770" t="s">
        <v>25</v>
      </c>
      <c r="O770" t="s">
        <v>21</v>
      </c>
      <c r="P770">
        <v>53221042</v>
      </c>
    </row>
    <row r="771" spans="1:16" ht="14.25" x14ac:dyDescent="0.2">
      <c r="A771">
        <v>26</v>
      </c>
      <c r="B771" t="s">
        <v>22</v>
      </c>
      <c r="C771" t="s">
        <v>23</v>
      </c>
      <c r="D771">
        <v>1</v>
      </c>
      <c r="E771">
        <v>1</v>
      </c>
      <c r="F771" t="s">
        <v>29</v>
      </c>
      <c r="G771">
        <v>1</v>
      </c>
      <c r="H771">
        <v>3</v>
      </c>
      <c r="I771" t="s">
        <v>30</v>
      </c>
      <c r="J771">
        <v>2007</v>
      </c>
      <c r="K771">
        <v>1</v>
      </c>
      <c r="L771">
        <v>3</v>
      </c>
      <c r="M771">
        <v>5</v>
      </c>
      <c r="N771" t="s">
        <v>20</v>
      </c>
      <c r="O771" t="s">
        <v>26</v>
      </c>
      <c r="P771">
        <v>84647287</v>
      </c>
    </row>
    <row r="772" spans="1:16" ht="14.25" x14ac:dyDescent="0.2">
      <c r="A772">
        <v>46</v>
      </c>
      <c r="B772" t="s">
        <v>22</v>
      </c>
      <c r="C772" t="s">
        <v>23</v>
      </c>
      <c r="D772">
        <v>1</v>
      </c>
      <c r="E772">
        <v>4</v>
      </c>
      <c r="F772" t="s">
        <v>29</v>
      </c>
      <c r="G772">
        <v>4</v>
      </c>
      <c r="H772">
        <v>4</v>
      </c>
      <c r="I772" t="s">
        <v>30</v>
      </c>
      <c r="J772">
        <v>19627</v>
      </c>
      <c r="K772">
        <v>9</v>
      </c>
      <c r="L772">
        <v>3</v>
      </c>
      <c r="M772">
        <v>2</v>
      </c>
      <c r="N772" t="s">
        <v>25</v>
      </c>
      <c r="O772" t="s">
        <v>35</v>
      </c>
      <c r="P772">
        <v>33609362</v>
      </c>
    </row>
    <row r="773" spans="1:16" ht="14.25" x14ac:dyDescent="0.2">
      <c r="A773">
        <v>54</v>
      </c>
      <c r="B773" t="s">
        <v>22</v>
      </c>
      <c r="C773" t="s">
        <v>17</v>
      </c>
      <c r="D773">
        <v>2</v>
      </c>
      <c r="E773">
        <v>4</v>
      </c>
      <c r="F773" t="s">
        <v>18</v>
      </c>
      <c r="G773">
        <v>3</v>
      </c>
      <c r="H773">
        <v>3</v>
      </c>
      <c r="I773" t="s">
        <v>24</v>
      </c>
      <c r="J773">
        <v>10686</v>
      </c>
      <c r="K773">
        <v>6</v>
      </c>
      <c r="L773">
        <v>3</v>
      </c>
      <c r="M773">
        <v>9</v>
      </c>
      <c r="N773" t="s">
        <v>20</v>
      </c>
      <c r="O773" t="s">
        <v>21</v>
      </c>
      <c r="P773">
        <v>50763117</v>
      </c>
    </row>
    <row r="774" spans="1:16" ht="14.25" x14ac:dyDescent="0.2">
      <c r="A774">
        <v>56</v>
      </c>
      <c r="B774" t="s">
        <v>22</v>
      </c>
      <c r="C774" t="s">
        <v>23</v>
      </c>
      <c r="D774">
        <v>9</v>
      </c>
      <c r="E774">
        <v>3</v>
      </c>
      <c r="F774" t="s">
        <v>29</v>
      </c>
      <c r="G774">
        <v>1</v>
      </c>
      <c r="H774">
        <v>3</v>
      </c>
      <c r="I774" t="s">
        <v>24</v>
      </c>
      <c r="J774">
        <v>2942</v>
      </c>
      <c r="K774">
        <v>2</v>
      </c>
      <c r="L774">
        <v>3</v>
      </c>
      <c r="M774">
        <v>5</v>
      </c>
      <c r="N774" t="s">
        <v>20</v>
      </c>
      <c r="O774" t="s">
        <v>26</v>
      </c>
      <c r="P774">
        <v>53000558</v>
      </c>
    </row>
    <row r="775" spans="1:16" ht="14.25" x14ac:dyDescent="0.2">
      <c r="A775">
        <v>36</v>
      </c>
      <c r="B775" t="s">
        <v>22</v>
      </c>
      <c r="C775" t="s">
        <v>23</v>
      </c>
      <c r="D775">
        <v>12</v>
      </c>
      <c r="E775">
        <v>5</v>
      </c>
      <c r="F775" t="s">
        <v>29</v>
      </c>
      <c r="G775">
        <v>4</v>
      </c>
      <c r="H775">
        <v>4</v>
      </c>
      <c r="I775" t="s">
        <v>19</v>
      </c>
      <c r="J775">
        <v>8858</v>
      </c>
      <c r="K775">
        <v>0</v>
      </c>
      <c r="L775">
        <v>2</v>
      </c>
      <c r="M775">
        <v>14</v>
      </c>
      <c r="N775" t="s">
        <v>20</v>
      </c>
      <c r="O775" t="s">
        <v>31</v>
      </c>
      <c r="P775">
        <v>47129640</v>
      </c>
    </row>
    <row r="776" spans="1:16" ht="14.25" x14ac:dyDescent="0.2">
      <c r="A776">
        <v>55</v>
      </c>
      <c r="B776" t="s">
        <v>22</v>
      </c>
      <c r="C776" t="s">
        <v>23</v>
      </c>
      <c r="D776">
        <v>2</v>
      </c>
      <c r="E776">
        <v>1</v>
      </c>
      <c r="F776" t="s">
        <v>29</v>
      </c>
      <c r="G776">
        <v>3</v>
      </c>
      <c r="H776">
        <v>1</v>
      </c>
      <c r="I776" t="s">
        <v>19</v>
      </c>
      <c r="J776">
        <v>16756</v>
      </c>
      <c r="K776">
        <v>7</v>
      </c>
      <c r="L776">
        <v>4</v>
      </c>
      <c r="M776">
        <v>9</v>
      </c>
      <c r="N776" t="s">
        <v>25</v>
      </c>
      <c r="O776" t="s">
        <v>33</v>
      </c>
      <c r="P776">
        <v>76313034</v>
      </c>
    </row>
    <row r="777" spans="1:16" ht="14.25" x14ac:dyDescent="0.2">
      <c r="A777">
        <v>43</v>
      </c>
      <c r="B777" t="s">
        <v>22</v>
      </c>
      <c r="C777" t="s">
        <v>17</v>
      </c>
      <c r="D777">
        <v>25</v>
      </c>
      <c r="E777">
        <v>3</v>
      </c>
      <c r="F777" t="s">
        <v>29</v>
      </c>
      <c r="G777">
        <v>3</v>
      </c>
      <c r="H777">
        <v>4</v>
      </c>
      <c r="I777" t="s">
        <v>30</v>
      </c>
      <c r="J777">
        <v>10798</v>
      </c>
      <c r="K777">
        <v>5</v>
      </c>
      <c r="L777">
        <v>3</v>
      </c>
      <c r="M777">
        <v>1</v>
      </c>
      <c r="N777" t="s">
        <v>25</v>
      </c>
      <c r="O777" t="s">
        <v>21</v>
      </c>
      <c r="P777">
        <v>13744607</v>
      </c>
    </row>
    <row r="778" spans="1:16" ht="14.25" x14ac:dyDescent="0.2">
      <c r="A778">
        <v>20</v>
      </c>
      <c r="B778" t="s">
        <v>16</v>
      </c>
      <c r="C778" t="s">
        <v>17</v>
      </c>
      <c r="D778">
        <v>9</v>
      </c>
      <c r="E778">
        <v>3</v>
      </c>
      <c r="F778" t="s">
        <v>36</v>
      </c>
      <c r="G778">
        <v>4</v>
      </c>
      <c r="H778">
        <v>4</v>
      </c>
      <c r="I778" t="s">
        <v>19</v>
      </c>
      <c r="J778">
        <v>2323</v>
      </c>
      <c r="K778">
        <v>1</v>
      </c>
      <c r="L778">
        <v>3</v>
      </c>
      <c r="M778">
        <v>2</v>
      </c>
      <c r="N778" t="s">
        <v>20</v>
      </c>
      <c r="O778" t="s">
        <v>34</v>
      </c>
      <c r="P778">
        <v>52556922</v>
      </c>
    </row>
    <row r="779" spans="1:16" ht="14.25" x14ac:dyDescent="0.2">
      <c r="A779">
        <v>21</v>
      </c>
      <c r="B779" t="s">
        <v>16</v>
      </c>
      <c r="C779" t="s">
        <v>23</v>
      </c>
      <c r="D779">
        <v>10</v>
      </c>
      <c r="E779">
        <v>3</v>
      </c>
      <c r="F779" t="s">
        <v>18</v>
      </c>
      <c r="G779">
        <v>3</v>
      </c>
      <c r="H779">
        <v>1</v>
      </c>
      <c r="I779" t="s">
        <v>19</v>
      </c>
      <c r="J779">
        <v>1416</v>
      </c>
      <c r="K779">
        <v>1</v>
      </c>
      <c r="L779">
        <v>2</v>
      </c>
      <c r="M779">
        <v>1</v>
      </c>
      <c r="N779" t="s">
        <v>20</v>
      </c>
      <c r="O779" t="s">
        <v>28</v>
      </c>
      <c r="P779">
        <v>47416210</v>
      </c>
    </row>
    <row r="780" spans="1:16" ht="14.25" x14ac:dyDescent="0.2">
      <c r="A780">
        <v>46</v>
      </c>
      <c r="B780" t="s">
        <v>22</v>
      </c>
      <c r="C780" t="s">
        <v>23</v>
      </c>
      <c r="D780">
        <v>8</v>
      </c>
      <c r="E780">
        <v>4</v>
      </c>
      <c r="F780" t="s">
        <v>18</v>
      </c>
      <c r="G780">
        <v>4</v>
      </c>
      <c r="H780">
        <v>1</v>
      </c>
      <c r="I780" t="s">
        <v>30</v>
      </c>
      <c r="J780">
        <v>4615</v>
      </c>
      <c r="K780">
        <v>8</v>
      </c>
      <c r="L780">
        <v>3</v>
      </c>
      <c r="M780">
        <v>16</v>
      </c>
      <c r="N780" t="s">
        <v>20</v>
      </c>
      <c r="O780" t="s">
        <v>26</v>
      </c>
      <c r="P780">
        <v>42576855</v>
      </c>
    </row>
    <row r="781" spans="1:16" ht="14.25" x14ac:dyDescent="0.2">
      <c r="A781">
        <v>51</v>
      </c>
      <c r="B781" t="s">
        <v>16</v>
      </c>
      <c r="C781" t="s">
        <v>23</v>
      </c>
      <c r="D781">
        <v>4</v>
      </c>
      <c r="E781">
        <v>4</v>
      </c>
      <c r="F781" t="s">
        <v>18</v>
      </c>
      <c r="G781">
        <v>1</v>
      </c>
      <c r="H781">
        <v>3</v>
      </c>
      <c r="I781" t="s">
        <v>24</v>
      </c>
      <c r="J781">
        <v>2461</v>
      </c>
      <c r="K781">
        <v>9</v>
      </c>
      <c r="L781">
        <v>4</v>
      </c>
      <c r="M781">
        <v>10</v>
      </c>
      <c r="N781" t="s">
        <v>25</v>
      </c>
      <c r="O781" t="s">
        <v>26</v>
      </c>
      <c r="P781">
        <v>88505691</v>
      </c>
    </row>
    <row r="782" spans="1:16" ht="14.25" x14ac:dyDescent="0.2">
      <c r="A782">
        <v>28</v>
      </c>
      <c r="B782" t="s">
        <v>16</v>
      </c>
      <c r="C782" t="s">
        <v>23</v>
      </c>
      <c r="D782">
        <v>24</v>
      </c>
      <c r="E782">
        <v>2</v>
      </c>
      <c r="F782" t="s">
        <v>37</v>
      </c>
      <c r="G782">
        <v>2</v>
      </c>
      <c r="H782">
        <v>1</v>
      </c>
      <c r="I782" t="s">
        <v>19</v>
      </c>
      <c r="J782">
        <v>8722</v>
      </c>
      <c r="K782">
        <v>1</v>
      </c>
      <c r="L782">
        <v>2</v>
      </c>
      <c r="M782">
        <v>10</v>
      </c>
      <c r="N782" t="s">
        <v>25</v>
      </c>
      <c r="O782" t="s">
        <v>32</v>
      </c>
      <c r="P782">
        <v>55181939</v>
      </c>
    </row>
    <row r="783" spans="1:16" ht="14.25" x14ac:dyDescent="0.2">
      <c r="A783">
        <v>26</v>
      </c>
      <c r="B783" t="s">
        <v>22</v>
      </c>
      <c r="C783" t="s">
        <v>23</v>
      </c>
      <c r="D783">
        <v>1</v>
      </c>
      <c r="E783">
        <v>2</v>
      </c>
      <c r="F783" t="s">
        <v>29</v>
      </c>
      <c r="G783">
        <v>1</v>
      </c>
      <c r="H783">
        <v>1</v>
      </c>
      <c r="I783" t="s">
        <v>24</v>
      </c>
      <c r="J783">
        <v>3955</v>
      </c>
      <c r="K783">
        <v>1</v>
      </c>
      <c r="L783">
        <v>3</v>
      </c>
      <c r="M783">
        <v>5</v>
      </c>
      <c r="N783" t="s">
        <v>25</v>
      </c>
      <c r="O783" t="s">
        <v>28</v>
      </c>
      <c r="P783">
        <v>42276217</v>
      </c>
    </row>
    <row r="784" spans="1:16" ht="14.25" x14ac:dyDescent="0.2">
      <c r="A784">
        <v>30</v>
      </c>
      <c r="B784" t="s">
        <v>22</v>
      </c>
      <c r="C784" t="s">
        <v>23</v>
      </c>
      <c r="D784">
        <v>20</v>
      </c>
      <c r="E784">
        <v>3</v>
      </c>
      <c r="F784" t="s">
        <v>27</v>
      </c>
      <c r="G784">
        <v>3</v>
      </c>
      <c r="H784">
        <v>1</v>
      </c>
      <c r="I784" t="s">
        <v>24</v>
      </c>
      <c r="J784">
        <v>9957</v>
      </c>
      <c r="K784">
        <v>0</v>
      </c>
      <c r="L784">
        <v>2</v>
      </c>
      <c r="M784">
        <v>6</v>
      </c>
      <c r="N784" t="s">
        <v>25</v>
      </c>
      <c r="O784" t="s">
        <v>31</v>
      </c>
      <c r="P784">
        <v>66058372</v>
      </c>
    </row>
    <row r="785" spans="1:16" ht="14.25" x14ac:dyDescent="0.2">
      <c r="A785">
        <v>41</v>
      </c>
      <c r="B785" t="s">
        <v>22</v>
      </c>
      <c r="C785" t="s">
        <v>23</v>
      </c>
      <c r="D785">
        <v>7</v>
      </c>
      <c r="E785">
        <v>2</v>
      </c>
      <c r="F785" t="s">
        <v>37</v>
      </c>
      <c r="G785">
        <v>2</v>
      </c>
      <c r="H785">
        <v>3</v>
      </c>
      <c r="I785" t="s">
        <v>24</v>
      </c>
      <c r="J785">
        <v>3376</v>
      </c>
      <c r="K785">
        <v>1</v>
      </c>
      <c r="L785">
        <v>3</v>
      </c>
      <c r="M785">
        <v>10</v>
      </c>
      <c r="N785" t="s">
        <v>20</v>
      </c>
      <c r="O785" t="s">
        <v>26</v>
      </c>
      <c r="P785">
        <v>82177102</v>
      </c>
    </row>
    <row r="786" spans="1:16" ht="14.25" x14ac:dyDescent="0.2">
      <c r="A786">
        <v>38</v>
      </c>
      <c r="B786" t="s">
        <v>22</v>
      </c>
      <c r="C786" t="s">
        <v>23</v>
      </c>
      <c r="D786">
        <v>17</v>
      </c>
      <c r="E786">
        <v>1</v>
      </c>
      <c r="F786" t="s">
        <v>18</v>
      </c>
      <c r="G786">
        <v>3</v>
      </c>
      <c r="H786">
        <v>3</v>
      </c>
      <c r="I786" t="s">
        <v>24</v>
      </c>
      <c r="J786">
        <v>8823</v>
      </c>
      <c r="K786">
        <v>0</v>
      </c>
      <c r="L786">
        <v>2</v>
      </c>
      <c r="M786">
        <v>19</v>
      </c>
      <c r="N786" t="s">
        <v>20</v>
      </c>
      <c r="O786" t="s">
        <v>32</v>
      </c>
      <c r="P786">
        <v>33885669</v>
      </c>
    </row>
    <row r="787" spans="1:16" ht="14.25" x14ac:dyDescent="0.2">
      <c r="A787">
        <v>40</v>
      </c>
      <c r="B787" t="s">
        <v>22</v>
      </c>
      <c r="C787" t="s">
        <v>23</v>
      </c>
      <c r="D787">
        <v>20</v>
      </c>
      <c r="E787">
        <v>4</v>
      </c>
      <c r="F787" t="s">
        <v>37</v>
      </c>
      <c r="G787">
        <v>1</v>
      </c>
      <c r="H787">
        <v>4</v>
      </c>
      <c r="I787" t="s">
        <v>24</v>
      </c>
      <c r="J787">
        <v>10322</v>
      </c>
      <c r="K787">
        <v>4</v>
      </c>
      <c r="L787">
        <v>3</v>
      </c>
      <c r="M787">
        <v>11</v>
      </c>
      <c r="N787" t="s">
        <v>25</v>
      </c>
      <c r="O787" t="s">
        <v>32</v>
      </c>
      <c r="P787">
        <v>52017523</v>
      </c>
    </row>
    <row r="788" spans="1:16" ht="14.25" x14ac:dyDescent="0.2">
      <c r="A788">
        <v>27</v>
      </c>
      <c r="B788" t="s">
        <v>22</v>
      </c>
      <c r="C788" t="s">
        <v>23</v>
      </c>
      <c r="D788">
        <v>8</v>
      </c>
      <c r="E788">
        <v>5</v>
      </c>
      <c r="F788" t="s">
        <v>18</v>
      </c>
      <c r="G788">
        <v>1</v>
      </c>
      <c r="H788">
        <v>3</v>
      </c>
      <c r="I788" t="s">
        <v>24</v>
      </c>
      <c r="J788">
        <v>4621</v>
      </c>
      <c r="K788">
        <v>1</v>
      </c>
      <c r="L788">
        <v>3</v>
      </c>
      <c r="M788">
        <v>3</v>
      </c>
      <c r="N788" t="s">
        <v>25</v>
      </c>
      <c r="O788" t="s">
        <v>28</v>
      </c>
      <c r="P788">
        <v>53472468</v>
      </c>
    </row>
    <row r="789" spans="1:16" ht="14.25" x14ac:dyDescent="0.2">
      <c r="A789">
        <v>55</v>
      </c>
      <c r="B789" t="s">
        <v>22</v>
      </c>
      <c r="C789" t="s">
        <v>23</v>
      </c>
      <c r="D789">
        <v>2</v>
      </c>
      <c r="E789">
        <v>1</v>
      </c>
      <c r="F789" t="s">
        <v>18</v>
      </c>
      <c r="G789">
        <v>4</v>
      </c>
      <c r="H789">
        <v>2</v>
      </c>
      <c r="I789" t="s">
        <v>24</v>
      </c>
      <c r="J789">
        <v>10976</v>
      </c>
      <c r="K789">
        <v>3</v>
      </c>
      <c r="L789">
        <v>3</v>
      </c>
      <c r="M789">
        <v>3</v>
      </c>
      <c r="N789" t="s">
        <v>25</v>
      </c>
      <c r="O789" t="s">
        <v>31</v>
      </c>
      <c r="P789">
        <v>70789306</v>
      </c>
    </row>
    <row r="790" spans="1:16" ht="14.25" x14ac:dyDescent="0.2">
      <c r="A790">
        <v>28</v>
      </c>
      <c r="B790" t="s">
        <v>22</v>
      </c>
      <c r="C790" t="s">
        <v>23</v>
      </c>
      <c r="D790">
        <v>10</v>
      </c>
      <c r="E790">
        <v>3</v>
      </c>
      <c r="F790" t="s">
        <v>27</v>
      </c>
      <c r="G790">
        <v>3</v>
      </c>
      <c r="H790">
        <v>3</v>
      </c>
      <c r="I790" t="s">
        <v>19</v>
      </c>
      <c r="J790">
        <v>3660</v>
      </c>
      <c r="K790">
        <v>3</v>
      </c>
      <c r="L790">
        <v>4</v>
      </c>
      <c r="M790">
        <v>8</v>
      </c>
      <c r="N790" t="s">
        <v>20</v>
      </c>
      <c r="O790" t="s">
        <v>26</v>
      </c>
      <c r="P790">
        <v>86025067</v>
      </c>
    </row>
    <row r="791" spans="1:16" ht="14.25" x14ac:dyDescent="0.2">
      <c r="A791">
        <v>44</v>
      </c>
      <c r="B791" t="s">
        <v>16</v>
      </c>
      <c r="C791" t="s">
        <v>38</v>
      </c>
      <c r="D791">
        <v>1</v>
      </c>
      <c r="E791">
        <v>2</v>
      </c>
      <c r="F791" t="s">
        <v>29</v>
      </c>
      <c r="G791">
        <v>2</v>
      </c>
      <c r="H791">
        <v>1</v>
      </c>
      <c r="I791" t="s">
        <v>24</v>
      </c>
      <c r="J791">
        <v>10482</v>
      </c>
      <c r="K791">
        <v>9</v>
      </c>
      <c r="L791">
        <v>3</v>
      </c>
      <c r="M791">
        <v>20</v>
      </c>
      <c r="N791" t="s">
        <v>25</v>
      </c>
      <c r="O791" t="s">
        <v>38</v>
      </c>
      <c r="P791">
        <v>39037305</v>
      </c>
    </row>
    <row r="792" spans="1:16" ht="14.25" x14ac:dyDescent="0.2">
      <c r="A792">
        <v>33</v>
      </c>
      <c r="B792" t="s">
        <v>22</v>
      </c>
      <c r="C792" t="s">
        <v>23</v>
      </c>
      <c r="D792">
        <v>5</v>
      </c>
      <c r="E792">
        <v>3</v>
      </c>
      <c r="F792" t="s">
        <v>18</v>
      </c>
      <c r="G792">
        <v>4</v>
      </c>
      <c r="H792">
        <v>4</v>
      </c>
      <c r="I792" t="s">
        <v>30</v>
      </c>
      <c r="J792">
        <v>7119</v>
      </c>
      <c r="K792">
        <v>4</v>
      </c>
      <c r="L792">
        <v>3</v>
      </c>
      <c r="M792">
        <v>3</v>
      </c>
      <c r="N792" t="s">
        <v>25</v>
      </c>
      <c r="O792" t="s">
        <v>32</v>
      </c>
      <c r="P792">
        <v>81012629</v>
      </c>
    </row>
    <row r="793" spans="1:16" ht="14.25" x14ac:dyDescent="0.2">
      <c r="A793">
        <v>35</v>
      </c>
      <c r="B793" t="s">
        <v>16</v>
      </c>
      <c r="C793" t="s">
        <v>17</v>
      </c>
      <c r="D793">
        <v>4</v>
      </c>
      <c r="E793">
        <v>3</v>
      </c>
      <c r="F793" t="s">
        <v>37</v>
      </c>
      <c r="G793">
        <v>4</v>
      </c>
      <c r="H793">
        <v>1</v>
      </c>
      <c r="I793" t="s">
        <v>19</v>
      </c>
      <c r="J793">
        <v>9582</v>
      </c>
      <c r="K793">
        <v>0</v>
      </c>
      <c r="L793">
        <v>3</v>
      </c>
      <c r="M793">
        <v>8</v>
      </c>
      <c r="N793" t="s">
        <v>25</v>
      </c>
      <c r="O793" t="s">
        <v>21</v>
      </c>
      <c r="P793">
        <v>24809117</v>
      </c>
    </row>
    <row r="794" spans="1:16" ht="14.25" x14ac:dyDescent="0.2">
      <c r="A794">
        <v>33</v>
      </c>
      <c r="B794" t="s">
        <v>16</v>
      </c>
      <c r="C794" t="s">
        <v>23</v>
      </c>
      <c r="D794">
        <v>29</v>
      </c>
      <c r="E794">
        <v>4</v>
      </c>
      <c r="F794" t="s">
        <v>29</v>
      </c>
      <c r="G794">
        <v>1</v>
      </c>
      <c r="H794">
        <v>3</v>
      </c>
      <c r="I794" t="s">
        <v>19</v>
      </c>
      <c r="J794">
        <v>4508</v>
      </c>
      <c r="K794">
        <v>1</v>
      </c>
      <c r="L794">
        <v>3</v>
      </c>
      <c r="M794">
        <v>13</v>
      </c>
      <c r="N794" t="s">
        <v>20</v>
      </c>
      <c r="O794" t="s">
        <v>26</v>
      </c>
      <c r="P794">
        <v>85779213</v>
      </c>
    </row>
    <row r="795" spans="1:16" ht="14.25" x14ac:dyDescent="0.2">
      <c r="A795">
        <v>28</v>
      </c>
      <c r="B795" t="s">
        <v>22</v>
      </c>
      <c r="C795" t="s">
        <v>23</v>
      </c>
      <c r="D795">
        <v>15</v>
      </c>
      <c r="E795">
        <v>2</v>
      </c>
      <c r="F795" t="s">
        <v>18</v>
      </c>
      <c r="G795">
        <v>1</v>
      </c>
      <c r="H795">
        <v>3</v>
      </c>
      <c r="I795" t="s">
        <v>30</v>
      </c>
      <c r="J795">
        <v>2207</v>
      </c>
      <c r="K795">
        <v>1</v>
      </c>
      <c r="L795">
        <v>2</v>
      </c>
      <c r="M795">
        <v>4</v>
      </c>
      <c r="N795" t="s">
        <v>25</v>
      </c>
      <c r="O795" t="s">
        <v>28</v>
      </c>
      <c r="P795">
        <v>28906976</v>
      </c>
    </row>
    <row r="796" spans="1:16" ht="14.25" x14ac:dyDescent="0.2">
      <c r="A796">
        <v>34</v>
      </c>
      <c r="B796" t="s">
        <v>22</v>
      </c>
      <c r="C796" t="s">
        <v>23</v>
      </c>
      <c r="D796">
        <v>3</v>
      </c>
      <c r="E796">
        <v>1</v>
      </c>
      <c r="F796" t="s">
        <v>18</v>
      </c>
      <c r="G796">
        <v>1</v>
      </c>
      <c r="H796">
        <v>4</v>
      </c>
      <c r="I796" t="s">
        <v>19</v>
      </c>
      <c r="J796">
        <v>7756</v>
      </c>
      <c r="K796">
        <v>0</v>
      </c>
      <c r="L796">
        <v>2</v>
      </c>
      <c r="M796">
        <v>6</v>
      </c>
      <c r="N796" t="s">
        <v>25</v>
      </c>
      <c r="O796" t="s">
        <v>32</v>
      </c>
      <c r="P796">
        <v>37613246</v>
      </c>
    </row>
    <row r="797" spans="1:16" ht="14.25" x14ac:dyDescent="0.2">
      <c r="A797">
        <v>37</v>
      </c>
      <c r="B797" t="s">
        <v>22</v>
      </c>
      <c r="C797" t="s">
        <v>17</v>
      </c>
      <c r="D797">
        <v>10</v>
      </c>
      <c r="E797">
        <v>4</v>
      </c>
      <c r="F797" t="s">
        <v>18</v>
      </c>
      <c r="G797">
        <v>4</v>
      </c>
      <c r="H797">
        <v>4</v>
      </c>
      <c r="I797" t="s">
        <v>30</v>
      </c>
      <c r="J797">
        <v>6694</v>
      </c>
      <c r="K797">
        <v>2</v>
      </c>
      <c r="L797">
        <v>3</v>
      </c>
      <c r="M797">
        <v>1</v>
      </c>
      <c r="N797" t="s">
        <v>20</v>
      </c>
      <c r="O797" t="s">
        <v>21</v>
      </c>
      <c r="P797">
        <v>38603547</v>
      </c>
    </row>
    <row r="798" spans="1:16" ht="14.25" x14ac:dyDescent="0.2">
      <c r="A798">
        <v>25</v>
      </c>
      <c r="B798" t="s">
        <v>16</v>
      </c>
      <c r="C798" t="s">
        <v>23</v>
      </c>
      <c r="D798">
        <v>4</v>
      </c>
      <c r="E798">
        <v>1</v>
      </c>
      <c r="F798" t="s">
        <v>37</v>
      </c>
      <c r="G798">
        <v>4</v>
      </c>
      <c r="H798">
        <v>4</v>
      </c>
      <c r="I798" t="s">
        <v>24</v>
      </c>
      <c r="J798">
        <v>3691</v>
      </c>
      <c r="K798">
        <v>1</v>
      </c>
      <c r="L798">
        <v>4</v>
      </c>
      <c r="M798">
        <v>7</v>
      </c>
      <c r="N798" t="s">
        <v>25</v>
      </c>
      <c r="O798" t="s">
        <v>28</v>
      </c>
      <c r="P798">
        <v>58688925</v>
      </c>
    </row>
    <row r="799" spans="1:16" ht="14.25" x14ac:dyDescent="0.2">
      <c r="A799">
        <v>26</v>
      </c>
      <c r="B799" t="s">
        <v>16</v>
      </c>
      <c r="C799" t="s">
        <v>23</v>
      </c>
      <c r="D799">
        <v>21</v>
      </c>
      <c r="E799">
        <v>3</v>
      </c>
      <c r="F799" t="s">
        <v>29</v>
      </c>
      <c r="G799">
        <v>1</v>
      </c>
      <c r="H799">
        <v>3</v>
      </c>
      <c r="I799" t="s">
        <v>30</v>
      </c>
      <c r="J799">
        <v>2377</v>
      </c>
      <c r="K799">
        <v>1</v>
      </c>
      <c r="L799">
        <v>2</v>
      </c>
      <c r="M799">
        <v>1</v>
      </c>
      <c r="N799" t="s">
        <v>25</v>
      </c>
      <c r="O799" t="s">
        <v>28</v>
      </c>
      <c r="P799">
        <v>41886821</v>
      </c>
    </row>
    <row r="800" spans="1:16" ht="14.25" x14ac:dyDescent="0.2">
      <c r="A800">
        <v>33</v>
      </c>
      <c r="B800" t="s">
        <v>16</v>
      </c>
      <c r="C800" t="s">
        <v>23</v>
      </c>
      <c r="D800">
        <v>25</v>
      </c>
      <c r="E800">
        <v>3</v>
      </c>
      <c r="F800" t="s">
        <v>29</v>
      </c>
      <c r="G800">
        <v>1</v>
      </c>
      <c r="H800">
        <v>2</v>
      </c>
      <c r="I800" t="s">
        <v>19</v>
      </c>
      <c r="J800">
        <v>2313</v>
      </c>
      <c r="K800">
        <v>4</v>
      </c>
      <c r="L800">
        <v>3</v>
      </c>
      <c r="M800">
        <v>2</v>
      </c>
      <c r="N800" t="s">
        <v>25</v>
      </c>
      <c r="O800" t="s">
        <v>26</v>
      </c>
      <c r="P800">
        <v>36008161</v>
      </c>
    </row>
    <row r="801" spans="1:16" ht="14.25" x14ac:dyDescent="0.2">
      <c r="A801">
        <v>42</v>
      </c>
      <c r="B801" t="s">
        <v>22</v>
      </c>
      <c r="C801" t="s">
        <v>23</v>
      </c>
      <c r="D801">
        <v>2</v>
      </c>
      <c r="E801">
        <v>2</v>
      </c>
      <c r="F801" t="s">
        <v>29</v>
      </c>
      <c r="G801">
        <v>4</v>
      </c>
      <c r="H801">
        <v>1</v>
      </c>
      <c r="I801" t="s">
        <v>24</v>
      </c>
      <c r="J801">
        <v>17665</v>
      </c>
      <c r="K801">
        <v>0</v>
      </c>
      <c r="L801">
        <v>3</v>
      </c>
      <c r="M801">
        <v>22</v>
      </c>
      <c r="N801" t="s">
        <v>25</v>
      </c>
      <c r="O801" t="s">
        <v>33</v>
      </c>
      <c r="P801">
        <v>23387566</v>
      </c>
    </row>
    <row r="802" spans="1:16" ht="14.25" x14ac:dyDescent="0.2">
      <c r="A802">
        <v>28</v>
      </c>
      <c r="B802" t="s">
        <v>16</v>
      </c>
      <c r="C802" t="s">
        <v>23</v>
      </c>
      <c r="D802">
        <v>1</v>
      </c>
      <c r="E802">
        <v>3</v>
      </c>
      <c r="F802" t="s">
        <v>29</v>
      </c>
      <c r="G802">
        <v>1</v>
      </c>
      <c r="H802">
        <v>2</v>
      </c>
      <c r="I802" t="s">
        <v>30</v>
      </c>
      <c r="J802">
        <v>2596</v>
      </c>
      <c r="K802">
        <v>1</v>
      </c>
      <c r="L802">
        <v>3</v>
      </c>
      <c r="M802">
        <v>1</v>
      </c>
      <c r="N802" t="s">
        <v>25</v>
      </c>
      <c r="O802" t="s">
        <v>28</v>
      </c>
      <c r="P802">
        <v>43629790</v>
      </c>
    </row>
    <row r="803" spans="1:16" ht="14.25" x14ac:dyDescent="0.2">
      <c r="A803">
        <v>50</v>
      </c>
      <c r="B803" t="s">
        <v>16</v>
      </c>
      <c r="C803" t="s">
        <v>17</v>
      </c>
      <c r="D803">
        <v>1</v>
      </c>
      <c r="E803">
        <v>4</v>
      </c>
      <c r="F803" t="s">
        <v>27</v>
      </c>
      <c r="G803">
        <v>4</v>
      </c>
      <c r="H803">
        <v>3</v>
      </c>
      <c r="I803" t="s">
        <v>19</v>
      </c>
      <c r="J803">
        <v>4728</v>
      </c>
      <c r="K803">
        <v>3</v>
      </c>
      <c r="L803">
        <v>3</v>
      </c>
      <c r="M803">
        <v>0</v>
      </c>
      <c r="N803" t="s">
        <v>25</v>
      </c>
      <c r="O803" t="s">
        <v>21</v>
      </c>
      <c r="P803">
        <v>31820360</v>
      </c>
    </row>
    <row r="804" spans="1:16" ht="14.25" x14ac:dyDescent="0.2">
      <c r="A804">
        <v>33</v>
      </c>
      <c r="B804" t="s">
        <v>22</v>
      </c>
      <c r="C804" t="s">
        <v>17</v>
      </c>
      <c r="D804">
        <v>7</v>
      </c>
      <c r="E804">
        <v>3</v>
      </c>
      <c r="F804" t="s">
        <v>18</v>
      </c>
      <c r="G804">
        <v>4</v>
      </c>
      <c r="H804">
        <v>2</v>
      </c>
      <c r="I804" t="s">
        <v>24</v>
      </c>
      <c r="J804">
        <v>4302</v>
      </c>
      <c r="K804">
        <v>0</v>
      </c>
      <c r="L804">
        <v>3</v>
      </c>
      <c r="M804">
        <v>3</v>
      </c>
      <c r="N804" t="s">
        <v>20</v>
      </c>
      <c r="O804" t="s">
        <v>21</v>
      </c>
      <c r="P804">
        <v>27336110</v>
      </c>
    </row>
    <row r="805" spans="1:16" ht="14.25" x14ac:dyDescent="0.2">
      <c r="A805">
        <v>34</v>
      </c>
      <c r="B805" t="s">
        <v>22</v>
      </c>
      <c r="C805" t="s">
        <v>23</v>
      </c>
      <c r="D805">
        <v>3</v>
      </c>
      <c r="E805">
        <v>4</v>
      </c>
      <c r="F805" t="s">
        <v>18</v>
      </c>
      <c r="G805">
        <v>3</v>
      </c>
      <c r="H805">
        <v>4</v>
      </c>
      <c r="I805" t="s">
        <v>24</v>
      </c>
      <c r="J805">
        <v>2979</v>
      </c>
      <c r="K805">
        <v>3</v>
      </c>
      <c r="L805">
        <v>3</v>
      </c>
      <c r="M805">
        <v>0</v>
      </c>
      <c r="N805" t="s">
        <v>25</v>
      </c>
      <c r="O805" t="s">
        <v>26</v>
      </c>
      <c r="P805">
        <v>42972825</v>
      </c>
    </row>
    <row r="806" spans="1:16" ht="14.25" x14ac:dyDescent="0.2">
      <c r="A806">
        <v>48</v>
      </c>
      <c r="B806" t="s">
        <v>22</v>
      </c>
      <c r="C806" t="s">
        <v>23</v>
      </c>
      <c r="D806">
        <v>1</v>
      </c>
      <c r="E806">
        <v>4</v>
      </c>
      <c r="F806" t="s">
        <v>29</v>
      </c>
      <c r="G806">
        <v>1</v>
      </c>
      <c r="H806">
        <v>4</v>
      </c>
      <c r="I806" t="s">
        <v>19</v>
      </c>
      <c r="J806">
        <v>16885</v>
      </c>
      <c r="K806">
        <v>2</v>
      </c>
      <c r="L806">
        <v>2</v>
      </c>
      <c r="M806">
        <v>5</v>
      </c>
      <c r="N806" t="s">
        <v>25</v>
      </c>
      <c r="O806" t="s">
        <v>33</v>
      </c>
      <c r="P806">
        <v>59521099</v>
      </c>
    </row>
    <row r="807" spans="1:16" ht="14.25" x14ac:dyDescent="0.2">
      <c r="A807">
        <v>45</v>
      </c>
      <c r="B807" t="s">
        <v>22</v>
      </c>
      <c r="C807" t="s">
        <v>17</v>
      </c>
      <c r="D807">
        <v>9</v>
      </c>
      <c r="E807">
        <v>4</v>
      </c>
      <c r="F807" t="s">
        <v>18</v>
      </c>
      <c r="G807">
        <v>2</v>
      </c>
      <c r="H807">
        <v>3</v>
      </c>
      <c r="I807" t="s">
        <v>24</v>
      </c>
      <c r="J807">
        <v>5593</v>
      </c>
      <c r="K807">
        <v>1</v>
      </c>
      <c r="L807">
        <v>3</v>
      </c>
      <c r="M807">
        <v>15</v>
      </c>
      <c r="N807" t="s">
        <v>20</v>
      </c>
      <c r="O807" t="s">
        <v>21</v>
      </c>
      <c r="P807">
        <v>84822439</v>
      </c>
    </row>
    <row r="808" spans="1:16" ht="14.25" x14ac:dyDescent="0.2">
      <c r="A808">
        <v>52</v>
      </c>
      <c r="B808" t="s">
        <v>22</v>
      </c>
      <c r="C808" t="s">
        <v>23</v>
      </c>
      <c r="D808">
        <v>7</v>
      </c>
      <c r="E808">
        <v>4</v>
      </c>
      <c r="F808" t="s">
        <v>18</v>
      </c>
      <c r="G808">
        <v>2</v>
      </c>
      <c r="H808">
        <v>2</v>
      </c>
      <c r="I808" t="s">
        <v>19</v>
      </c>
      <c r="J808">
        <v>10445</v>
      </c>
      <c r="K808">
        <v>7</v>
      </c>
      <c r="L808">
        <v>3</v>
      </c>
      <c r="M808">
        <v>8</v>
      </c>
      <c r="N808" t="s">
        <v>25</v>
      </c>
      <c r="O808" t="s">
        <v>32</v>
      </c>
      <c r="P808">
        <v>78130150</v>
      </c>
    </row>
    <row r="809" spans="1:16" ht="14.25" x14ac:dyDescent="0.2">
      <c r="A809">
        <v>38</v>
      </c>
      <c r="B809" t="s">
        <v>22</v>
      </c>
      <c r="C809" t="s">
        <v>17</v>
      </c>
      <c r="D809">
        <v>10</v>
      </c>
      <c r="E809">
        <v>4</v>
      </c>
      <c r="F809" t="s">
        <v>36</v>
      </c>
      <c r="G809">
        <v>3</v>
      </c>
      <c r="H809">
        <v>3</v>
      </c>
      <c r="I809" t="s">
        <v>30</v>
      </c>
      <c r="J809">
        <v>8740</v>
      </c>
      <c r="K809">
        <v>0</v>
      </c>
      <c r="L809">
        <v>3</v>
      </c>
      <c r="M809">
        <v>8</v>
      </c>
      <c r="N809" t="s">
        <v>25</v>
      </c>
      <c r="O809" t="s">
        <v>21</v>
      </c>
      <c r="P809">
        <v>55921921</v>
      </c>
    </row>
    <row r="810" spans="1:16" ht="14.25" x14ac:dyDescent="0.2">
      <c r="A810">
        <v>29</v>
      </c>
      <c r="B810" t="s">
        <v>22</v>
      </c>
      <c r="C810" t="s">
        <v>23</v>
      </c>
      <c r="D810">
        <v>28</v>
      </c>
      <c r="E810">
        <v>4</v>
      </c>
      <c r="F810" t="s">
        <v>18</v>
      </c>
      <c r="G810">
        <v>3</v>
      </c>
      <c r="H810">
        <v>4</v>
      </c>
      <c r="I810" t="s">
        <v>30</v>
      </c>
      <c r="J810">
        <v>2514</v>
      </c>
      <c r="K810">
        <v>4</v>
      </c>
      <c r="L810">
        <v>3</v>
      </c>
      <c r="M810">
        <v>7</v>
      </c>
      <c r="N810" t="s">
        <v>20</v>
      </c>
      <c r="O810" t="s">
        <v>26</v>
      </c>
      <c r="P810">
        <v>83112661</v>
      </c>
    </row>
    <row r="811" spans="1:16" ht="14.25" x14ac:dyDescent="0.2">
      <c r="A811">
        <v>28</v>
      </c>
      <c r="B811" t="s">
        <v>22</v>
      </c>
      <c r="C811" t="s">
        <v>23</v>
      </c>
      <c r="D811">
        <v>3</v>
      </c>
      <c r="E811">
        <v>3</v>
      </c>
      <c r="F811" t="s">
        <v>29</v>
      </c>
      <c r="G811">
        <v>4</v>
      </c>
      <c r="H811">
        <v>2</v>
      </c>
      <c r="I811" t="s">
        <v>30</v>
      </c>
      <c r="J811">
        <v>7655</v>
      </c>
      <c r="K811">
        <v>0</v>
      </c>
      <c r="L811">
        <v>2</v>
      </c>
      <c r="M811">
        <v>9</v>
      </c>
      <c r="N811" t="s">
        <v>20</v>
      </c>
      <c r="O811" t="s">
        <v>31</v>
      </c>
      <c r="P811">
        <v>36442652</v>
      </c>
    </row>
    <row r="812" spans="1:16" ht="14.25" x14ac:dyDescent="0.2">
      <c r="A812">
        <v>46</v>
      </c>
      <c r="B812" t="s">
        <v>22</v>
      </c>
      <c r="C812" t="s">
        <v>17</v>
      </c>
      <c r="D812">
        <v>3</v>
      </c>
      <c r="E812">
        <v>1</v>
      </c>
      <c r="F812" t="s">
        <v>36</v>
      </c>
      <c r="G812">
        <v>1</v>
      </c>
      <c r="H812">
        <v>3</v>
      </c>
      <c r="I812" t="s">
        <v>24</v>
      </c>
      <c r="J812">
        <v>17465</v>
      </c>
      <c r="K812">
        <v>3</v>
      </c>
      <c r="L812">
        <v>3</v>
      </c>
      <c r="M812">
        <v>12</v>
      </c>
      <c r="N812" t="s">
        <v>25</v>
      </c>
      <c r="O812" t="s">
        <v>33</v>
      </c>
      <c r="P812">
        <v>62947211</v>
      </c>
    </row>
    <row r="813" spans="1:16" ht="14.25" x14ac:dyDescent="0.2">
      <c r="A813">
        <v>38</v>
      </c>
      <c r="B813" t="s">
        <v>22</v>
      </c>
      <c r="C813" t="s">
        <v>17</v>
      </c>
      <c r="D813">
        <v>2</v>
      </c>
      <c r="E813">
        <v>2</v>
      </c>
      <c r="F813" t="s">
        <v>36</v>
      </c>
      <c r="G813">
        <v>4</v>
      </c>
      <c r="H813">
        <v>2</v>
      </c>
      <c r="I813" t="s">
        <v>19</v>
      </c>
      <c r="J813">
        <v>7351</v>
      </c>
      <c r="K813">
        <v>7</v>
      </c>
      <c r="L813">
        <v>3</v>
      </c>
      <c r="M813">
        <v>1</v>
      </c>
      <c r="N813" t="s">
        <v>25</v>
      </c>
      <c r="O813" t="s">
        <v>21</v>
      </c>
      <c r="P813">
        <v>43723094</v>
      </c>
    </row>
    <row r="814" spans="1:16" ht="14.25" x14ac:dyDescent="0.2">
      <c r="A814">
        <v>43</v>
      </c>
      <c r="B814" t="s">
        <v>22</v>
      </c>
      <c r="C814" t="s">
        <v>23</v>
      </c>
      <c r="D814">
        <v>27</v>
      </c>
      <c r="E814">
        <v>3</v>
      </c>
      <c r="F814" t="s">
        <v>18</v>
      </c>
      <c r="G814">
        <v>3</v>
      </c>
      <c r="H814">
        <v>1</v>
      </c>
      <c r="I814" t="s">
        <v>24</v>
      </c>
      <c r="J814">
        <v>10820</v>
      </c>
      <c r="K814">
        <v>8</v>
      </c>
      <c r="L814">
        <v>3</v>
      </c>
      <c r="M814">
        <v>8</v>
      </c>
      <c r="N814" t="s">
        <v>20</v>
      </c>
      <c r="O814" t="s">
        <v>31</v>
      </c>
      <c r="P814">
        <v>29867509</v>
      </c>
    </row>
    <row r="815" spans="1:16" ht="14.25" x14ac:dyDescent="0.2">
      <c r="A815">
        <v>39</v>
      </c>
      <c r="B815" t="s">
        <v>16</v>
      </c>
      <c r="C815" t="s">
        <v>23</v>
      </c>
      <c r="D815">
        <v>2</v>
      </c>
      <c r="E815">
        <v>3</v>
      </c>
      <c r="F815" t="s">
        <v>18</v>
      </c>
      <c r="G815">
        <v>1</v>
      </c>
      <c r="H815">
        <v>4</v>
      </c>
      <c r="I815" t="s">
        <v>30</v>
      </c>
      <c r="J815">
        <v>12169</v>
      </c>
      <c r="K815">
        <v>7</v>
      </c>
      <c r="L815">
        <v>3</v>
      </c>
      <c r="M815">
        <v>18</v>
      </c>
      <c r="N815" t="s">
        <v>25</v>
      </c>
      <c r="O815" t="s">
        <v>32</v>
      </c>
      <c r="P815">
        <v>57325658</v>
      </c>
    </row>
    <row r="816" spans="1:16" ht="14.25" x14ac:dyDescent="0.2">
      <c r="A816">
        <v>40</v>
      </c>
      <c r="B816" t="s">
        <v>22</v>
      </c>
      <c r="C816" t="s">
        <v>23</v>
      </c>
      <c r="D816">
        <v>14</v>
      </c>
      <c r="E816">
        <v>3</v>
      </c>
      <c r="F816" t="s">
        <v>29</v>
      </c>
      <c r="G816">
        <v>3</v>
      </c>
      <c r="H816">
        <v>3</v>
      </c>
      <c r="I816" t="s">
        <v>19</v>
      </c>
      <c r="J816">
        <v>19626</v>
      </c>
      <c r="K816">
        <v>1</v>
      </c>
      <c r="L816">
        <v>4</v>
      </c>
      <c r="M816">
        <v>20</v>
      </c>
      <c r="N816" t="s">
        <v>25</v>
      </c>
      <c r="O816" t="s">
        <v>35</v>
      </c>
      <c r="P816">
        <v>21460751</v>
      </c>
    </row>
    <row r="817" spans="1:16" ht="14.25" x14ac:dyDescent="0.2">
      <c r="A817">
        <v>21</v>
      </c>
      <c r="B817" t="s">
        <v>22</v>
      </c>
      <c r="C817" t="s">
        <v>23</v>
      </c>
      <c r="D817">
        <v>1</v>
      </c>
      <c r="E817">
        <v>1</v>
      </c>
      <c r="F817" t="s">
        <v>37</v>
      </c>
      <c r="G817">
        <v>4</v>
      </c>
      <c r="H817">
        <v>2</v>
      </c>
      <c r="I817" t="s">
        <v>19</v>
      </c>
      <c r="J817">
        <v>2070</v>
      </c>
      <c r="K817">
        <v>1</v>
      </c>
      <c r="L817">
        <v>4</v>
      </c>
      <c r="M817">
        <v>2</v>
      </c>
      <c r="N817" t="s">
        <v>20</v>
      </c>
      <c r="O817" t="s">
        <v>26</v>
      </c>
      <c r="P817">
        <v>52729539</v>
      </c>
    </row>
    <row r="818" spans="1:16" ht="14.25" x14ac:dyDescent="0.2">
      <c r="A818">
        <v>39</v>
      </c>
      <c r="B818" t="s">
        <v>22</v>
      </c>
      <c r="C818" t="s">
        <v>23</v>
      </c>
      <c r="D818">
        <v>9</v>
      </c>
      <c r="E818">
        <v>3</v>
      </c>
      <c r="F818" t="s">
        <v>18</v>
      </c>
      <c r="G818">
        <v>3</v>
      </c>
      <c r="H818">
        <v>2</v>
      </c>
      <c r="I818" t="s">
        <v>19</v>
      </c>
      <c r="J818">
        <v>6782</v>
      </c>
      <c r="K818">
        <v>9</v>
      </c>
      <c r="L818">
        <v>2</v>
      </c>
      <c r="M818">
        <v>5</v>
      </c>
      <c r="N818" t="s">
        <v>25</v>
      </c>
      <c r="O818" t="s">
        <v>28</v>
      </c>
      <c r="P818">
        <v>55170594</v>
      </c>
    </row>
    <row r="819" spans="1:16" ht="14.25" x14ac:dyDescent="0.2">
      <c r="A819">
        <v>36</v>
      </c>
      <c r="B819" t="s">
        <v>22</v>
      </c>
      <c r="C819" t="s">
        <v>23</v>
      </c>
      <c r="D819">
        <v>18</v>
      </c>
      <c r="E819">
        <v>4</v>
      </c>
      <c r="F819" t="s">
        <v>18</v>
      </c>
      <c r="G819">
        <v>1</v>
      </c>
      <c r="H819">
        <v>4</v>
      </c>
      <c r="I819" t="s">
        <v>19</v>
      </c>
      <c r="J819">
        <v>7779</v>
      </c>
      <c r="K819">
        <v>2</v>
      </c>
      <c r="L819">
        <v>3</v>
      </c>
      <c r="M819">
        <v>11</v>
      </c>
      <c r="N819" t="s">
        <v>25</v>
      </c>
      <c r="O819" t="s">
        <v>31</v>
      </c>
      <c r="P819">
        <v>73968703</v>
      </c>
    </row>
    <row r="820" spans="1:16" ht="14.25" x14ac:dyDescent="0.2">
      <c r="A820">
        <v>31</v>
      </c>
      <c r="B820" t="s">
        <v>22</v>
      </c>
      <c r="C820" t="s">
        <v>17</v>
      </c>
      <c r="D820">
        <v>20</v>
      </c>
      <c r="E820">
        <v>3</v>
      </c>
      <c r="F820" t="s">
        <v>18</v>
      </c>
      <c r="G820">
        <v>3</v>
      </c>
      <c r="H820">
        <v>4</v>
      </c>
      <c r="I820" t="s">
        <v>24</v>
      </c>
      <c r="J820">
        <v>2791</v>
      </c>
      <c r="K820">
        <v>0</v>
      </c>
      <c r="L820">
        <v>3</v>
      </c>
      <c r="M820">
        <v>2</v>
      </c>
      <c r="N820" t="s">
        <v>25</v>
      </c>
      <c r="O820" t="s">
        <v>34</v>
      </c>
      <c r="P820">
        <v>36688619</v>
      </c>
    </row>
    <row r="821" spans="1:16" ht="14.25" x14ac:dyDescent="0.2">
      <c r="A821">
        <v>28</v>
      </c>
      <c r="B821" t="s">
        <v>22</v>
      </c>
      <c r="C821" t="s">
        <v>23</v>
      </c>
      <c r="D821">
        <v>2</v>
      </c>
      <c r="E821">
        <v>1</v>
      </c>
      <c r="F821" t="s">
        <v>18</v>
      </c>
      <c r="G821">
        <v>1</v>
      </c>
      <c r="H821">
        <v>2</v>
      </c>
      <c r="I821" t="s">
        <v>24</v>
      </c>
      <c r="J821">
        <v>3201</v>
      </c>
      <c r="K821">
        <v>0</v>
      </c>
      <c r="L821">
        <v>1</v>
      </c>
      <c r="M821">
        <v>5</v>
      </c>
      <c r="N821" t="s">
        <v>25</v>
      </c>
      <c r="O821" t="s">
        <v>26</v>
      </c>
      <c r="P821">
        <v>66323379</v>
      </c>
    </row>
    <row r="822" spans="1:16" ht="14.25" x14ac:dyDescent="0.2">
      <c r="A822">
        <v>35</v>
      </c>
      <c r="B822" t="s">
        <v>22</v>
      </c>
      <c r="C822" t="s">
        <v>17</v>
      </c>
      <c r="D822">
        <v>11</v>
      </c>
      <c r="E822">
        <v>2</v>
      </c>
      <c r="F822" t="s">
        <v>36</v>
      </c>
      <c r="G822">
        <v>4</v>
      </c>
      <c r="H822">
        <v>4</v>
      </c>
      <c r="I822" t="s">
        <v>30</v>
      </c>
      <c r="J822">
        <v>4968</v>
      </c>
      <c r="K822">
        <v>1</v>
      </c>
      <c r="L822">
        <v>3</v>
      </c>
      <c r="M822">
        <v>5</v>
      </c>
      <c r="N822" t="s">
        <v>25</v>
      </c>
      <c r="O822" t="s">
        <v>21</v>
      </c>
      <c r="P822">
        <v>15101277</v>
      </c>
    </row>
    <row r="823" spans="1:16" ht="14.25" x14ac:dyDescent="0.2">
      <c r="A823">
        <v>49</v>
      </c>
      <c r="B823" t="s">
        <v>22</v>
      </c>
      <c r="C823" t="s">
        <v>17</v>
      </c>
      <c r="D823">
        <v>8</v>
      </c>
      <c r="E823">
        <v>4</v>
      </c>
      <c r="F823" t="s">
        <v>37</v>
      </c>
      <c r="G823">
        <v>4</v>
      </c>
      <c r="H823">
        <v>2</v>
      </c>
      <c r="I823" t="s">
        <v>24</v>
      </c>
      <c r="J823">
        <v>13120</v>
      </c>
      <c r="K823">
        <v>6</v>
      </c>
      <c r="L823">
        <v>3</v>
      </c>
      <c r="M823">
        <v>9</v>
      </c>
      <c r="N823" t="s">
        <v>25</v>
      </c>
      <c r="O823" t="s">
        <v>21</v>
      </c>
      <c r="P823">
        <v>20982434</v>
      </c>
    </row>
    <row r="824" spans="1:16" ht="14.25" x14ac:dyDescent="0.2">
      <c r="A824">
        <v>34</v>
      </c>
      <c r="B824" t="s">
        <v>22</v>
      </c>
      <c r="C824" t="s">
        <v>23</v>
      </c>
      <c r="D824">
        <v>2</v>
      </c>
      <c r="E824">
        <v>2</v>
      </c>
      <c r="F824" t="s">
        <v>18</v>
      </c>
      <c r="G824">
        <v>4</v>
      </c>
      <c r="H824">
        <v>3</v>
      </c>
      <c r="I824" t="s">
        <v>19</v>
      </c>
      <c r="J824">
        <v>4033</v>
      </c>
      <c r="K824">
        <v>2</v>
      </c>
      <c r="L824">
        <v>2</v>
      </c>
      <c r="M824">
        <v>3</v>
      </c>
      <c r="N824" t="s">
        <v>25</v>
      </c>
      <c r="O824" t="s">
        <v>31</v>
      </c>
      <c r="P824">
        <v>70307518</v>
      </c>
    </row>
    <row r="825" spans="1:16" ht="14.25" x14ac:dyDescent="0.2">
      <c r="A825">
        <v>29</v>
      </c>
      <c r="B825" t="s">
        <v>22</v>
      </c>
      <c r="C825" t="s">
        <v>23</v>
      </c>
      <c r="D825">
        <v>10</v>
      </c>
      <c r="E825">
        <v>3</v>
      </c>
      <c r="F825" t="s">
        <v>18</v>
      </c>
      <c r="G825">
        <v>4</v>
      </c>
      <c r="H825">
        <v>2</v>
      </c>
      <c r="I825" t="s">
        <v>30</v>
      </c>
      <c r="J825">
        <v>3291</v>
      </c>
      <c r="K825">
        <v>0</v>
      </c>
      <c r="L825">
        <v>2</v>
      </c>
      <c r="M825">
        <v>7</v>
      </c>
      <c r="N825" t="s">
        <v>20</v>
      </c>
      <c r="O825" t="s">
        <v>26</v>
      </c>
      <c r="P825">
        <v>44256365</v>
      </c>
    </row>
    <row r="826" spans="1:16" ht="14.25" x14ac:dyDescent="0.2">
      <c r="A826">
        <v>42</v>
      </c>
      <c r="B826" t="s">
        <v>22</v>
      </c>
      <c r="C826" t="s">
        <v>23</v>
      </c>
      <c r="D826">
        <v>29</v>
      </c>
      <c r="E826">
        <v>3</v>
      </c>
      <c r="F826" t="s">
        <v>29</v>
      </c>
      <c r="G826">
        <v>2</v>
      </c>
      <c r="H826">
        <v>4</v>
      </c>
      <c r="I826" t="s">
        <v>19</v>
      </c>
      <c r="J826">
        <v>4272</v>
      </c>
      <c r="K826">
        <v>4</v>
      </c>
      <c r="L826">
        <v>3</v>
      </c>
      <c r="M826">
        <v>1</v>
      </c>
      <c r="N826" t="s">
        <v>25</v>
      </c>
      <c r="O826" t="s">
        <v>28</v>
      </c>
      <c r="P826">
        <v>76851243</v>
      </c>
    </row>
    <row r="827" spans="1:16" ht="14.25" x14ac:dyDescent="0.2">
      <c r="A827">
        <v>29</v>
      </c>
      <c r="B827" t="s">
        <v>22</v>
      </c>
      <c r="C827" t="s">
        <v>23</v>
      </c>
      <c r="D827">
        <v>8</v>
      </c>
      <c r="E827">
        <v>1</v>
      </c>
      <c r="F827" t="s">
        <v>29</v>
      </c>
      <c r="G827">
        <v>2</v>
      </c>
      <c r="H827">
        <v>4</v>
      </c>
      <c r="I827" t="s">
        <v>24</v>
      </c>
      <c r="J827">
        <v>5056</v>
      </c>
      <c r="K827">
        <v>1</v>
      </c>
      <c r="L827">
        <v>2</v>
      </c>
      <c r="M827">
        <v>10</v>
      </c>
      <c r="N827" t="s">
        <v>25</v>
      </c>
      <c r="O827" t="s">
        <v>31</v>
      </c>
      <c r="P827">
        <v>73610297</v>
      </c>
    </row>
    <row r="828" spans="1:16" ht="14.25" x14ac:dyDescent="0.2">
      <c r="A828">
        <v>38</v>
      </c>
      <c r="B828" t="s">
        <v>22</v>
      </c>
      <c r="C828" t="s">
        <v>38</v>
      </c>
      <c r="D828">
        <v>1</v>
      </c>
      <c r="E828">
        <v>3</v>
      </c>
      <c r="F828" t="s">
        <v>38</v>
      </c>
      <c r="G828">
        <v>3</v>
      </c>
      <c r="H828">
        <v>3</v>
      </c>
      <c r="I828" t="s">
        <v>24</v>
      </c>
      <c r="J828">
        <v>2844</v>
      </c>
      <c r="K828">
        <v>1</v>
      </c>
      <c r="L828">
        <v>4</v>
      </c>
      <c r="M828">
        <v>7</v>
      </c>
      <c r="N828" t="s">
        <v>25</v>
      </c>
      <c r="O828" t="s">
        <v>38</v>
      </c>
      <c r="P828">
        <v>47920351</v>
      </c>
    </row>
    <row r="829" spans="1:16" ht="14.25" x14ac:dyDescent="0.2">
      <c r="A829">
        <v>28</v>
      </c>
      <c r="B829" t="s">
        <v>22</v>
      </c>
      <c r="C829" t="s">
        <v>23</v>
      </c>
      <c r="D829">
        <v>6</v>
      </c>
      <c r="E829">
        <v>3</v>
      </c>
      <c r="F829" t="s">
        <v>18</v>
      </c>
      <c r="G829">
        <v>3</v>
      </c>
      <c r="H829">
        <v>3</v>
      </c>
      <c r="I829" t="s">
        <v>30</v>
      </c>
      <c r="J829">
        <v>2703</v>
      </c>
      <c r="K829">
        <v>1</v>
      </c>
      <c r="L829">
        <v>3</v>
      </c>
      <c r="M829">
        <v>3</v>
      </c>
      <c r="N829" t="s">
        <v>25</v>
      </c>
      <c r="O829" t="s">
        <v>26</v>
      </c>
      <c r="P829">
        <v>61469637</v>
      </c>
    </row>
    <row r="830" spans="1:16" ht="14.25" x14ac:dyDescent="0.2">
      <c r="A830">
        <v>18</v>
      </c>
      <c r="B830" t="s">
        <v>16</v>
      </c>
      <c r="C830" t="s">
        <v>23</v>
      </c>
      <c r="D830">
        <v>8</v>
      </c>
      <c r="E830">
        <v>1</v>
      </c>
      <c r="F830" t="s">
        <v>29</v>
      </c>
      <c r="G830">
        <v>3</v>
      </c>
      <c r="H830">
        <v>3</v>
      </c>
      <c r="I830" t="s">
        <v>19</v>
      </c>
      <c r="J830">
        <v>1904</v>
      </c>
      <c r="K830">
        <v>1</v>
      </c>
      <c r="L830">
        <v>3</v>
      </c>
      <c r="M830">
        <v>0</v>
      </c>
      <c r="N830" t="s">
        <v>25</v>
      </c>
      <c r="O830" t="s">
        <v>28</v>
      </c>
      <c r="P830">
        <v>19682505</v>
      </c>
    </row>
    <row r="831" spans="1:16" ht="14.25" x14ac:dyDescent="0.2">
      <c r="A831">
        <v>33</v>
      </c>
      <c r="B831" t="s">
        <v>16</v>
      </c>
      <c r="C831" t="s">
        <v>17</v>
      </c>
      <c r="D831">
        <v>9</v>
      </c>
      <c r="E831">
        <v>4</v>
      </c>
      <c r="F831" t="s">
        <v>36</v>
      </c>
      <c r="G831">
        <v>1</v>
      </c>
      <c r="H831">
        <v>1</v>
      </c>
      <c r="I831" t="s">
        <v>19</v>
      </c>
      <c r="J831">
        <v>8224</v>
      </c>
      <c r="K831">
        <v>0</v>
      </c>
      <c r="L831">
        <v>3</v>
      </c>
      <c r="M831">
        <v>5</v>
      </c>
      <c r="N831" t="s">
        <v>20</v>
      </c>
      <c r="O831" t="s">
        <v>21</v>
      </c>
      <c r="P831">
        <v>10932889</v>
      </c>
    </row>
    <row r="832" spans="1:16" ht="14.25" x14ac:dyDescent="0.2">
      <c r="A832">
        <v>41</v>
      </c>
      <c r="B832" t="s">
        <v>22</v>
      </c>
      <c r="C832" t="s">
        <v>23</v>
      </c>
      <c r="D832">
        <v>12</v>
      </c>
      <c r="E832">
        <v>4</v>
      </c>
      <c r="F832" t="s">
        <v>18</v>
      </c>
      <c r="G832">
        <v>2</v>
      </c>
      <c r="H832">
        <v>4</v>
      </c>
      <c r="I832" t="s">
        <v>24</v>
      </c>
      <c r="J832">
        <v>4766</v>
      </c>
      <c r="K832">
        <v>3</v>
      </c>
      <c r="L832">
        <v>3</v>
      </c>
      <c r="M832">
        <v>1</v>
      </c>
      <c r="N832" t="s">
        <v>25</v>
      </c>
      <c r="O832" t="s">
        <v>28</v>
      </c>
      <c r="P832">
        <v>44269318</v>
      </c>
    </row>
    <row r="833" spans="1:16" ht="14.25" x14ac:dyDescent="0.2">
      <c r="A833">
        <v>31</v>
      </c>
      <c r="B833" t="s">
        <v>16</v>
      </c>
      <c r="C833" t="s">
        <v>23</v>
      </c>
      <c r="D833">
        <v>15</v>
      </c>
      <c r="E833">
        <v>3</v>
      </c>
      <c r="F833" t="s">
        <v>29</v>
      </c>
      <c r="G833">
        <v>3</v>
      </c>
      <c r="H833">
        <v>3</v>
      </c>
      <c r="I833" t="s">
        <v>24</v>
      </c>
      <c r="J833">
        <v>2610</v>
      </c>
      <c r="K833">
        <v>1</v>
      </c>
      <c r="L833">
        <v>2</v>
      </c>
      <c r="M833">
        <v>2</v>
      </c>
      <c r="N833" t="s">
        <v>25</v>
      </c>
      <c r="O833" t="s">
        <v>28</v>
      </c>
      <c r="P833">
        <v>12021644</v>
      </c>
    </row>
    <row r="834" spans="1:16" ht="14.25" x14ac:dyDescent="0.2">
      <c r="A834">
        <v>37</v>
      </c>
      <c r="B834" t="s">
        <v>22</v>
      </c>
      <c r="C834" t="s">
        <v>23</v>
      </c>
      <c r="D834">
        <v>25</v>
      </c>
      <c r="E834">
        <v>2</v>
      </c>
      <c r="F834" t="s">
        <v>29</v>
      </c>
      <c r="G834">
        <v>3</v>
      </c>
      <c r="H834">
        <v>4</v>
      </c>
      <c r="I834" t="s">
        <v>30</v>
      </c>
      <c r="J834">
        <v>5731</v>
      </c>
      <c r="K834">
        <v>7</v>
      </c>
      <c r="L834">
        <v>3</v>
      </c>
      <c r="M834">
        <v>6</v>
      </c>
      <c r="N834" t="s">
        <v>20</v>
      </c>
      <c r="O834" t="s">
        <v>32</v>
      </c>
      <c r="P834">
        <v>16339866</v>
      </c>
    </row>
    <row r="835" spans="1:16" ht="14.25" x14ac:dyDescent="0.2">
      <c r="A835">
        <v>27</v>
      </c>
      <c r="B835" t="s">
        <v>22</v>
      </c>
      <c r="C835" t="s">
        <v>23</v>
      </c>
      <c r="D835">
        <v>6</v>
      </c>
      <c r="E835">
        <v>3</v>
      </c>
      <c r="F835" t="s">
        <v>18</v>
      </c>
      <c r="G835">
        <v>4</v>
      </c>
      <c r="H835">
        <v>3</v>
      </c>
      <c r="I835" t="s">
        <v>24</v>
      </c>
      <c r="J835">
        <v>2539</v>
      </c>
      <c r="K835">
        <v>1</v>
      </c>
      <c r="L835">
        <v>3</v>
      </c>
      <c r="M835">
        <v>4</v>
      </c>
      <c r="N835" t="s">
        <v>25</v>
      </c>
      <c r="O835" t="s">
        <v>26</v>
      </c>
      <c r="P835">
        <v>33358611</v>
      </c>
    </row>
    <row r="836" spans="1:16" ht="14.25" x14ac:dyDescent="0.2">
      <c r="A836">
        <v>34</v>
      </c>
      <c r="B836" t="s">
        <v>22</v>
      </c>
      <c r="C836" t="s">
        <v>17</v>
      </c>
      <c r="D836">
        <v>9</v>
      </c>
      <c r="E836">
        <v>1</v>
      </c>
      <c r="F836" t="s">
        <v>18</v>
      </c>
      <c r="G836">
        <v>2</v>
      </c>
      <c r="H836">
        <v>3</v>
      </c>
      <c r="I836" t="s">
        <v>24</v>
      </c>
      <c r="J836">
        <v>5714</v>
      </c>
      <c r="K836">
        <v>1</v>
      </c>
      <c r="L836">
        <v>2</v>
      </c>
      <c r="M836">
        <v>6</v>
      </c>
      <c r="N836" t="s">
        <v>20</v>
      </c>
      <c r="O836" t="s">
        <v>21</v>
      </c>
      <c r="P836">
        <v>89644298</v>
      </c>
    </row>
    <row r="837" spans="1:16" ht="14.25" x14ac:dyDescent="0.2">
      <c r="A837">
        <v>35</v>
      </c>
      <c r="B837" t="s">
        <v>22</v>
      </c>
      <c r="C837" t="s">
        <v>38</v>
      </c>
      <c r="D837">
        <v>8</v>
      </c>
      <c r="E837">
        <v>4</v>
      </c>
      <c r="F837" t="s">
        <v>37</v>
      </c>
      <c r="G837">
        <v>3</v>
      </c>
      <c r="H837">
        <v>3</v>
      </c>
      <c r="I837" t="s">
        <v>19</v>
      </c>
      <c r="J837">
        <v>4323</v>
      </c>
      <c r="K837">
        <v>1</v>
      </c>
      <c r="L837">
        <v>1</v>
      </c>
      <c r="M837">
        <v>5</v>
      </c>
      <c r="N837" t="s">
        <v>25</v>
      </c>
      <c r="O837" t="s">
        <v>38</v>
      </c>
      <c r="P837">
        <v>34499101</v>
      </c>
    </row>
    <row r="838" spans="1:16" ht="14.25" x14ac:dyDescent="0.2">
      <c r="A838">
        <v>29</v>
      </c>
      <c r="B838" t="s">
        <v>16</v>
      </c>
      <c r="C838" t="s">
        <v>17</v>
      </c>
      <c r="D838">
        <v>23</v>
      </c>
      <c r="E838">
        <v>1</v>
      </c>
      <c r="F838" t="s">
        <v>18</v>
      </c>
      <c r="G838">
        <v>4</v>
      </c>
      <c r="H838">
        <v>1</v>
      </c>
      <c r="I838" t="s">
        <v>24</v>
      </c>
      <c r="J838">
        <v>7336</v>
      </c>
      <c r="K838">
        <v>1</v>
      </c>
      <c r="L838">
        <v>1</v>
      </c>
      <c r="M838">
        <v>11</v>
      </c>
      <c r="N838" t="s">
        <v>20</v>
      </c>
      <c r="O838" t="s">
        <v>21</v>
      </c>
      <c r="P838">
        <v>27043685</v>
      </c>
    </row>
    <row r="839" spans="1:16" ht="14.25" x14ac:dyDescent="0.2">
      <c r="A839">
        <v>40</v>
      </c>
      <c r="B839" t="s">
        <v>22</v>
      </c>
      <c r="C839" t="s">
        <v>23</v>
      </c>
      <c r="D839">
        <v>9</v>
      </c>
      <c r="E839">
        <v>4</v>
      </c>
      <c r="F839" t="s">
        <v>29</v>
      </c>
      <c r="G839">
        <v>2</v>
      </c>
      <c r="H839">
        <v>3</v>
      </c>
      <c r="I839" t="s">
        <v>19</v>
      </c>
      <c r="J839">
        <v>13499</v>
      </c>
      <c r="K839">
        <v>9</v>
      </c>
      <c r="L839">
        <v>2</v>
      </c>
      <c r="M839">
        <v>18</v>
      </c>
      <c r="N839" t="s">
        <v>20</v>
      </c>
      <c r="O839" t="s">
        <v>35</v>
      </c>
      <c r="P839">
        <v>64669920</v>
      </c>
    </row>
    <row r="840" spans="1:16" ht="14.25" x14ac:dyDescent="0.2">
      <c r="A840">
        <v>42</v>
      </c>
      <c r="B840" t="s">
        <v>16</v>
      </c>
      <c r="C840" t="s">
        <v>17</v>
      </c>
      <c r="D840">
        <v>12</v>
      </c>
      <c r="E840">
        <v>3</v>
      </c>
      <c r="F840" t="s">
        <v>18</v>
      </c>
      <c r="G840">
        <v>3</v>
      </c>
      <c r="H840">
        <v>1</v>
      </c>
      <c r="I840" t="s">
        <v>19</v>
      </c>
      <c r="J840">
        <v>13758</v>
      </c>
      <c r="K840">
        <v>0</v>
      </c>
      <c r="L840">
        <v>2</v>
      </c>
      <c r="M840">
        <v>21</v>
      </c>
      <c r="N840" t="s">
        <v>25</v>
      </c>
      <c r="O840" t="s">
        <v>21</v>
      </c>
      <c r="P840">
        <v>24116091</v>
      </c>
    </row>
    <row r="841" spans="1:16" ht="14.25" x14ac:dyDescent="0.2">
      <c r="A841">
        <v>42</v>
      </c>
      <c r="B841" t="s">
        <v>22</v>
      </c>
      <c r="C841" t="s">
        <v>17</v>
      </c>
      <c r="D841">
        <v>4</v>
      </c>
      <c r="E841">
        <v>4</v>
      </c>
      <c r="F841" t="s">
        <v>36</v>
      </c>
      <c r="G841">
        <v>2</v>
      </c>
      <c r="H841">
        <v>1</v>
      </c>
      <c r="I841" t="s">
        <v>19</v>
      </c>
      <c r="J841">
        <v>5155</v>
      </c>
      <c r="K841">
        <v>7</v>
      </c>
      <c r="L841">
        <v>4</v>
      </c>
      <c r="M841">
        <v>6</v>
      </c>
      <c r="N841" t="s">
        <v>25</v>
      </c>
      <c r="O841" t="s">
        <v>21</v>
      </c>
      <c r="P841">
        <v>35760562</v>
      </c>
    </row>
    <row r="842" spans="1:16" ht="14.25" x14ac:dyDescent="0.2">
      <c r="A842">
        <v>35</v>
      </c>
      <c r="B842" t="s">
        <v>22</v>
      </c>
      <c r="C842" t="s">
        <v>23</v>
      </c>
      <c r="D842">
        <v>1</v>
      </c>
      <c r="E842">
        <v>4</v>
      </c>
      <c r="F842" t="s">
        <v>29</v>
      </c>
      <c r="G842">
        <v>4</v>
      </c>
      <c r="H842">
        <v>3</v>
      </c>
      <c r="I842" t="s">
        <v>24</v>
      </c>
      <c r="J842">
        <v>2258</v>
      </c>
      <c r="K842">
        <v>6</v>
      </c>
      <c r="L842">
        <v>3</v>
      </c>
      <c r="M842">
        <v>8</v>
      </c>
      <c r="N842" t="s">
        <v>25</v>
      </c>
      <c r="O842" t="s">
        <v>28</v>
      </c>
      <c r="P842">
        <v>71016842</v>
      </c>
    </row>
    <row r="843" spans="1:16" ht="14.25" x14ac:dyDescent="0.2">
      <c r="A843">
        <v>24</v>
      </c>
      <c r="B843" t="s">
        <v>22</v>
      </c>
      <c r="C843" t="s">
        <v>23</v>
      </c>
      <c r="D843">
        <v>24</v>
      </c>
      <c r="E843">
        <v>3</v>
      </c>
      <c r="F843" t="s">
        <v>29</v>
      </c>
      <c r="G843">
        <v>4</v>
      </c>
      <c r="H843">
        <v>2</v>
      </c>
      <c r="I843" t="s">
        <v>19</v>
      </c>
      <c r="J843">
        <v>3597</v>
      </c>
      <c r="K843">
        <v>8</v>
      </c>
      <c r="L843">
        <v>3</v>
      </c>
      <c r="M843">
        <v>4</v>
      </c>
      <c r="N843" t="s">
        <v>25</v>
      </c>
      <c r="O843" t="s">
        <v>28</v>
      </c>
      <c r="P843">
        <v>36562312</v>
      </c>
    </row>
    <row r="844" spans="1:16" ht="14.25" x14ac:dyDescent="0.2">
      <c r="A844">
        <v>28</v>
      </c>
      <c r="B844" t="s">
        <v>16</v>
      </c>
      <c r="C844" t="s">
        <v>23</v>
      </c>
      <c r="D844">
        <v>12</v>
      </c>
      <c r="E844">
        <v>1</v>
      </c>
      <c r="F844" t="s">
        <v>18</v>
      </c>
      <c r="G844">
        <v>3</v>
      </c>
      <c r="H844">
        <v>4</v>
      </c>
      <c r="I844" t="s">
        <v>24</v>
      </c>
      <c r="J844">
        <v>2515</v>
      </c>
      <c r="K844">
        <v>1</v>
      </c>
      <c r="L844">
        <v>2</v>
      </c>
      <c r="M844">
        <v>1</v>
      </c>
      <c r="N844" t="s">
        <v>20</v>
      </c>
      <c r="O844" t="s">
        <v>28</v>
      </c>
      <c r="P844">
        <v>40098576</v>
      </c>
    </row>
    <row r="845" spans="1:16" ht="14.25" x14ac:dyDescent="0.2">
      <c r="A845">
        <v>26</v>
      </c>
      <c r="B845" t="s">
        <v>22</v>
      </c>
      <c r="C845" t="s">
        <v>23</v>
      </c>
      <c r="D845">
        <v>3</v>
      </c>
      <c r="E845">
        <v>4</v>
      </c>
      <c r="F845" t="s">
        <v>29</v>
      </c>
      <c r="G845">
        <v>1</v>
      </c>
      <c r="H845">
        <v>4</v>
      </c>
      <c r="I845" t="s">
        <v>24</v>
      </c>
      <c r="J845">
        <v>4420</v>
      </c>
      <c r="K845">
        <v>1</v>
      </c>
      <c r="L845">
        <v>3</v>
      </c>
      <c r="M845">
        <v>8</v>
      </c>
      <c r="N845" t="s">
        <v>25</v>
      </c>
      <c r="O845" t="s">
        <v>28</v>
      </c>
      <c r="P845">
        <v>65512339</v>
      </c>
    </row>
    <row r="846" spans="1:16" ht="14.25" x14ac:dyDescent="0.2">
      <c r="A846">
        <v>30</v>
      </c>
      <c r="B846" t="s">
        <v>22</v>
      </c>
      <c r="C846" t="s">
        <v>17</v>
      </c>
      <c r="D846">
        <v>10</v>
      </c>
      <c r="E846">
        <v>3</v>
      </c>
      <c r="F846" t="s">
        <v>36</v>
      </c>
      <c r="G846">
        <v>3</v>
      </c>
      <c r="H846">
        <v>3</v>
      </c>
      <c r="I846" t="s">
        <v>24</v>
      </c>
      <c r="J846">
        <v>6578</v>
      </c>
      <c r="K846">
        <v>1</v>
      </c>
      <c r="L846">
        <v>3</v>
      </c>
      <c r="M846">
        <v>10</v>
      </c>
      <c r="N846" t="s">
        <v>25</v>
      </c>
      <c r="O846" t="s">
        <v>21</v>
      </c>
      <c r="P846">
        <v>84415862</v>
      </c>
    </row>
    <row r="847" spans="1:16" ht="14.25" x14ac:dyDescent="0.2">
      <c r="A847">
        <v>40</v>
      </c>
      <c r="B847" t="s">
        <v>22</v>
      </c>
      <c r="C847" t="s">
        <v>23</v>
      </c>
      <c r="D847">
        <v>26</v>
      </c>
      <c r="E847">
        <v>2</v>
      </c>
      <c r="F847" t="s">
        <v>29</v>
      </c>
      <c r="G847">
        <v>3</v>
      </c>
      <c r="H847">
        <v>4</v>
      </c>
      <c r="I847" t="s">
        <v>24</v>
      </c>
      <c r="J847">
        <v>4422</v>
      </c>
      <c r="K847">
        <v>3</v>
      </c>
      <c r="L847">
        <v>1</v>
      </c>
      <c r="M847">
        <v>1</v>
      </c>
      <c r="N847" t="s">
        <v>20</v>
      </c>
      <c r="O847" t="s">
        <v>26</v>
      </c>
      <c r="P847">
        <v>32066386</v>
      </c>
    </row>
    <row r="848" spans="1:16" ht="14.25" x14ac:dyDescent="0.2">
      <c r="A848">
        <v>35</v>
      </c>
      <c r="B848" t="s">
        <v>22</v>
      </c>
      <c r="C848" t="s">
        <v>23</v>
      </c>
      <c r="D848">
        <v>2</v>
      </c>
      <c r="E848">
        <v>3</v>
      </c>
      <c r="F848" t="s">
        <v>18</v>
      </c>
      <c r="G848">
        <v>3</v>
      </c>
      <c r="H848">
        <v>2</v>
      </c>
      <c r="I848" t="s">
        <v>30</v>
      </c>
      <c r="J848">
        <v>10274</v>
      </c>
      <c r="K848">
        <v>2</v>
      </c>
      <c r="L848">
        <v>4</v>
      </c>
      <c r="M848">
        <v>7</v>
      </c>
      <c r="N848" t="s">
        <v>25</v>
      </c>
      <c r="O848" t="s">
        <v>31</v>
      </c>
      <c r="P848">
        <v>45609655</v>
      </c>
    </row>
    <row r="849" spans="1:16" ht="14.25" x14ac:dyDescent="0.2">
      <c r="A849">
        <v>34</v>
      </c>
      <c r="B849" t="s">
        <v>22</v>
      </c>
      <c r="C849" t="s">
        <v>23</v>
      </c>
      <c r="D849">
        <v>1</v>
      </c>
      <c r="E849">
        <v>3</v>
      </c>
      <c r="F849" t="s">
        <v>29</v>
      </c>
      <c r="G849">
        <v>4</v>
      </c>
      <c r="H849">
        <v>1</v>
      </c>
      <c r="I849" t="s">
        <v>19</v>
      </c>
      <c r="J849">
        <v>5343</v>
      </c>
      <c r="K849">
        <v>0</v>
      </c>
      <c r="L849">
        <v>3</v>
      </c>
      <c r="M849">
        <v>13</v>
      </c>
      <c r="N849" t="s">
        <v>25</v>
      </c>
      <c r="O849" t="s">
        <v>32</v>
      </c>
      <c r="P849">
        <v>12691713</v>
      </c>
    </row>
    <row r="850" spans="1:16" ht="14.25" x14ac:dyDescent="0.2">
      <c r="A850">
        <v>35</v>
      </c>
      <c r="B850" t="s">
        <v>22</v>
      </c>
      <c r="C850" t="s">
        <v>23</v>
      </c>
      <c r="D850">
        <v>4</v>
      </c>
      <c r="E850">
        <v>4</v>
      </c>
      <c r="F850" t="s">
        <v>27</v>
      </c>
      <c r="G850">
        <v>4</v>
      </c>
      <c r="H850">
        <v>4</v>
      </c>
      <c r="I850" t="s">
        <v>24</v>
      </c>
      <c r="J850">
        <v>2376</v>
      </c>
      <c r="K850">
        <v>1</v>
      </c>
      <c r="L850">
        <v>4</v>
      </c>
      <c r="M850">
        <v>2</v>
      </c>
      <c r="N850" t="s">
        <v>25</v>
      </c>
      <c r="O850" t="s">
        <v>28</v>
      </c>
      <c r="P850">
        <v>63022837</v>
      </c>
    </row>
    <row r="851" spans="1:16" ht="14.25" x14ac:dyDescent="0.2">
      <c r="A851">
        <v>43</v>
      </c>
      <c r="B851" t="s">
        <v>16</v>
      </c>
      <c r="C851" t="s">
        <v>17</v>
      </c>
      <c r="D851">
        <v>9</v>
      </c>
      <c r="E851">
        <v>3</v>
      </c>
      <c r="F851" t="s">
        <v>36</v>
      </c>
      <c r="G851">
        <v>1</v>
      </c>
      <c r="H851">
        <v>3</v>
      </c>
      <c r="I851" t="s">
        <v>19</v>
      </c>
      <c r="J851">
        <v>5346</v>
      </c>
      <c r="K851">
        <v>8</v>
      </c>
      <c r="L851">
        <v>2</v>
      </c>
      <c r="M851">
        <v>4</v>
      </c>
      <c r="N851" t="s">
        <v>20</v>
      </c>
      <c r="O851" t="s">
        <v>21</v>
      </c>
      <c r="P851">
        <v>10936676</v>
      </c>
    </row>
    <row r="852" spans="1:16" ht="14.25" x14ac:dyDescent="0.2">
      <c r="A852">
        <v>32</v>
      </c>
      <c r="B852" t="s">
        <v>22</v>
      </c>
      <c r="C852" t="s">
        <v>17</v>
      </c>
      <c r="D852">
        <v>2</v>
      </c>
      <c r="E852">
        <v>1</v>
      </c>
      <c r="F852" t="s">
        <v>18</v>
      </c>
      <c r="G852">
        <v>3</v>
      </c>
      <c r="H852">
        <v>1</v>
      </c>
      <c r="I852" t="s">
        <v>30</v>
      </c>
      <c r="J852">
        <v>2827</v>
      </c>
      <c r="K852">
        <v>1</v>
      </c>
      <c r="L852">
        <v>3</v>
      </c>
      <c r="M852">
        <v>1</v>
      </c>
      <c r="N852" t="s">
        <v>20</v>
      </c>
      <c r="O852" t="s">
        <v>34</v>
      </c>
      <c r="P852">
        <v>85798170</v>
      </c>
    </row>
    <row r="853" spans="1:16" ht="14.25" x14ac:dyDescent="0.2">
      <c r="A853">
        <v>56</v>
      </c>
      <c r="B853" t="s">
        <v>22</v>
      </c>
      <c r="C853" t="s">
        <v>23</v>
      </c>
      <c r="D853">
        <v>4</v>
      </c>
      <c r="E853">
        <v>4</v>
      </c>
      <c r="F853" t="s">
        <v>37</v>
      </c>
      <c r="G853">
        <v>4</v>
      </c>
      <c r="H853">
        <v>1</v>
      </c>
      <c r="I853" t="s">
        <v>30</v>
      </c>
      <c r="J853">
        <v>19943</v>
      </c>
      <c r="K853">
        <v>4</v>
      </c>
      <c r="L853">
        <v>3</v>
      </c>
      <c r="M853">
        <v>5</v>
      </c>
      <c r="N853" t="s">
        <v>20</v>
      </c>
      <c r="O853" t="s">
        <v>33</v>
      </c>
      <c r="P853">
        <v>62250782</v>
      </c>
    </row>
    <row r="854" spans="1:16" ht="14.25" x14ac:dyDescent="0.2">
      <c r="A854">
        <v>29</v>
      </c>
      <c r="B854" t="s">
        <v>22</v>
      </c>
      <c r="C854" t="s">
        <v>23</v>
      </c>
      <c r="D854">
        <v>6</v>
      </c>
      <c r="E854">
        <v>1</v>
      </c>
      <c r="F854" t="s">
        <v>29</v>
      </c>
      <c r="G854">
        <v>2</v>
      </c>
      <c r="H854">
        <v>4</v>
      </c>
      <c r="I854" t="s">
        <v>24</v>
      </c>
      <c r="J854">
        <v>3131</v>
      </c>
      <c r="K854">
        <v>1</v>
      </c>
      <c r="L854">
        <v>3</v>
      </c>
      <c r="M854">
        <v>10</v>
      </c>
      <c r="N854" t="s">
        <v>20</v>
      </c>
      <c r="O854" t="s">
        <v>28</v>
      </c>
      <c r="P854">
        <v>27379399</v>
      </c>
    </row>
    <row r="855" spans="1:16" ht="14.25" x14ac:dyDescent="0.2">
      <c r="A855">
        <v>19</v>
      </c>
      <c r="B855" t="s">
        <v>22</v>
      </c>
      <c r="C855" t="s">
        <v>23</v>
      </c>
      <c r="D855">
        <v>9</v>
      </c>
      <c r="E855">
        <v>2</v>
      </c>
      <c r="F855" t="s">
        <v>18</v>
      </c>
      <c r="G855">
        <v>3</v>
      </c>
      <c r="H855">
        <v>1</v>
      </c>
      <c r="I855" t="s">
        <v>19</v>
      </c>
      <c r="J855">
        <v>2552</v>
      </c>
      <c r="K855">
        <v>1</v>
      </c>
      <c r="L855">
        <v>3</v>
      </c>
      <c r="M855">
        <v>1</v>
      </c>
      <c r="N855" t="s">
        <v>25</v>
      </c>
      <c r="O855" t="s">
        <v>26</v>
      </c>
      <c r="P855">
        <v>44483626</v>
      </c>
    </row>
    <row r="856" spans="1:16" ht="14.25" x14ac:dyDescent="0.2">
      <c r="A856">
        <v>45</v>
      </c>
      <c r="B856" t="s">
        <v>22</v>
      </c>
      <c r="C856" t="s">
        <v>23</v>
      </c>
      <c r="D856">
        <v>7</v>
      </c>
      <c r="E856">
        <v>3</v>
      </c>
      <c r="F856" t="s">
        <v>29</v>
      </c>
      <c r="G856">
        <v>1</v>
      </c>
      <c r="H856">
        <v>3</v>
      </c>
      <c r="I856" t="s">
        <v>24</v>
      </c>
      <c r="J856">
        <v>4477</v>
      </c>
      <c r="K856">
        <v>4</v>
      </c>
      <c r="L856">
        <v>2</v>
      </c>
      <c r="M856">
        <v>3</v>
      </c>
      <c r="N856" t="s">
        <v>20</v>
      </c>
      <c r="O856" t="s">
        <v>26</v>
      </c>
      <c r="P856">
        <v>80635018</v>
      </c>
    </row>
    <row r="857" spans="1:16" ht="14.25" x14ac:dyDescent="0.2">
      <c r="A857">
        <v>37</v>
      </c>
      <c r="B857" t="s">
        <v>22</v>
      </c>
      <c r="C857" t="s">
        <v>23</v>
      </c>
      <c r="D857">
        <v>1</v>
      </c>
      <c r="E857">
        <v>3</v>
      </c>
      <c r="F857" t="s">
        <v>18</v>
      </c>
      <c r="G857">
        <v>4</v>
      </c>
      <c r="H857">
        <v>4</v>
      </c>
      <c r="I857" t="s">
        <v>24</v>
      </c>
      <c r="J857">
        <v>6474</v>
      </c>
      <c r="K857">
        <v>1</v>
      </c>
      <c r="L857">
        <v>2</v>
      </c>
      <c r="M857">
        <v>14</v>
      </c>
      <c r="N857" t="s">
        <v>20</v>
      </c>
      <c r="O857" t="s">
        <v>31</v>
      </c>
      <c r="P857">
        <v>60885250</v>
      </c>
    </row>
    <row r="858" spans="1:16" ht="14.25" x14ac:dyDescent="0.2">
      <c r="A858">
        <v>20</v>
      </c>
      <c r="B858" t="s">
        <v>22</v>
      </c>
      <c r="C858" t="s">
        <v>23</v>
      </c>
      <c r="D858">
        <v>3</v>
      </c>
      <c r="E858">
        <v>3</v>
      </c>
      <c r="F858" t="s">
        <v>18</v>
      </c>
      <c r="G858">
        <v>1</v>
      </c>
      <c r="H858">
        <v>3</v>
      </c>
      <c r="I858" t="s">
        <v>19</v>
      </c>
      <c r="J858">
        <v>3033</v>
      </c>
      <c r="K858">
        <v>1</v>
      </c>
      <c r="L858">
        <v>2</v>
      </c>
      <c r="M858">
        <v>2</v>
      </c>
      <c r="N858" t="s">
        <v>25</v>
      </c>
      <c r="O858" t="s">
        <v>28</v>
      </c>
      <c r="P858">
        <v>71007137</v>
      </c>
    </row>
    <row r="859" spans="1:16" ht="14.25" x14ac:dyDescent="0.2">
      <c r="A859">
        <v>44</v>
      </c>
      <c r="B859" t="s">
        <v>16</v>
      </c>
      <c r="C859" t="s">
        <v>23</v>
      </c>
      <c r="D859">
        <v>10</v>
      </c>
      <c r="E859">
        <v>4</v>
      </c>
      <c r="F859" t="s">
        <v>18</v>
      </c>
      <c r="G859">
        <v>3</v>
      </c>
      <c r="H859">
        <v>3</v>
      </c>
      <c r="I859" t="s">
        <v>19</v>
      </c>
      <c r="J859">
        <v>2936</v>
      </c>
      <c r="K859">
        <v>1</v>
      </c>
      <c r="L859">
        <v>3</v>
      </c>
      <c r="M859">
        <v>6</v>
      </c>
      <c r="N859" t="s">
        <v>25</v>
      </c>
      <c r="O859" t="s">
        <v>26</v>
      </c>
      <c r="P859">
        <v>73843090</v>
      </c>
    </row>
    <row r="860" spans="1:16" ht="14.25" x14ac:dyDescent="0.2">
      <c r="A860">
        <v>53</v>
      </c>
      <c r="B860" t="s">
        <v>22</v>
      </c>
      <c r="C860" t="s">
        <v>23</v>
      </c>
      <c r="D860">
        <v>7</v>
      </c>
      <c r="E860">
        <v>2</v>
      </c>
      <c r="F860" t="s">
        <v>29</v>
      </c>
      <c r="G860">
        <v>4</v>
      </c>
      <c r="H860">
        <v>3</v>
      </c>
      <c r="I860" t="s">
        <v>30</v>
      </c>
      <c r="J860">
        <v>18606</v>
      </c>
      <c r="K860">
        <v>3</v>
      </c>
      <c r="L860">
        <v>3</v>
      </c>
      <c r="M860">
        <v>7</v>
      </c>
      <c r="N860" t="s">
        <v>20</v>
      </c>
      <c r="O860" t="s">
        <v>33</v>
      </c>
      <c r="P860">
        <v>45888885</v>
      </c>
    </row>
    <row r="861" spans="1:16" ht="14.25" x14ac:dyDescent="0.2">
      <c r="A861">
        <v>29</v>
      </c>
      <c r="B861" t="s">
        <v>22</v>
      </c>
      <c r="C861" t="s">
        <v>23</v>
      </c>
      <c r="D861">
        <v>15</v>
      </c>
      <c r="E861">
        <v>1</v>
      </c>
      <c r="F861" t="s">
        <v>18</v>
      </c>
      <c r="G861">
        <v>2</v>
      </c>
      <c r="H861">
        <v>4</v>
      </c>
      <c r="I861" t="s">
        <v>24</v>
      </c>
      <c r="J861">
        <v>2168</v>
      </c>
      <c r="K861">
        <v>0</v>
      </c>
      <c r="L861">
        <v>2</v>
      </c>
      <c r="M861">
        <v>5</v>
      </c>
      <c r="N861" t="s">
        <v>20</v>
      </c>
      <c r="O861" t="s">
        <v>26</v>
      </c>
      <c r="P861">
        <v>54992199</v>
      </c>
    </row>
    <row r="862" spans="1:16" ht="14.25" x14ac:dyDescent="0.2">
      <c r="A862">
        <v>22</v>
      </c>
      <c r="B862" t="s">
        <v>16</v>
      </c>
      <c r="C862" t="s">
        <v>23</v>
      </c>
      <c r="D862">
        <v>3</v>
      </c>
      <c r="E862">
        <v>4</v>
      </c>
      <c r="F862" t="s">
        <v>18</v>
      </c>
      <c r="G862">
        <v>3</v>
      </c>
      <c r="H862">
        <v>4</v>
      </c>
      <c r="I862" t="s">
        <v>24</v>
      </c>
      <c r="J862">
        <v>2853</v>
      </c>
      <c r="K862">
        <v>0</v>
      </c>
      <c r="L862">
        <v>3</v>
      </c>
      <c r="M862">
        <v>0</v>
      </c>
      <c r="N862" t="s">
        <v>25</v>
      </c>
      <c r="O862" t="s">
        <v>26</v>
      </c>
      <c r="P862">
        <v>83508474</v>
      </c>
    </row>
    <row r="863" spans="1:16" ht="14.25" x14ac:dyDescent="0.2">
      <c r="A863">
        <v>46</v>
      </c>
      <c r="B863" t="s">
        <v>22</v>
      </c>
      <c r="C863" t="s">
        <v>17</v>
      </c>
      <c r="D863">
        <v>2</v>
      </c>
      <c r="E863">
        <v>3</v>
      </c>
      <c r="F863" t="s">
        <v>36</v>
      </c>
      <c r="G863">
        <v>3</v>
      </c>
      <c r="H863">
        <v>1</v>
      </c>
      <c r="I863" t="s">
        <v>24</v>
      </c>
      <c r="J863">
        <v>17048</v>
      </c>
      <c r="K863">
        <v>8</v>
      </c>
      <c r="L863">
        <v>3</v>
      </c>
      <c r="M863">
        <v>26</v>
      </c>
      <c r="N863" t="s">
        <v>20</v>
      </c>
      <c r="O863" t="s">
        <v>33</v>
      </c>
      <c r="P863">
        <v>41421284</v>
      </c>
    </row>
    <row r="864" spans="1:16" ht="14.25" x14ac:dyDescent="0.2">
      <c r="A864">
        <v>44</v>
      </c>
      <c r="B864" t="s">
        <v>22</v>
      </c>
      <c r="C864" t="s">
        <v>23</v>
      </c>
      <c r="D864">
        <v>17</v>
      </c>
      <c r="E864">
        <v>3</v>
      </c>
      <c r="F864" t="s">
        <v>18</v>
      </c>
      <c r="G864">
        <v>4</v>
      </c>
      <c r="H864">
        <v>3</v>
      </c>
      <c r="I864" t="s">
        <v>19</v>
      </c>
      <c r="J864">
        <v>2290</v>
      </c>
      <c r="K864">
        <v>2</v>
      </c>
      <c r="L864">
        <v>3</v>
      </c>
      <c r="M864">
        <v>0</v>
      </c>
      <c r="N864" t="s">
        <v>25</v>
      </c>
      <c r="O864" t="s">
        <v>26</v>
      </c>
      <c r="P864">
        <v>63795599</v>
      </c>
    </row>
    <row r="865" spans="1:16" ht="14.25" x14ac:dyDescent="0.2">
      <c r="A865">
        <v>33</v>
      </c>
      <c r="B865" t="s">
        <v>22</v>
      </c>
      <c r="C865" t="s">
        <v>38</v>
      </c>
      <c r="D865">
        <v>2</v>
      </c>
      <c r="E865">
        <v>3</v>
      </c>
      <c r="F865" t="s">
        <v>38</v>
      </c>
      <c r="G865">
        <v>2</v>
      </c>
      <c r="H865">
        <v>3</v>
      </c>
      <c r="I865" t="s">
        <v>24</v>
      </c>
      <c r="J865">
        <v>3600</v>
      </c>
      <c r="K865">
        <v>1</v>
      </c>
      <c r="L865">
        <v>3</v>
      </c>
      <c r="M865">
        <v>5</v>
      </c>
      <c r="N865" t="s">
        <v>25</v>
      </c>
      <c r="O865" t="s">
        <v>38</v>
      </c>
      <c r="P865">
        <v>71284386</v>
      </c>
    </row>
    <row r="866" spans="1:16" ht="14.25" x14ac:dyDescent="0.2">
      <c r="A866">
        <v>41</v>
      </c>
      <c r="B866" t="s">
        <v>16</v>
      </c>
      <c r="C866" t="s">
        <v>23</v>
      </c>
      <c r="D866">
        <v>5</v>
      </c>
      <c r="E866">
        <v>2</v>
      </c>
      <c r="F866" t="s">
        <v>18</v>
      </c>
      <c r="G866">
        <v>1</v>
      </c>
      <c r="H866">
        <v>1</v>
      </c>
      <c r="I866" t="s">
        <v>30</v>
      </c>
      <c r="J866">
        <v>2107</v>
      </c>
      <c r="K866">
        <v>6</v>
      </c>
      <c r="L866">
        <v>1</v>
      </c>
      <c r="M866">
        <v>1</v>
      </c>
      <c r="N866" t="s">
        <v>25</v>
      </c>
      <c r="O866" t="s">
        <v>26</v>
      </c>
      <c r="P866">
        <v>18975722</v>
      </c>
    </row>
    <row r="867" spans="1:16" ht="14.25" x14ac:dyDescent="0.2">
      <c r="A867">
        <v>30</v>
      </c>
      <c r="B867" t="s">
        <v>22</v>
      </c>
      <c r="C867" t="s">
        <v>17</v>
      </c>
      <c r="D867">
        <v>29</v>
      </c>
      <c r="E867">
        <v>4</v>
      </c>
      <c r="F867" t="s">
        <v>18</v>
      </c>
      <c r="G867">
        <v>3</v>
      </c>
      <c r="H867">
        <v>1</v>
      </c>
      <c r="I867" t="s">
        <v>30</v>
      </c>
      <c r="J867">
        <v>4115</v>
      </c>
      <c r="K867">
        <v>8</v>
      </c>
      <c r="L867">
        <v>3</v>
      </c>
      <c r="M867">
        <v>4</v>
      </c>
      <c r="N867" t="s">
        <v>25</v>
      </c>
      <c r="O867" t="s">
        <v>21</v>
      </c>
      <c r="P867">
        <v>84502759</v>
      </c>
    </row>
    <row r="868" spans="1:16" ht="14.25" x14ac:dyDescent="0.2">
      <c r="A868">
        <v>40</v>
      </c>
      <c r="B868" t="s">
        <v>22</v>
      </c>
      <c r="C868" t="s">
        <v>17</v>
      </c>
      <c r="D868">
        <v>2</v>
      </c>
      <c r="E868">
        <v>4</v>
      </c>
      <c r="F868" t="s">
        <v>29</v>
      </c>
      <c r="G868">
        <v>2</v>
      </c>
      <c r="H868">
        <v>2</v>
      </c>
      <c r="I868" t="s">
        <v>24</v>
      </c>
      <c r="J868">
        <v>4327</v>
      </c>
      <c r="K868">
        <v>5</v>
      </c>
      <c r="L868">
        <v>3</v>
      </c>
      <c r="M868">
        <v>0</v>
      </c>
      <c r="N868" t="s">
        <v>25</v>
      </c>
      <c r="O868" t="s">
        <v>21</v>
      </c>
      <c r="P868">
        <v>79918817</v>
      </c>
    </row>
    <row r="869" spans="1:16" ht="14.25" x14ac:dyDescent="0.2">
      <c r="A869">
        <v>50</v>
      </c>
      <c r="B869" t="s">
        <v>22</v>
      </c>
      <c r="C869" t="s">
        <v>23</v>
      </c>
      <c r="D869">
        <v>2</v>
      </c>
      <c r="E869">
        <v>3</v>
      </c>
      <c r="F869" t="s">
        <v>29</v>
      </c>
      <c r="G869">
        <v>4</v>
      </c>
      <c r="H869">
        <v>1</v>
      </c>
      <c r="I869" t="s">
        <v>24</v>
      </c>
      <c r="J869">
        <v>17856</v>
      </c>
      <c r="K869">
        <v>2</v>
      </c>
      <c r="L869">
        <v>3</v>
      </c>
      <c r="M869">
        <v>2</v>
      </c>
      <c r="N869" t="s">
        <v>20</v>
      </c>
      <c r="O869" t="s">
        <v>33</v>
      </c>
      <c r="P869">
        <v>86657128</v>
      </c>
    </row>
    <row r="870" spans="1:16" ht="14.25" x14ac:dyDescent="0.2">
      <c r="A870">
        <v>28</v>
      </c>
      <c r="B870" t="s">
        <v>22</v>
      </c>
      <c r="C870" t="s">
        <v>23</v>
      </c>
      <c r="D870">
        <v>19</v>
      </c>
      <c r="E870">
        <v>4</v>
      </c>
      <c r="F870" t="s">
        <v>29</v>
      </c>
      <c r="G870">
        <v>4</v>
      </c>
      <c r="H870">
        <v>1</v>
      </c>
      <c r="I870" t="s">
        <v>24</v>
      </c>
      <c r="J870">
        <v>3196</v>
      </c>
      <c r="K870">
        <v>1</v>
      </c>
      <c r="L870">
        <v>3</v>
      </c>
      <c r="M870">
        <v>6</v>
      </c>
      <c r="N870" t="s">
        <v>25</v>
      </c>
      <c r="O870" t="s">
        <v>28</v>
      </c>
      <c r="P870">
        <v>10219099</v>
      </c>
    </row>
    <row r="871" spans="1:16" ht="14.25" x14ac:dyDescent="0.2">
      <c r="A871">
        <v>46</v>
      </c>
      <c r="B871" t="s">
        <v>22</v>
      </c>
      <c r="C871" t="s">
        <v>23</v>
      </c>
      <c r="D871">
        <v>15</v>
      </c>
      <c r="E871">
        <v>2</v>
      </c>
      <c r="F871" t="s">
        <v>18</v>
      </c>
      <c r="G871">
        <v>4</v>
      </c>
      <c r="H871">
        <v>2</v>
      </c>
      <c r="I871" t="s">
        <v>24</v>
      </c>
      <c r="J871">
        <v>19081</v>
      </c>
      <c r="K871">
        <v>5</v>
      </c>
      <c r="L871">
        <v>3</v>
      </c>
      <c r="M871">
        <v>4</v>
      </c>
      <c r="N871" t="s">
        <v>25</v>
      </c>
      <c r="O871" t="s">
        <v>35</v>
      </c>
      <c r="P871">
        <v>65945748</v>
      </c>
    </row>
    <row r="872" spans="1:16" ht="14.25" x14ac:dyDescent="0.2">
      <c r="A872">
        <v>35</v>
      </c>
      <c r="B872" t="s">
        <v>22</v>
      </c>
      <c r="C872" t="s">
        <v>17</v>
      </c>
      <c r="D872">
        <v>17</v>
      </c>
      <c r="E872">
        <v>4</v>
      </c>
      <c r="F872" t="s">
        <v>18</v>
      </c>
      <c r="G872">
        <v>3</v>
      </c>
      <c r="H872">
        <v>1</v>
      </c>
      <c r="I872" t="s">
        <v>24</v>
      </c>
      <c r="J872">
        <v>8966</v>
      </c>
      <c r="K872">
        <v>3</v>
      </c>
      <c r="L872">
        <v>3</v>
      </c>
      <c r="M872">
        <v>7</v>
      </c>
      <c r="N872" t="s">
        <v>25</v>
      </c>
      <c r="O872" t="s">
        <v>21</v>
      </c>
      <c r="P872">
        <v>56855534</v>
      </c>
    </row>
    <row r="873" spans="1:16" ht="14.25" x14ac:dyDescent="0.2">
      <c r="A873">
        <v>24</v>
      </c>
      <c r="B873" t="s">
        <v>16</v>
      </c>
      <c r="C873" t="s">
        <v>23</v>
      </c>
      <c r="D873">
        <v>17</v>
      </c>
      <c r="E873">
        <v>2</v>
      </c>
      <c r="F873" t="s">
        <v>18</v>
      </c>
      <c r="G873">
        <v>4</v>
      </c>
      <c r="H873">
        <v>2</v>
      </c>
      <c r="I873" t="s">
        <v>24</v>
      </c>
      <c r="J873">
        <v>2210</v>
      </c>
      <c r="K873">
        <v>1</v>
      </c>
      <c r="L873">
        <v>1</v>
      </c>
      <c r="M873">
        <v>1</v>
      </c>
      <c r="N873" t="s">
        <v>20</v>
      </c>
      <c r="O873" t="s">
        <v>28</v>
      </c>
      <c r="P873">
        <v>33776459</v>
      </c>
    </row>
    <row r="874" spans="1:16" ht="14.25" x14ac:dyDescent="0.2">
      <c r="A874">
        <v>33</v>
      </c>
      <c r="B874" t="s">
        <v>22</v>
      </c>
      <c r="C874" t="s">
        <v>17</v>
      </c>
      <c r="D874">
        <v>25</v>
      </c>
      <c r="E874">
        <v>3</v>
      </c>
      <c r="F874" t="s">
        <v>29</v>
      </c>
      <c r="G874">
        <v>2</v>
      </c>
      <c r="H874">
        <v>3</v>
      </c>
      <c r="I874" t="s">
        <v>24</v>
      </c>
      <c r="J874">
        <v>4539</v>
      </c>
      <c r="K874">
        <v>1</v>
      </c>
      <c r="L874">
        <v>2</v>
      </c>
      <c r="M874">
        <v>10</v>
      </c>
      <c r="N874" t="s">
        <v>20</v>
      </c>
      <c r="O874" t="s">
        <v>21</v>
      </c>
      <c r="P874">
        <v>29507061</v>
      </c>
    </row>
    <row r="875" spans="1:16" ht="14.25" x14ac:dyDescent="0.2">
      <c r="A875">
        <v>36</v>
      </c>
      <c r="B875" t="s">
        <v>22</v>
      </c>
      <c r="C875" t="s">
        <v>23</v>
      </c>
      <c r="D875">
        <v>6</v>
      </c>
      <c r="E875">
        <v>4</v>
      </c>
      <c r="F875" t="s">
        <v>18</v>
      </c>
      <c r="G875">
        <v>3</v>
      </c>
      <c r="H875">
        <v>3</v>
      </c>
      <c r="I875" t="s">
        <v>30</v>
      </c>
      <c r="J875">
        <v>2741</v>
      </c>
      <c r="K875">
        <v>1</v>
      </c>
      <c r="L875">
        <v>3</v>
      </c>
      <c r="M875">
        <v>7</v>
      </c>
      <c r="N875" t="s">
        <v>25</v>
      </c>
      <c r="O875" t="s">
        <v>28</v>
      </c>
      <c r="P875">
        <v>63387792</v>
      </c>
    </row>
    <row r="876" spans="1:16" ht="14.25" x14ac:dyDescent="0.2">
      <c r="A876">
        <v>30</v>
      </c>
      <c r="B876" t="s">
        <v>22</v>
      </c>
      <c r="C876" t="s">
        <v>23</v>
      </c>
      <c r="D876">
        <v>7</v>
      </c>
      <c r="E876">
        <v>4</v>
      </c>
      <c r="F876" t="s">
        <v>18</v>
      </c>
      <c r="G876">
        <v>3</v>
      </c>
      <c r="H876">
        <v>3</v>
      </c>
      <c r="I876" t="s">
        <v>30</v>
      </c>
      <c r="J876">
        <v>3491</v>
      </c>
      <c r="K876">
        <v>1</v>
      </c>
      <c r="L876">
        <v>2</v>
      </c>
      <c r="M876">
        <v>10</v>
      </c>
      <c r="N876" t="s">
        <v>25</v>
      </c>
      <c r="O876" t="s">
        <v>28</v>
      </c>
      <c r="P876">
        <v>89071049</v>
      </c>
    </row>
    <row r="877" spans="1:16" ht="14.25" x14ac:dyDescent="0.2">
      <c r="A877">
        <v>44</v>
      </c>
      <c r="B877" t="s">
        <v>22</v>
      </c>
      <c r="C877" t="s">
        <v>23</v>
      </c>
      <c r="D877">
        <v>29</v>
      </c>
      <c r="E877">
        <v>4</v>
      </c>
      <c r="F877" t="s">
        <v>27</v>
      </c>
      <c r="G877">
        <v>4</v>
      </c>
      <c r="H877">
        <v>4</v>
      </c>
      <c r="I877" t="s">
        <v>19</v>
      </c>
      <c r="J877">
        <v>4541</v>
      </c>
      <c r="K877">
        <v>1</v>
      </c>
      <c r="L877">
        <v>3</v>
      </c>
      <c r="M877">
        <v>20</v>
      </c>
      <c r="N877" t="s">
        <v>25</v>
      </c>
      <c r="O877" t="s">
        <v>26</v>
      </c>
      <c r="P877">
        <v>85923140</v>
      </c>
    </row>
    <row r="878" spans="1:16" ht="14.25" x14ac:dyDescent="0.2">
      <c r="A878">
        <v>20</v>
      </c>
      <c r="B878" t="s">
        <v>22</v>
      </c>
      <c r="C878" t="s">
        <v>17</v>
      </c>
      <c r="D878">
        <v>21</v>
      </c>
      <c r="E878">
        <v>3</v>
      </c>
      <c r="F878" t="s">
        <v>36</v>
      </c>
      <c r="G878">
        <v>3</v>
      </c>
      <c r="H878">
        <v>4</v>
      </c>
      <c r="I878" t="s">
        <v>19</v>
      </c>
      <c r="J878">
        <v>2678</v>
      </c>
      <c r="K878">
        <v>1</v>
      </c>
      <c r="L878">
        <v>3</v>
      </c>
      <c r="M878">
        <v>2</v>
      </c>
      <c r="N878" t="s">
        <v>25</v>
      </c>
      <c r="O878" t="s">
        <v>34</v>
      </c>
      <c r="P878">
        <v>46800773</v>
      </c>
    </row>
    <row r="879" spans="1:16" ht="14.25" x14ac:dyDescent="0.2">
      <c r="A879">
        <v>46</v>
      </c>
      <c r="B879" t="s">
        <v>22</v>
      </c>
      <c r="C879" t="s">
        <v>23</v>
      </c>
      <c r="D879">
        <v>2</v>
      </c>
      <c r="E879">
        <v>4</v>
      </c>
      <c r="F879" t="s">
        <v>37</v>
      </c>
      <c r="G879">
        <v>4</v>
      </c>
      <c r="H879">
        <v>4</v>
      </c>
      <c r="I879" t="s">
        <v>30</v>
      </c>
      <c r="J879">
        <v>7379</v>
      </c>
      <c r="K879">
        <v>2</v>
      </c>
      <c r="L879">
        <v>2</v>
      </c>
      <c r="M879">
        <v>6</v>
      </c>
      <c r="N879" t="s">
        <v>25</v>
      </c>
      <c r="O879" t="s">
        <v>31</v>
      </c>
      <c r="P879">
        <v>28941137</v>
      </c>
    </row>
    <row r="880" spans="1:16" ht="14.25" x14ac:dyDescent="0.2">
      <c r="A880">
        <v>42</v>
      </c>
      <c r="B880" t="s">
        <v>22</v>
      </c>
      <c r="C880" t="s">
        <v>38</v>
      </c>
      <c r="D880">
        <v>2</v>
      </c>
      <c r="E880">
        <v>5</v>
      </c>
      <c r="F880" t="s">
        <v>29</v>
      </c>
      <c r="G880">
        <v>4</v>
      </c>
      <c r="H880">
        <v>1</v>
      </c>
      <c r="I880" t="s">
        <v>24</v>
      </c>
      <c r="J880">
        <v>6272</v>
      </c>
      <c r="K880">
        <v>7</v>
      </c>
      <c r="L880">
        <v>4</v>
      </c>
      <c r="M880">
        <v>4</v>
      </c>
      <c r="N880" t="s">
        <v>25</v>
      </c>
      <c r="O880" t="s">
        <v>38</v>
      </c>
      <c r="P880">
        <v>53896558</v>
      </c>
    </row>
    <row r="881" spans="1:16" ht="14.25" x14ac:dyDescent="0.2">
      <c r="A881">
        <v>60</v>
      </c>
      <c r="B881" t="s">
        <v>22</v>
      </c>
      <c r="C881" t="s">
        <v>17</v>
      </c>
      <c r="D881">
        <v>7</v>
      </c>
      <c r="E881">
        <v>4</v>
      </c>
      <c r="F881" t="s">
        <v>36</v>
      </c>
      <c r="G881">
        <v>2</v>
      </c>
      <c r="H881">
        <v>4</v>
      </c>
      <c r="I881" t="s">
        <v>30</v>
      </c>
      <c r="J881">
        <v>5220</v>
      </c>
      <c r="K881">
        <v>0</v>
      </c>
      <c r="L881">
        <v>3</v>
      </c>
      <c r="M881">
        <v>11</v>
      </c>
      <c r="N881" t="s">
        <v>25</v>
      </c>
      <c r="O881" t="s">
        <v>21</v>
      </c>
      <c r="P881">
        <v>24565225</v>
      </c>
    </row>
    <row r="882" spans="1:16" ht="14.25" x14ac:dyDescent="0.2">
      <c r="A882">
        <v>32</v>
      </c>
      <c r="B882" t="s">
        <v>22</v>
      </c>
      <c r="C882" t="s">
        <v>23</v>
      </c>
      <c r="D882">
        <v>13</v>
      </c>
      <c r="E882">
        <v>3</v>
      </c>
      <c r="F882" t="s">
        <v>27</v>
      </c>
      <c r="G882">
        <v>3</v>
      </c>
      <c r="H882">
        <v>2</v>
      </c>
      <c r="I882" t="s">
        <v>24</v>
      </c>
      <c r="J882">
        <v>2743</v>
      </c>
      <c r="K882">
        <v>1</v>
      </c>
      <c r="L882">
        <v>3</v>
      </c>
      <c r="M882">
        <v>2</v>
      </c>
      <c r="N882" t="s">
        <v>20</v>
      </c>
      <c r="O882" t="s">
        <v>28</v>
      </c>
      <c r="P882">
        <v>42445269</v>
      </c>
    </row>
    <row r="883" spans="1:16" ht="14.25" x14ac:dyDescent="0.2">
      <c r="A883">
        <v>32</v>
      </c>
      <c r="B883" t="s">
        <v>22</v>
      </c>
      <c r="C883" t="s">
        <v>23</v>
      </c>
      <c r="D883">
        <v>2</v>
      </c>
      <c r="E883">
        <v>2</v>
      </c>
      <c r="F883" t="s">
        <v>18</v>
      </c>
      <c r="G883">
        <v>4</v>
      </c>
      <c r="H883">
        <v>3</v>
      </c>
      <c r="I883" t="s">
        <v>19</v>
      </c>
      <c r="J883">
        <v>4998</v>
      </c>
      <c r="K883">
        <v>4</v>
      </c>
      <c r="L883">
        <v>3</v>
      </c>
      <c r="M883">
        <v>8</v>
      </c>
      <c r="N883" t="s">
        <v>20</v>
      </c>
      <c r="O883" t="s">
        <v>26</v>
      </c>
      <c r="P883">
        <v>12454138</v>
      </c>
    </row>
    <row r="884" spans="1:16" ht="14.25" x14ac:dyDescent="0.2">
      <c r="A884">
        <v>36</v>
      </c>
      <c r="B884" t="s">
        <v>22</v>
      </c>
      <c r="C884" t="s">
        <v>23</v>
      </c>
      <c r="D884">
        <v>1</v>
      </c>
      <c r="E884">
        <v>3</v>
      </c>
      <c r="F884" t="s">
        <v>37</v>
      </c>
      <c r="G884">
        <v>3</v>
      </c>
      <c r="H884">
        <v>1</v>
      </c>
      <c r="I884" t="s">
        <v>30</v>
      </c>
      <c r="J884">
        <v>10252</v>
      </c>
      <c r="K884">
        <v>2</v>
      </c>
      <c r="L884">
        <v>3</v>
      </c>
      <c r="M884">
        <v>7</v>
      </c>
      <c r="N884" t="s">
        <v>20</v>
      </c>
      <c r="O884" t="s">
        <v>31</v>
      </c>
      <c r="P884">
        <v>69943126</v>
      </c>
    </row>
    <row r="885" spans="1:16" ht="14.25" x14ac:dyDescent="0.2">
      <c r="A885">
        <v>33</v>
      </c>
      <c r="B885" t="s">
        <v>22</v>
      </c>
      <c r="C885" t="s">
        <v>23</v>
      </c>
      <c r="D885">
        <v>9</v>
      </c>
      <c r="E885">
        <v>3</v>
      </c>
      <c r="F885" t="s">
        <v>29</v>
      </c>
      <c r="G885">
        <v>1</v>
      </c>
      <c r="H885">
        <v>4</v>
      </c>
      <c r="I885" t="s">
        <v>24</v>
      </c>
      <c r="J885">
        <v>2781</v>
      </c>
      <c r="K885">
        <v>0</v>
      </c>
      <c r="L885">
        <v>3</v>
      </c>
      <c r="M885">
        <v>14</v>
      </c>
      <c r="N885" t="s">
        <v>25</v>
      </c>
      <c r="O885" t="s">
        <v>26</v>
      </c>
      <c r="P885">
        <v>11473498</v>
      </c>
    </row>
    <row r="886" spans="1:16" ht="14.25" x14ac:dyDescent="0.2">
      <c r="A886">
        <v>40</v>
      </c>
      <c r="B886" t="s">
        <v>22</v>
      </c>
      <c r="C886" t="s">
        <v>17</v>
      </c>
      <c r="D886">
        <v>10</v>
      </c>
      <c r="E886">
        <v>3</v>
      </c>
      <c r="F886" t="s">
        <v>37</v>
      </c>
      <c r="G886">
        <v>2</v>
      </c>
      <c r="H886">
        <v>2</v>
      </c>
      <c r="I886" t="s">
        <v>30</v>
      </c>
      <c r="J886">
        <v>6852</v>
      </c>
      <c r="K886">
        <v>7</v>
      </c>
      <c r="L886">
        <v>4</v>
      </c>
      <c r="M886">
        <v>5</v>
      </c>
      <c r="N886" t="s">
        <v>20</v>
      </c>
      <c r="O886" t="s">
        <v>21</v>
      </c>
      <c r="P886">
        <v>27267119</v>
      </c>
    </row>
    <row r="887" spans="1:16" ht="14.25" x14ac:dyDescent="0.2">
      <c r="A887">
        <v>25</v>
      </c>
      <c r="B887" t="s">
        <v>22</v>
      </c>
      <c r="C887" t="s">
        <v>17</v>
      </c>
      <c r="D887">
        <v>10</v>
      </c>
      <c r="E887">
        <v>4</v>
      </c>
      <c r="F887" t="s">
        <v>18</v>
      </c>
      <c r="G887">
        <v>3</v>
      </c>
      <c r="H887">
        <v>4</v>
      </c>
      <c r="I887" t="s">
        <v>19</v>
      </c>
      <c r="J887">
        <v>4950</v>
      </c>
      <c r="K887">
        <v>0</v>
      </c>
      <c r="L887">
        <v>3</v>
      </c>
      <c r="M887">
        <v>4</v>
      </c>
      <c r="N887" t="s">
        <v>25</v>
      </c>
      <c r="O887" t="s">
        <v>21</v>
      </c>
      <c r="P887">
        <v>19467420</v>
      </c>
    </row>
    <row r="888" spans="1:16" ht="14.25" x14ac:dyDescent="0.2">
      <c r="A888">
        <v>30</v>
      </c>
      <c r="B888" t="s">
        <v>22</v>
      </c>
      <c r="C888" t="s">
        <v>23</v>
      </c>
      <c r="D888">
        <v>1</v>
      </c>
      <c r="E888">
        <v>3</v>
      </c>
      <c r="F888" t="s">
        <v>29</v>
      </c>
      <c r="G888">
        <v>4</v>
      </c>
      <c r="H888">
        <v>2</v>
      </c>
      <c r="I888" t="s">
        <v>24</v>
      </c>
      <c r="J888">
        <v>3579</v>
      </c>
      <c r="K888">
        <v>0</v>
      </c>
      <c r="L888">
        <v>3</v>
      </c>
      <c r="M888">
        <v>11</v>
      </c>
      <c r="N888" t="s">
        <v>25</v>
      </c>
      <c r="O888" t="s">
        <v>26</v>
      </c>
      <c r="P888">
        <v>15765907</v>
      </c>
    </row>
    <row r="889" spans="1:16" ht="14.25" x14ac:dyDescent="0.2">
      <c r="A889">
        <v>42</v>
      </c>
      <c r="B889" t="s">
        <v>22</v>
      </c>
      <c r="C889" t="s">
        <v>23</v>
      </c>
      <c r="D889">
        <v>26</v>
      </c>
      <c r="E889">
        <v>5</v>
      </c>
      <c r="F889" t="s">
        <v>29</v>
      </c>
      <c r="G889">
        <v>1</v>
      </c>
      <c r="H889">
        <v>1</v>
      </c>
      <c r="I889" t="s">
        <v>24</v>
      </c>
      <c r="J889">
        <v>13191</v>
      </c>
      <c r="K889">
        <v>3</v>
      </c>
      <c r="L889">
        <v>3</v>
      </c>
      <c r="M889">
        <v>1</v>
      </c>
      <c r="N889" t="s">
        <v>20</v>
      </c>
      <c r="O889" t="s">
        <v>35</v>
      </c>
      <c r="P889">
        <v>60287538</v>
      </c>
    </row>
    <row r="890" spans="1:16" ht="14.25" x14ac:dyDescent="0.2">
      <c r="A890">
        <v>35</v>
      </c>
      <c r="B890" t="s">
        <v>22</v>
      </c>
      <c r="C890" t="s">
        <v>17</v>
      </c>
      <c r="D890">
        <v>8</v>
      </c>
      <c r="E890">
        <v>2</v>
      </c>
      <c r="F890" t="s">
        <v>36</v>
      </c>
      <c r="G890">
        <v>3</v>
      </c>
      <c r="H890">
        <v>4</v>
      </c>
      <c r="I890" t="s">
        <v>24</v>
      </c>
      <c r="J890">
        <v>10377</v>
      </c>
      <c r="K890">
        <v>4</v>
      </c>
      <c r="L890">
        <v>2</v>
      </c>
      <c r="M890">
        <v>13</v>
      </c>
      <c r="N890" t="s">
        <v>20</v>
      </c>
      <c r="O890" t="s">
        <v>21</v>
      </c>
      <c r="P890">
        <v>29136652</v>
      </c>
    </row>
    <row r="891" spans="1:16" ht="14.25" x14ac:dyDescent="0.2">
      <c r="A891">
        <v>27</v>
      </c>
      <c r="B891" t="s">
        <v>22</v>
      </c>
      <c r="C891" t="s">
        <v>23</v>
      </c>
      <c r="D891">
        <v>14</v>
      </c>
      <c r="E891">
        <v>3</v>
      </c>
      <c r="F891" t="s">
        <v>18</v>
      </c>
      <c r="G891">
        <v>1</v>
      </c>
      <c r="H891">
        <v>1</v>
      </c>
      <c r="I891" t="s">
        <v>24</v>
      </c>
      <c r="J891">
        <v>2235</v>
      </c>
      <c r="K891">
        <v>1</v>
      </c>
      <c r="L891">
        <v>2</v>
      </c>
      <c r="M891">
        <v>9</v>
      </c>
      <c r="N891" t="s">
        <v>25</v>
      </c>
      <c r="O891" t="s">
        <v>26</v>
      </c>
      <c r="P891">
        <v>39603950</v>
      </c>
    </row>
    <row r="892" spans="1:16" ht="14.25" x14ac:dyDescent="0.2">
      <c r="A892">
        <v>54</v>
      </c>
      <c r="B892" t="s">
        <v>22</v>
      </c>
      <c r="C892" t="s">
        <v>23</v>
      </c>
      <c r="D892">
        <v>1</v>
      </c>
      <c r="E892">
        <v>4</v>
      </c>
      <c r="F892" t="s">
        <v>18</v>
      </c>
      <c r="G892">
        <v>4</v>
      </c>
      <c r="H892">
        <v>3</v>
      </c>
      <c r="I892" t="s">
        <v>30</v>
      </c>
      <c r="J892">
        <v>10502</v>
      </c>
      <c r="K892">
        <v>7</v>
      </c>
      <c r="L892">
        <v>1</v>
      </c>
      <c r="M892">
        <v>5</v>
      </c>
      <c r="N892" t="s">
        <v>20</v>
      </c>
      <c r="O892" t="s">
        <v>31</v>
      </c>
      <c r="P892">
        <v>17370995</v>
      </c>
    </row>
    <row r="893" spans="1:16" ht="14.25" x14ac:dyDescent="0.2">
      <c r="A893">
        <v>44</v>
      </c>
      <c r="B893" t="s">
        <v>22</v>
      </c>
      <c r="C893" t="s">
        <v>23</v>
      </c>
      <c r="D893">
        <v>2</v>
      </c>
      <c r="E893">
        <v>1</v>
      </c>
      <c r="F893" t="s">
        <v>18</v>
      </c>
      <c r="G893">
        <v>1</v>
      </c>
      <c r="H893">
        <v>4</v>
      </c>
      <c r="I893" t="s">
        <v>24</v>
      </c>
      <c r="J893">
        <v>2011</v>
      </c>
      <c r="K893">
        <v>1</v>
      </c>
      <c r="L893">
        <v>3</v>
      </c>
      <c r="M893">
        <v>10</v>
      </c>
      <c r="N893" t="s">
        <v>20</v>
      </c>
      <c r="O893" t="s">
        <v>26</v>
      </c>
      <c r="P893">
        <v>59155237</v>
      </c>
    </row>
    <row r="894" spans="1:16" ht="14.25" x14ac:dyDescent="0.2">
      <c r="A894">
        <v>19</v>
      </c>
      <c r="B894" t="s">
        <v>16</v>
      </c>
      <c r="C894" t="s">
        <v>23</v>
      </c>
      <c r="D894">
        <v>10</v>
      </c>
      <c r="E894">
        <v>3</v>
      </c>
      <c r="F894" t="s">
        <v>29</v>
      </c>
      <c r="G894">
        <v>1</v>
      </c>
      <c r="H894">
        <v>2</v>
      </c>
      <c r="I894" t="s">
        <v>19</v>
      </c>
      <c r="J894">
        <v>1859</v>
      </c>
      <c r="K894">
        <v>1</v>
      </c>
      <c r="L894">
        <v>4</v>
      </c>
      <c r="M894">
        <v>1</v>
      </c>
      <c r="N894" t="s">
        <v>20</v>
      </c>
      <c r="O894" t="s">
        <v>26</v>
      </c>
      <c r="P894">
        <v>10509378</v>
      </c>
    </row>
    <row r="895" spans="1:16" ht="14.25" x14ac:dyDescent="0.2">
      <c r="A895">
        <v>29</v>
      </c>
      <c r="B895" t="s">
        <v>22</v>
      </c>
      <c r="C895" t="s">
        <v>23</v>
      </c>
      <c r="D895">
        <v>1</v>
      </c>
      <c r="E895">
        <v>3</v>
      </c>
      <c r="F895" t="s">
        <v>18</v>
      </c>
      <c r="G895">
        <v>1</v>
      </c>
      <c r="H895">
        <v>4</v>
      </c>
      <c r="I895" t="s">
        <v>30</v>
      </c>
      <c r="J895">
        <v>3760</v>
      </c>
      <c r="K895">
        <v>1</v>
      </c>
      <c r="L895">
        <v>3</v>
      </c>
      <c r="M895">
        <v>3</v>
      </c>
      <c r="N895" t="s">
        <v>20</v>
      </c>
      <c r="O895" t="s">
        <v>26</v>
      </c>
      <c r="P895">
        <v>77256810</v>
      </c>
    </row>
    <row r="896" spans="1:16" ht="14.25" x14ac:dyDescent="0.2">
      <c r="A896">
        <v>54</v>
      </c>
      <c r="B896" t="s">
        <v>22</v>
      </c>
      <c r="C896" t="s">
        <v>23</v>
      </c>
      <c r="D896">
        <v>3</v>
      </c>
      <c r="E896">
        <v>3</v>
      </c>
      <c r="F896" t="s">
        <v>18</v>
      </c>
      <c r="G896">
        <v>4</v>
      </c>
      <c r="H896">
        <v>4</v>
      </c>
      <c r="I896" t="s">
        <v>24</v>
      </c>
      <c r="J896">
        <v>17779</v>
      </c>
      <c r="K896">
        <v>3</v>
      </c>
      <c r="L896">
        <v>3</v>
      </c>
      <c r="M896">
        <v>10</v>
      </c>
      <c r="N896" t="s">
        <v>25</v>
      </c>
      <c r="O896" t="s">
        <v>35</v>
      </c>
      <c r="P896">
        <v>25345119</v>
      </c>
    </row>
    <row r="897" spans="1:16" ht="14.25" x14ac:dyDescent="0.2">
      <c r="A897">
        <v>31</v>
      </c>
      <c r="B897" t="s">
        <v>22</v>
      </c>
      <c r="C897" t="s">
        <v>23</v>
      </c>
      <c r="D897">
        <v>11</v>
      </c>
      <c r="E897">
        <v>2</v>
      </c>
      <c r="F897" t="s">
        <v>29</v>
      </c>
      <c r="G897">
        <v>3</v>
      </c>
      <c r="H897">
        <v>1</v>
      </c>
      <c r="I897" t="s">
        <v>24</v>
      </c>
      <c r="J897">
        <v>6833</v>
      </c>
      <c r="K897">
        <v>1</v>
      </c>
      <c r="L897">
        <v>2</v>
      </c>
      <c r="M897">
        <v>6</v>
      </c>
      <c r="N897" t="s">
        <v>25</v>
      </c>
      <c r="O897" t="s">
        <v>32</v>
      </c>
      <c r="P897">
        <v>85951869</v>
      </c>
    </row>
    <row r="898" spans="1:16" ht="14.25" x14ac:dyDescent="0.2">
      <c r="A898">
        <v>31</v>
      </c>
      <c r="B898" t="s">
        <v>22</v>
      </c>
      <c r="C898" t="s">
        <v>23</v>
      </c>
      <c r="D898">
        <v>24</v>
      </c>
      <c r="E898">
        <v>3</v>
      </c>
      <c r="F898" t="s">
        <v>29</v>
      </c>
      <c r="G898">
        <v>3</v>
      </c>
      <c r="H898">
        <v>1</v>
      </c>
      <c r="I898" t="s">
        <v>19</v>
      </c>
      <c r="J898">
        <v>6812</v>
      </c>
      <c r="K898">
        <v>1</v>
      </c>
      <c r="L898">
        <v>3</v>
      </c>
      <c r="M898">
        <v>10</v>
      </c>
      <c r="N898" t="s">
        <v>20</v>
      </c>
      <c r="O898" t="s">
        <v>32</v>
      </c>
      <c r="P898">
        <v>60589104</v>
      </c>
    </row>
    <row r="899" spans="1:16" ht="14.25" x14ac:dyDescent="0.2">
      <c r="A899">
        <v>59</v>
      </c>
      <c r="B899" t="s">
        <v>22</v>
      </c>
      <c r="C899" t="s">
        <v>17</v>
      </c>
      <c r="D899">
        <v>3</v>
      </c>
      <c r="E899">
        <v>3</v>
      </c>
      <c r="F899" t="s">
        <v>18</v>
      </c>
      <c r="G899">
        <v>3</v>
      </c>
      <c r="H899">
        <v>4</v>
      </c>
      <c r="I899" t="s">
        <v>19</v>
      </c>
      <c r="J899">
        <v>5171</v>
      </c>
      <c r="K899">
        <v>5</v>
      </c>
      <c r="L899">
        <v>3</v>
      </c>
      <c r="M899">
        <v>6</v>
      </c>
      <c r="N899" t="s">
        <v>20</v>
      </c>
      <c r="O899" t="s">
        <v>21</v>
      </c>
      <c r="P899">
        <v>18841009</v>
      </c>
    </row>
    <row r="900" spans="1:16" ht="14.25" x14ac:dyDescent="0.2">
      <c r="A900">
        <v>43</v>
      </c>
      <c r="B900" t="s">
        <v>22</v>
      </c>
      <c r="C900" t="s">
        <v>23</v>
      </c>
      <c r="D900">
        <v>3</v>
      </c>
      <c r="E900">
        <v>3</v>
      </c>
      <c r="F900" t="s">
        <v>18</v>
      </c>
      <c r="G900">
        <v>3</v>
      </c>
      <c r="H900">
        <v>4</v>
      </c>
      <c r="I900" t="s">
        <v>24</v>
      </c>
      <c r="J900">
        <v>19740</v>
      </c>
      <c r="K900">
        <v>3</v>
      </c>
      <c r="L900">
        <v>3</v>
      </c>
      <c r="M900">
        <v>8</v>
      </c>
      <c r="N900" t="s">
        <v>25</v>
      </c>
      <c r="O900" t="s">
        <v>35</v>
      </c>
      <c r="P900">
        <v>28598606</v>
      </c>
    </row>
    <row r="901" spans="1:16" ht="14.25" x14ac:dyDescent="0.2">
      <c r="A901">
        <v>49</v>
      </c>
      <c r="B901" t="s">
        <v>22</v>
      </c>
      <c r="C901" t="s">
        <v>23</v>
      </c>
      <c r="D901">
        <v>4</v>
      </c>
      <c r="E901">
        <v>2</v>
      </c>
      <c r="F901" t="s">
        <v>29</v>
      </c>
      <c r="G901">
        <v>1</v>
      </c>
      <c r="H901">
        <v>3</v>
      </c>
      <c r="I901" t="s">
        <v>24</v>
      </c>
      <c r="J901">
        <v>18711</v>
      </c>
      <c r="K901">
        <v>2</v>
      </c>
      <c r="L901">
        <v>4</v>
      </c>
      <c r="M901">
        <v>1</v>
      </c>
      <c r="N901" t="s">
        <v>25</v>
      </c>
      <c r="O901" t="s">
        <v>33</v>
      </c>
      <c r="P901">
        <v>63740309</v>
      </c>
    </row>
    <row r="902" spans="1:16" ht="14.25" x14ac:dyDescent="0.2">
      <c r="A902">
        <v>36</v>
      </c>
      <c r="B902" t="s">
        <v>22</v>
      </c>
      <c r="C902" t="s">
        <v>23</v>
      </c>
      <c r="D902">
        <v>3</v>
      </c>
      <c r="E902">
        <v>3</v>
      </c>
      <c r="F902" t="s">
        <v>37</v>
      </c>
      <c r="G902">
        <v>3</v>
      </c>
      <c r="H902">
        <v>2</v>
      </c>
      <c r="I902" t="s">
        <v>24</v>
      </c>
      <c r="J902">
        <v>3692</v>
      </c>
      <c r="K902">
        <v>1</v>
      </c>
      <c r="L902">
        <v>2</v>
      </c>
      <c r="M902">
        <v>11</v>
      </c>
      <c r="N902" t="s">
        <v>25</v>
      </c>
      <c r="O902" t="s">
        <v>26</v>
      </c>
      <c r="P902">
        <v>48361244</v>
      </c>
    </row>
    <row r="903" spans="1:16" ht="14.25" x14ac:dyDescent="0.2">
      <c r="A903">
        <v>48</v>
      </c>
      <c r="B903" t="s">
        <v>22</v>
      </c>
      <c r="C903" t="s">
        <v>23</v>
      </c>
      <c r="D903">
        <v>2</v>
      </c>
      <c r="E903">
        <v>2</v>
      </c>
      <c r="F903" t="s">
        <v>37</v>
      </c>
      <c r="G903">
        <v>4</v>
      </c>
      <c r="H903">
        <v>2</v>
      </c>
      <c r="I903" t="s">
        <v>19</v>
      </c>
      <c r="J903">
        <v>2559</v>
      </c>
      <c r="K903">
        <v>5</v>
      </c>
      <c r="L903">
        <v>2</v>
      </c>
      <c r="M903">
        <v>1</v>
      </c>
      <c r="N903" t="s">
        <v>25</v>
      </c>
      <c r="O903" t="s">
        <v>28</v>
      </c>
      <c r="P903">
        <v>23363442</v>
      </c>
    </row>
    <row r="904" spans="1:16" ht="14.25" x14ac:dyDescent="0.2">
      <c r="A904">
        <v>27</v>
      </c>
      <c r="B904" t="s">
        <v>22</v>
      </c>
      <c r="C904" t="s">
        <v>23</v>
      </c>
      <c r="D904">
        <v>4</v>
      </c>
      <c r="E904">
        <v>2</v>
      </c>
      <c r="F904" t="s">
        <v>18</v>
      </c>
      <c r="G904">
        <v>1</v>
      </c>
      <c r="H904">
        <v>3</v>
      </c>
      <c r="I904" t="s">
        <v>30</v>
      </c>
      <c r="J904">
        <v>2517</v>
      </c>
      <c r="K904">
        <v>1</v>
      </c>
      <c r="L904">
        <v>3</v>
      </c>
      <c r="M904">
        <v>5</v>
      </c>
      <c r="N904" t="s">
        <v>25</v>
      </c>
      <c r="O904" t="s">
        <v>26</v>
      </c>
      <c r="P904">
        <v>66242134</v>
      </c>
    </row>
    <row r="905" spans="1:16" ht="14.25" x14ac:dyDescent="0.2">
      <c r="A905">
        <v>29</v>
      </c>
      <c r="B905" t="s">
        <v>22</v>
      </c>
      <c r="C905" t="s">
        <v>23</v>
      </c>
      <c r="D905">
        <v>7</v>
      </c>
      <c r="E905">
        <v>3</v>
      </c>
      <c r="F905" t="s">
        <v>18</v>
      </c>
      <c r="G905">
        <v>3</v>
      </c>
      <c r="H905">
        <v>4</v>
      </c>
      <c r="I905" t="s">
        <v>30</v>
      </c>
      <c r="J905">
        <v>6623</v>
      </c>
      <c r="K905">
        <v>1</v>
      </c>
      <c r="L905">
        <v>3</v>
      </c>
      <c r="M905">
        <v>6</v>
      </c>
      <c r="N905" t="s">
        <v>25</v>
      </c>
      <c r="O905" t="s">
        <v>32</v>
      </c>
      <c r="P905">
        <v>59065050</v>
      </c>
    </row>
    <row r="906" spans="1:16" ht="14.25" x14ac:dyDescent="0.2">
      <c r="A906">
        <v>48</v>
      </c>
      <c r="B906" t="s">
        <v>22</v>
      </c>
      <c r="C906" t="s">
        <v>23</v>
      </c>
      <c r="D906">
        <v>1</v>
      </c>
      <c r="E906">
        <v>3</v>
      </c>
      <c r="F906" t="s">
        <v>18</v>
      </c>
      <c r="G906">
        <v>4</v>
      </c>
      <c r="H906">
        <v>4</v>
      </c>
      <c r="I906" t="s">
        <v>19</v>
      </c>
      <c r="J906">
        <v>18265</v>
      </c>
      <c r="K906">
        <v>6</v>
      </c>
      <c r="L906">
        <v>4</v>
      </c>
      <c r="M906">
        <v>1</v>
      </c>
      <c r="N906" t="s">
        <v>25</v>
      </c>
      <c r="O906" t="s">
        <v>35</v>
      </c>
      <c r="P906">
        <v>44458576</v>
      </c>
    </row>
    <row r="907" spans="1:16" ht="14.25" x14ac:dyDescent="0.2">
      <c r="A907">
        <v>29</v>
      </c>
      <c r="B907" t="s">
        <v>22</v>
      </c>
      <c r="C907" t="s">
        <v>23</v>
      </c>
      <c r="D907">
        <v>1</v>
      </c>
      <c r="E907">
        <v>3</v>
      </c>
      <c r="F907" t="s">
        <v>18</v>
      </c>
      <c r="G907">
        <v>4</v>
      </c>
      <c r="H907">
        <v>4</v>
      </c>
      <c r="I907" t="s">
        <v>30</v>
      </c>
      <c r="J907">
        <v>16124</v>
      </c>
      <c r="K907">
        <v>3</v>
      </c>
      <c r="L907">
        <v>2</v>
      </c>
      <c r="M907">
        <v>7</v>
      </c>
      <c r="N907" t="s">
        <v>20</v>
      </c>
      <c r="O907" t="s">
        <v>35</v>
      </c>
      <c r="P907">
        <v>10244557</v>
      </c>
    </row>
    <row r="908" spans="1:16" ht="14.25" x14ac:dyDescent="0.2">
      <c r="A908">
        <v>34</v>
      </c>
      <c r="B908" t="s">
        <v>22</v>
      </c>
      <c r="C908" t="s">
        <v>23</v>
      </c>
      <c r="D908">
        <v>20</v>
      </c>
      <c r="E908">
        <v>3</v>
      </c>
      <c r="F908" t="s">
        <v>37</v>
      </c>
      <c r="G908">
        <v>3</v>
      </c>
      <c r="H908">
        <v>3</v>
      </c>
      <c r="I908" t="s">
        <v>24</v>
      </c>
      <c r="J908">
        <v>2585</v>
      </c>
      <c r="K908">
        <v>0</v>
      </c>
      <c r="L908">
        <v>2</v>
      </c>
      <c r="M908">
        <v>1</v>
      </c>
      <c r="N908" t="s">
        <v>20</v>
      </c>
      <c r="O908" t="s">
        <v>26</v>
      </c>
      <c r="P908">
        <v>11835211</v>
      </c>
    </row>
    <row r="909" spans="1:16" ht="14.25" x14ac:dyDescent="0.2">
      <c r="A909">
        <v>44</v>
      </c>
      <c r="B909" t="s">
        <v>22</v>
      </c>
      <c r="C909" t="s">
        <v>17</v>
      </c>
      <c r="D909">
        <v>5</v>
      </c>
      <c r="E909">
        <v>3</v>
      </c>
      <c r="F909" t="s">
        <v>36</v>
      </c>
      <c r="G909">
        <v>2</v>
      </c>
      <c r="H909">
        <v>2</v>
      </c>
      <c r="I909" t="s">
        <v>24</v>
      </c>
      <c r="J909">
        <v>18213</v>
      </c>
      <c r="K909">
        <v>7</v>
      </c>
      <c r="L909">
        <v>3</v>
      </c>
      <c r="M909">
        <v>22</v>
      </c>
      <c r="N909" t="s">
        <v>25</v>
      </c>
      <c r="O909" t="s">
        <v>33</v>
      </c>
      <c r="P909">
        <v>84068400</v>
      </c>
    </row>
    <row r="910" spans="1:16" ht="14.25" x14ac:dyDescent="0.2">
      <c r="A910">
        <v>33</v>
      </c>
      <c r="B910" t="s">
        <v>22</v>
      </c>
      <c r="C910" t="s">
        <v>17</v>
      </c>
      <c r="D910">
        <v>10</v>
      </c>
      <c r="E910">
        <v>5</v>
      </c>
      <c r="F910" t="s">
        <v>36</v>
      </c>
      <c r="G910">
        <v>4</v>
      </c>
      <c r="H910">
        <v>3</v>
      </c>
      <c r="I910" t="s">
        <v>30</v>
      </c>
      <c r="J910">
        <v>8380</v>
      </c>
      <c r="K910">
        <v>0</v>
      </c>
      <c r="L910">
        <v>3</v>
      </c>
      <c r="M910">
        <v>9</v>
      </c>
      <c r="N910" t="s">
        <v>25</v>
      </c>
      <c r="O910" t="s">
        <v>21</v>
      </c>
      <c r="P910">
        <v>32228839</v>
      </c>
    </row>
    <row r="911" spans="1:16" ht="14.25" x14ac:dyDescent="0.2">
      <c r="A911">
        <v>19</v>
      </c>
      <c r="B911" t="s">
        <v>22</v>
      </c>
      <c r="C911" t="s">
        <v>23</v>
      </c>
      <c r="D911">
        <v>25</v>
      </c>
      <c r="E911">
        <v>3</v>
      </c>
      <c r="F911" t="s">
        <v>18</v>
      </c>
      <c r="G911">
        <v>2</v>
      </c>
      <c r="H911">
        <v>4</v>
      </c>
      <c r="I911" t="s">
        <v>19</v>
      </c>
      <c r="J911">
        <v>2994</v>
      </c>
      <c r="K911">
        <v>1</v>
      </c>
      <c r="L911">
        <v>3</v>
      </c>
      <c r="M911">
        <v>1</v>
      </c>
      <c r="N911" t="s">
        <v>20</v>
      </c>
      <c r="O911" t="s">
        <v>26</v>
      </c>
      <c r="P911">
        <v>24641560</v>
      </c>
    </row>
    <row r="912" spans="1:16" ht="14.25" x14ac:dyDescent="0.2">
      <c r="A912">
        <v>23</v>
      </c>
      <c r="B912" t="s">
        <v>22</v>
      </c>
      <c r="C912" t="s">
        <v>23</v>
      </c>
      <c r="D912">
        <v>1</v>
      </c>
      <c r="E912">
        <v>2</v>
      </c>
      <c r="F912" t="s">
        <v>18</v>
      </c>
      <c r="G912">
        <v>4</v>
      </c>
      <c r="H912">
        <v>3</v>
      </c>
      <c r="I912" t="s">
        <v>24</v>
      </c>
      <c r="J912">
        <v>1223</v>
      </c>
      <c r="K912">
        <v>1</v>
      </c>
      <c r="L912">
        <v>3</v>
      </c>
      <c r="M912">
        <v>1</v>
      </c>
      <c r="N912" t="s">
        <v>25</v>
      </c>
      <c r="O912" t="s">
        <v>26</v>
      </c>
      <c r="P912">
        <v>59856893</v>
      </c>
    </row>
    <row r="913" spans="1:16" ht="14.25" x14ac:dyDescent="0.2">
      <c r="A913">
        <v>25</v>
      </c>
      <c r="B913" t="s">
        <v>16</v>
      </c>
      <c r="C913" t="s">
        <v>17</v>
      </c>
      <c r="D913">
        <v>24</v>
      </c>
      <c r="E913">
        <v>1</v>
      </c>
      <c r="F913" t="s">
        <v>18</v>
      </c>
      <c r="G913">
        <v>3</v>
      </c>
      <c r="H913">
        <v>4</v>
      </c>
      <c r="I913" t="s">
        <v>19</v>
      </c>
      <c r="J913">
        <v>1118</v>
      </c>
      <c r="K913">
        <v>1</v>
      </c>
      <c r="L913">
        <v>3</v>
      </c>
      <c r="M913">
        <v>1</v>
      </c>
      <c r="N913" t="s">
        <v>25</v>
      </c>
      <c r="O913" t="s">
        <v>34</v>
      </c>
      <c r="P913">
        <v>66349467</v>
      </c>
    </row>
    <row r="914" spans="1:16" ht="14.25" x14ac:dyDescent="0.2">
      <c r="A914">
        <v>26</v>
      </c>
      <c r="B914" t="s">
        <v>22</v>
      </c>
      <c r="C914" t="s">
        <v>23</v>
      </c>
      <c r="D914">
        <v>4</v>
      </c>
      <c r="E914">
        <v>2</v>
      </c>
      <c r="F914" t="s">
        <v>18</v>
      </c>
      <c r="G914">
        <v>3</v>
      </c>
      <c r="H914">
        <v>4</v>
      </c>
      <c r="I914" t="s">
        <v>19</v>
      </c>
      <c r="J914">
        <v>2875</v>
      </c>
      <c r="K914">
        <v>1</v>
      </c>
      <c r="L914">
        <v>2</v>
      </c>
      <c r="M914">
        <v>8</v>
      </c>
      <c r="N914" t="s">
        <v>25</v>
      </c>
      <c r="O914" t="s">
        <v>26</v>
      </c>
      <c r="P914">
        <v>68375992</v>
      </c>
    </row>
    <row r="915" spans="1:16" ht="14.25" x14ac:dyDescent="0.2">
      <c r="A915">
        <v>45</v>
      </c>
      <c r="B915" t="s">
        <v>16</v>
      </c>
      <c r="C915" t="s">
        <v>17</v>
      </c>
      <c r="D915">
        <v>2</v>
      </c>
      <c r="E915">
        <v>3</v>
      </c>
      <c r="F915" t="s">
        <v>36</v>
      </c>
      <c r="G915">
        <v>1</v>
      </c>
      <c r="H915">
        <v>2</v>
      </c>
      <c r="I915" t="s">
        <v>19</v>
      </c>
      <c r="J915">
        <v>18824</v>
      </c>
      <c r="K915">
        <v>2</v>
      </c>
      <c r="L915">
        <v>3</v>
      </c>
      <c r="M915">
        <v>24</v>
      </c>
      <c r="N915" t="s">
        <v>20</v>
      </c>
      <c r="O915" t="s">
        <v>33</v>
      </c>
      <c r="P915">
        <v>72232441</v>
      </c>
    </row>
    <row r="916" spans="1:16" ht="14.25" x14ac:dyDescent="0.2">
      <c r="A916">
        <v>55</v>
      </c>
      <c r="B916" t="s">
        <v>22</v>
      </c>
      <c r="C916" t="s">
        <v>23</v>
      </c>
      <c r="D916">
        <v>8</v>
      </c>
      <c r="E916">
        <v>1</v>
      </c>
      <c r="F916" t="s">
        <v>29</v>
      </c>
      <c r="G916">
        <v>4</v>
      </c>
      <c r="H916">
        <v>2</v>
      </c>
      <c r="I916" t="s">
        <v>30</v>
      </c>
      <c r="J916">
        <v>13577</v>
      </c>
      <c r="K916">
        <v>1</v>
      </c>
      <c r="L916">
        <v>3</v>
      </c>
      <c r="M916">
        <v>33</v>
      </c>
      <c r="N916" t="s">
        <v>25</v>
      </c>
      <c r="O916" t="s">
        <v>32</v>
      </c>
      <c r="P916">
        <v>12783265</v>
      </c>
    </row>
    <row r="917" spans="1:16" ht="14.25" x14ac:dyDescent="0.2">
      <c r="A917">
        <v>21</v>
      </c>
      <c r="B917" t="s">
        <v>16</v>
      </c>
      <c r="C917" t="s">
        <v>23</v>
      </c>
      <c r="D917">
        <v>10</v>
      </c>
      <c r="E917">
        <v>2</v>
      </c>
      <c r="F917" t="s">
        <v>18</v>
      </c>
      <c r="G917">
        <v>1</v>
      </c>
      <c r="H917">
        <v>3</v>
      </c>
      <c r="I917" t="s">
        <v>19</v>
      </c>
      <c r="J917">
        <v>2625</v>
      </c>
      <c r="K917">
        <v>1</v>
      </c>
      <c r="L917">
        <v>1</v>
      </c>
      <c r="M917">
        <v>2</v>
      </c>
      <c r="N917" t="s">
        <v>20</v>
      </c>
      <c r="O917" t="s">
        <v>28</v>
      </c>
      <c r="P917">
        <v>43154234</v>
      </c>
    </row>
    <row r="918" spans="1:16" ht="14.25" x14ac:dyDescent="0.2">
      <c r="A918">
        <v>46</v>
      </c>
      <c r="B918" t="s">
        <v>22</v>
      </c>
      <c r="C918" t="s">
        <v>17</v>
      </c>
      <c r="D918">
        <v>4</v>
      </c>
      <c r="E918">
        <v>2</v>
      </c>
      <c r="F918" t="s">
        <v>36</v>
      </c>
      <c r="G918">
        <v>4</v>
      </c>
      <c r="H918">
        <v>2</v>
      </c>
      <c r="I918" t="s">
        <v>24</v>
      </c>
      <c r="J918">
        <v>18789</v>
      </c>
      <c r="K918">
        <v>2</v>
      </c>
      <c r="L918">
        <v>3</v>
      </c>
      <c r="M918">
        <v>11</v>
      </c>
      <c r="N918" t="s">
        <v>20</v>
      </c>
      <c r="O918" t="s">
        <v>33</v>
      </c>
      <c r="P918">
        <v>73057193</v>
      </c>
    </row>
    <row r="919" spans="1:16" ht="14.25" x14ac:dyDescent="0.2">
      <c r="A919">
        <v>34</v>
      </c>
      <c r="B919" t="s">
        <v>22</v>
      </c>
      <c r="C919" t="s">
        <v>17</v>
      </c>
      <c r="D919">
        <v>2</v>
      </c>
      <c r="E919">
        <v>3</v>
      </c>
      <c r="F919" t="s">
        <v>36</v>
      </c>
      <c r="G919">
        <v>3</v>
      </c>
      <c r="H919">
        <v>1</v>
      </c>
      <c r="I919" t="s">
        <v>19</v>
      </c>
      <c r="J919">
        <v>4538</v>
      </c>
      <c r="K919">
        <v>0</v>
      </c>
      <c r="L919">
        <v>3</v>
      </c>
      <c r="M919">
        <v>3</v>
      </c>
      <c r="N919" t="s">
        <v>20</v>
      </c>
      <c r="O919" t="s">
        <v>21</v>
      </c>
      <c r="P919">
        <v>75294468</v>
      </c>
    </row>
    <row r="920" spans="1:16" ht="14.25" x14ac:dyDescent="0.2">
      <c r="A920">
        <v>51</v>
      </c>
      <c r="B920" t="s">
        <v>22</v>
      </c>
      <c r="C920" t="s">
        <v>17</v>
      </c>
      <c r="D920">
        <v>9</v>
      </c>
      <c r="E920">
        <v>3</v>
      </c>
      <c r="F920" t="s">
        <v>18</v>
      </c>
      <c r="G920">
        <v>4</v>
      </c>
      <c r="H920">
        <v>2</v>
      </c>
      <c r="I920" t="s">
        <v>30</v>
      </c>
      <c r="J920">
        <v>19847</v>
      </c>
      <c r="K920">
        <v>4</v>
      </c>
      <c r="L920">
        <v>2</v>
      </c>
      <c r="M920">
        <v>29</v>
      </c>
      <c r="N920" t="s">
        <v>25</v>
      </c>
      <c r="O920" t="s">
        <v>33</v>
      </c>
      <c r="P920">
        <v>17565770</v>
      </c>
    </row>
    <row r="921" spans="1:16" ht="14.25" x14ac:dyDescent="0.2">
      <c r="A921">
        <v>59</v>
      </c>
      <c r="B921" t="s">
        <v>22</v>
      </c>
      <c r="C921" t="s">
        <v>23</v>
      </c>
      <c r="D921">
        <v>18</v>
      </c>
      <c r="E921">
        <v>4</v>
      </c>
      <c r="F921" t="s">
        <v>29</v>
      </c>
      <c r="G921">
        <v>4</v>
      </c>
      <c r="H921">
        <v>4</v>
      </c>
      <c r="I921" t="s">
        <v>19</v>
      </c>
      <c r="J921">
        <v>10512</v>
      </c>
      <c r="K921">
        <v>6</v>
      </c>
      <c r="L921">
        <v>2</v>
      </c>
      <c r="M921">
        <v>9</v>
      </c>
      <c r="N921" t="s">
        <v>25</v>
      </c>
      <c r="O921" t="s">
        <v>31</v>
      </c>
      <c r="P921">
        <v>23094784</v>
      </c>
    </row>
    <row r="922" spans="1:16" ht="14.25" x14ac:dyDescent="0.2">
      <c r="A922">
        <v>34</v>
      </c>
      <c r="B922" t="s">
        <v>22</v>
      </c>
      <c r="C922" t="s">
        <v>23</v>
      </c>
      <c r="D922">
        <v>19</v>
      </c>
      <c r="E922">
        <v>3</v>
      </c>
      <c r="F922" t="s">
        <v>29</v>
      </c>
      <c r="G922">
        <v>3</v>
      </c>
      <c r="H922">
        <v>2</v>
      </c>
      <c r="I922" t="s">
        <v>30</v>
      </c>
      <c r="J922">
        <v>4444</v>
      </c>
      <c r="K922">
        <v>4</v>
      </c>
      <c r="L922">
        <v>4</v>
      </c>
      <c r="M922">
        <v>11</v>
      </c>
      <c r="N922" t="s">
        <v>20</v>
      </c>
      <c r="O922" t="s">
        <v>28</v>
      </c>
      <c r="P922">
        <v>39489843</v>
      </c>
    </row>
    <row r="923" spans="1:16" ht="14.25" x14ac:dyDescent="0.2">
      <c r="A923">
        <v>28</v>
      </c>
      <c r="B923" t="s">
        <v>22</v>
      </c>
      <c r="C923" t="s">
        <v>23</v>
      </c>
      <c r="D923">
        <v>1</v>
      </c>
      <c r="E923">
        <v>4</v>
      </c>
      <c r="F923" t="s">
        <v>29</v>
      </c>
      <c r="G923">
        <v>4</v>
      </c>
      <c r="H923">
        <v>3</v>
      </c>
      <c r="I923" t="s">
        <v>19</v>
      </c>
      <c r="J923">
        <v>2154</v>
      </c>
      <c r="K923">
        <v>0</v>
      </c>
      <c r="L923">
        <v>2</v>
      </c>
      <c r="M923">
        <v>4</v>
      </c>
      <c r="N923" t="s">
        <v>25</v>
      </c>
      <c r="O923" t="s">
        <v>28</v>
      </c>
      <c r="P923">
        <v>82380382</v>
      </c>
    </row>
    <row r="924" spans="1:16" ht="14.25" x14ac:dyDescent="0.2">
      <c r="A924">
        <v>44</v>
      </c>
      <c r="B924" t="s">
        <v>22</v>
      </c>
      <c r="C924" t="s">
        <v>23</v>
      </c>
      <c r="D924">
        <v>4</v>
      </c>
      <c r="E924">
        <v>2</v>
      </c>
      <c r="F924" t="s">
        <v>18</v>
      </c>
      <c r="G924">
        <v>3</v>
      </c>
      <c r="H924">
        <v>1</v>
      </c>
      <c r="I924" t="s">
        <v>30</v>
      </c>
      <c r="J924">
        <v>19190</v>
      </c>
      <c r="K924">
        <v>1</v>
      </c>
      <c r="L924">
        <v>2</v>
      </c>
      <c r="M924">
        <v>25</v>
      </c>
      <c r="N924" t="s">
        <v>25</v>
      </c>
      <c r="O924" t="s">
        <v>33</v>
      </c>
      <c r="P924">
        <v>82262683</v>
      </c>
    </row>
    <row r="925" spans="1:16" ht="14.25" x14ac:dyDescent="0.2">
      <c r="A925">
        <v>34</v>
      </c>
      <c r="B925" t="s">
        <v>22</v>
      </c>
      <c r="C925" t="s">
        <v>38</v>
      </c>
      <c r="D925">
        <v>11</v>
      </c>
      <c r="E925">
        <v>3</v>
      </c>
      <c r="F925" t="s">
        <v>18</v>
      </c>
      <c r="G925">
        <v>3</v>
      </c>
      <c r="H925">
        <v>2</v>
      </c>
      <c r="I925" t="s">
        <v>24</v>
      </c>
      <c r="J925">
        <v>4490</v>
      </c>
      <c r="K925">
        <v>4</v>
      </c>
      <c r="L925">
        <v>4</v>
      </c>
      <c r="M925">
        <v>10</v>
      </c>
      <c r="N925" t="s">
        <v>25</v>
      </c>
      <c r="O925" t="s">
        <v>38</v>
      </c>
      <c r="P925">
        <v>81712084</v>
      </c>
    </row>
    <row r="926" spans="1:16" ht="14.25" x14ac:dyDescent="0.2">
      <c r="A926">
        <v>35</v>
      </c>
      <c r="B926" t="s">
        <v>22</v>
      </c>
      <c r="C926" t="s">
        <v>23</v>
      </c>
      <c r="D926">
        <v>6</v>
      </c>
      <c r="E926">
        <v>1</v>
      </c>
      <c r="F926" t="s">
        <v>18</v>
      </c>
      <c r="G926">
        <v>3</v>
      </c>
      <c r="H926">
        <v>3</v>
      </c>
      <c r="I926" t="s">
        <v>24</v>
      </c>
      <c r="J926">
        <v>3506</v>
      </c>
      <c r="K926">
        <v>0</v>
      </c>
      <c r="L926">
        <v>3</v>
      </c>
      <c r="M926">
        <v>3</v>
      </c>
      <c r="N926" t="s">
        <v>25</v>
      </c>
      <c r="O926" t="s">
        <v>26</v>
      </c>
      <c r="P926">
        <v>82982256</v>
      </c>
    </row>
    <row r="927" spans="1:16" ht="14.25" x14ac:dyDescent="0.2">
      <c r="A927">
        <v>42</v>
      </c>
      <c r="B927" t="s">
        <v>22</v>
      </c>
      <c r="C927" t="s">
        <v>23</v>
      </c>
      <c r="D927">
        <v>7</v>
      </c>
      <c r="E927">
        <v>4</v>
      </c>
      <c r="F927" t="s">
        <v>29</v>
      </c>
      <c r="G927">
        <v>2</v>
      </c>
      <c r="H927">
        <v>2</v>
      </c>
      <c r="I927" t="s">
        <v>24</v>
      </c>
      <c r="J927">
        <v>2372</v>
      </c>
      <c r="K927">
        <v>6</v>
      </c>
      <c r="L927">
        <v>3</v>
      </c>
      <c r="M927">
        <v>1</v>
      </c>
      <c r="N927" t="s">
        <v>20</v>
      </c>
      <c r="O927" t="s">
        <v>26</v>
      </c>
      <c r="P927">
        <v>40529503</v>
      </c>
    </row>
    <row r="928" spans="1:16" ht="14.25" x14ac:dyDescent="0.2">
      <c r="A928">
        <v>43</v>
      </c>
      <c r="B928" t="s">
        <v>22</v>
      </c>
      <c r="C928" t="s">
        <v>17</v>
      </c>
      <c r="D928">
        <v>4</v>
      </c>
      <c r="E928">
        <v>4</v>
      </c>
      <c r="F928" t="s">
        <v>36</v>
      </c>
      <c r="G928">
        <v>4</v>
      </c>
      <c r="H928">
        <v>4</v>
      </c>
      <c r="I928" t="s">
        <v>19</v>
      </c>
      <c r="J928">
        <v>10231</v>
      </c>
      <c r="K928">
        <v>3</v>
      </c>
      <c r="L928">
        <v>4</v>
      </c>
      <c r="M928">
        <v>21</v>
      </c>
      <c r="N928" t="s">
        <v>20</v>
      </c>
      <c r="O928" t="s">
        <v>21</v>
      </c>
      <c r="P928">
        <v>64567197</v>
      </c>
    </row>
    <row r="929" spans="1:16" ht="14.25" x14ac:dyDescent="0.2">
      <c r="A929">
        <v>36</v>
      </c>
      <c r="B929" t="s">
        <v>22</v>
      </c>
      <c r="C929" t="s">
        <v>23</v>
      </c>
      <c r="D929">
        <v>2</v>
      </c>
      <c r="E929">
        <v>4</v>
      </c>
      <c r="F929" t="s">
        <v>18</v>
      </c>
      <c r="G929">
        <v>3</v>
      </c>
      <c r="H929">
        <v>2</v>
      </c>
      <c r="I929" t="s">
        <v>19</v>
      </c>
      <c r="J929">
        <v>5410</v>
      </c>
      <c r="K929">
        <v>9</v>
      </c>
      <c r="L929">
        <v>3</v>
      </c>
      <c r="M929">
        <v>16</v>
      </c>
      <c r="N929" t="s">
        <v>20</v>
      </c>
      <c r="O929" t="s">
        <v>31</v>
      </c>
      <c r="P929">
        <v>81774904</v>
      </c>
    </row>
    <row r="930" spans="1:16" ht="14.25" x14ac:dyDescent="0.2">
      <c r="A930">
        <v>44</v>
      </c>
      <c r="B930" t="s">
        <v>16</v>
      </c>
      <c r="C930" t="s">
        <v>23</v>
      </c>
      <c r="D930">
        <v>15</v>
      </c>
      <c r="E930">
        <v>3</v>
      </c>
      <c r="F930" t="s">
        <v>29</v>
      </c>
      <c r="G930">
        <v>1</v>
      </c>
      <c r="H930">
        <v>4</v>
      </c>
      <c r="I930" t="s">
        <v>24</v>
      </c>
      <c r="J930">
        <v>7978</v>
      </c>
      <c r="K930">
        <v>1</v>
      </c>
      <c r="L930">
        <v>3</v>
      </c>
      <c r="M930">
        <v>10</v>
      </c>
      <c r="N930" t="s">
        <v>20</v>
      </c>
      <c r="O930" t="s">
        <v>32</v>
      </c>
      <c r="P930">
        <v>15379490</v>
      </c>
    </row>
    <row r="931" spans="1:16" ht="14.25" x14ac:dyDescent="0.2">
      <c r="A931">
        <v>28</v>
      </c>
      <c r="B931" t="s">
        <v>22</v>
      </c>
      <c r="C931" t="s">
        <v>23</v>
      </c>
      <c r="D931">
        <v>2</v>
      </c>
      <c r="E931">
        <v>3</v>
      </c>
      <c r="F931" t="s">
        <v>18</v>
      </c>
      <c r="G931">
        <v>4</v>
      </c>
      <c r="H931">
        <v>4</v>
      </c>
      <c r="I931" t="s">
        <v>24</v>
      </c>
      <c r="J931">
        <v>3867</v>
      </c>
      <c r="K931">
        <v>1</v>
      </c>
      <c r="L931">
        <v>3</v>
      </c>
      <c r="M931">
        <v>2</v>
      </c>
      <c r="N931" t="s">
        <v>25</v>
      </c>
      <c r="O931" t="s">
        <v>28</v>
      </c>
      <c r="P931">
        <v>89044990</v>
      </c>
    </row>
    <row r="932" spans="1:16" ht="14.25" x14ac:dyDescent="0.2">
      <c r="A932">
        <v>51</v>
      </c>
      <c r="B932" t="s">
        <v>22</v>
      </c>
      <c r="C932" t="s">
        <v>23</v>
      </c>
      <c r="D932">
        <v>6</v>
      </c>
      <c r="E932">
        <v>2</v>
      </c>
      <c r="F932" t="s">
        <v>29</v>
      </c>
      <c r="G932">
        <v>2</v>
      </c>
      <c r="H932">
        <v>3</v>
      </c>
      <c r="I932" t="s">
        <v>19</v>
      </c>
      <c r="J932">
        <v>2838</v>
      </c>
      <c r="K932">
        <v>0</v>
      </c>
      <c r="L932">
        <v>2</v>
      </c>
      <c r="M932">
        <v>7</v>
      </c>
      <c r="N932" t="s">
        <v>20</v>
      </c>
      <c r="O932" t="s">
        <v>28</v>
      </c>
      <c r="P932">
        <v>83665315</v>
      </c>
    </row>
    <row r="933" spans="1:16" ht="14.25" x14ac:dyDescent="0.2">
      <c r="A933">
        <v>30</v>
      </c>
      <c r="B933" t="s">
        <v>22</v>
      </c>
      <c r="C933" t="s">
        <v>23</v>
      </c>
      <c r="D933">
        <v>9</v>
      </c>
      <c r="E933">
        <v>2</v>
      </c>
      <c r="F933" t="s">
        <v>29</v>
      </c>
      <c r="G933">
        <v>3</v>
      </c>
      <c r="H933">
        <v>3</v>
      </c>
      <c r="I933" t="s">
        <v>19</v>
      </c>
      <c r="J933">
        <v>4695</v>
      </c>
      <c r="K933">
        <v>7</v>
      </c>
      <c r="L933">
        <v>3</v>
      </c>
      <c r="M933">
        <v>8</v>
      </c>
      <c r="N933" t="s">
        <v>20</v>
      </c>
      <c r="O933" t="s">
        <v>31</v>
      </c>
      <c r="P933">
        <v>35945873</v>
      </c>
    </row>
    <row r="934" spans="1:16" ht="14.25" x14ac:dyDescent="0.2">
      <c r="A934">
        <v>29</v>
      </c>
      <c r="B934" t="s">
        <v>16</v>
      </c>
      <c r="C934" t="s">
        <v>23</v>
      </c>
      <c r="D934">
        <v>7</v>
      </c>
      <c r="E934">
        <v>3</v>
      </c>
      <c r="F934" t="s">
        <v>37</v>
      </c>
      <c r="G934">
        <v>2</v>
      </c>
      <c r="H934">
        <v>3</v>
      </c>
      <c r="I934" t="s">
        <v>30</v>
      </c>
      <c r="J934">
        <v>3339</v>
      </c>
      <c r="K934">
        <v>3</v>
      </c>
      <c r="L934">
        <v>3</v>
      </c>
      <c r="M934">
        <v>7</v>
      </c>
      <c r="N934" t="s">
        <v>20</v>
      </c>
      <c r="O934" t="s">
        <v>28</v>
      </c>
      <c r="P934">
        <v>76626992</v>
      </c>
    </row>
    <row r="935" spans="1:16" ht="14.25" x14ac:dyDescent="0.2">
      <c r="A935">
        <v>28</v>
      </c>
      <c r="B935" t="s">
        <v>22</v>
      </c>
      <c r="C935" t="s">
        <v>23</v>
      </c>
      <c r="D935">
        <v>1</v>
      </c>
      <c r="E935">
        <v>3</v>
      </c>
      <c r="F935" t="s">
        <v>37</v>
      </c>
      <c r="G935">
        <v>4</v>
      </c>
      <c r="H935">
        <v>1</v>
      </c>
      <c r="I935" t="s">
        <v>19</v>
      </c>
      <c r="J935">
        <v>2080</v>
      </c>
      <c r="K935">
        <v>2</v>
      </c>
      <c r="L935">
        <v>2</v>
      </c>
      <c r="M935">
        <v>3</v>
      </c>
      <c r="N935" t="s">
        <v>25</v>
      </c>
      <c r="O935" t="s">
        <v>26</v>
      </c>
      <c r="P935">
        <v>69205355</v>
      </c>
    </row>
    <row r="936" spans="1:16" ht="14.25" x14ac:dyDescent="0.2">
      <c r="A936">
        <v>25</v>
      </c>
      <c r="B936" t="s">
        <v>22</v>
      </c>
      <c r="C936" t="s">
        <v>23</v>
      </c>
      <c r="D936">
        <v>1</v>
      </c>
      <c r="E936">
        <v>3</v>
      </c>
      <c r="F936" t="s">
        <v>29</v>
      </c>
      <c r="G936">
        <v>4</v>
      </c>
      <c r="H936">
        <v>2</v>
      </c>
      <c r="I936" t="s">
        <v>19</v>
      </c>
      <c r="J936">
        <v>2096</v>
      </c>
      <c r="K936">
        <v>1</v>
      </c>
      <c r="L936">
        <v>2</v>
      </c>
      <c r="M936">
        <v>2</v>
      </c>
      <c r="N936" t="s">
        <v>20</v>
      </c>
      <c r="O936" t="s">
        <v>26</v>
      </c>
      <c r="P936">
        <v>63494020</v>
      </c>
    </row>
    <row r="937" spans="1:16" ht="14.25" x14ac:dyDescent="0.2">
      <c r="A937">
        <v>32</v>
      </c>
      <c r="B937" t="s">
        <v>22</v>
      </c>
      <c r="C937" t="s">
        <v>17</v>
      </c>
      <c r="D937">
        <v>8</v>
      </c>
      <c r="E937">
        <v>3</v>
      </c>
      <c r="F937" t="s">
        <v>29</v>
      </c>
      <c r="G937">
        <v>3</v>
      </c>
      <c r="H937">
        <v>4</v>
      </c>
      <c r="I937" t="s">
        <v>24</v>
      </c>
      <c r="J937">
        <v>6209</v>
      </c>
      <c r="K937">
        <v>1</v>
      </c>
      <c r="L937">
        <v>4</v>
      </c>
      <c r="M937">
        <v>10</v>
      </c>
      <c r="N937" t="s">
        <v>25</v>
      </c>
      <c r="O937" t="s">
        <v>21</v>
      </c>
      <c r="P937">
        <v>45966166</v>
      </c>
    </row>
    <row r="938" spans="1:16" ht="14.25" x14ac:dyDescent="0.2">
      <c r="A938">
        <v>45</v>
      </c>
      <c r="B938" t="s">
        <v>22</v>
      </c>
      <c r="C938" t="s">
        <v>23</v>
      </c>
      <c r="D938">
        <v>25</v>
      </c>
      <c r="E938">
        <v>3</v>
      </c>
      <c r="F938" t="s">
        <v>29</v>
      </c>
      <c r="G938">
        <v>2</v>
      </c>
      <c r="H938">
        <v>2</v>
      </c>
      <c r="I938" t="s">
        <v>19</v>
      </c>
      <c r="J938">
        <v>18061</v>
      </c>
      <c r="K938">
        <v>3</v>
      </c>
      <c r="L938">
        <v>3</v>
      </c>
      <c r="M938">
        <v>0</v>
      </c>
      <c r="N938" t="s">
        <v>20</v>
      </c>
      <c r="O938" t="s">
        <v>33</v>
      </c>
      <c r="P938">
        <v>55125648</v>
      </c>
    </row>
    <row r="939" spans="1:16" ht="14.25" x14ac:dyDescent="0.2">
      <c r="A939">
        <v>39</v>
      </c>
      <c r="B939" t="s">
        <v>22</v>
      </c>
      <c r="C939" t="s">
        <v>23</v>
      </c>
      <c r="D939">
        <v>13</v>
      </c>
      <c r="E939">
        <v>4</v>
      </c>
      <c r="F939" t="s">
        <v>29</v>
      </c>
      <c r="G939">
        <v>3</v>
      </c>
      <c r="H939">
        <v>2</v>
      </c>
      <c r="I939" t="s">
        <v>30</v>
      </c>
      <c r="J939">
        <v>17123</v>
      </c>
      <c r="K939">
        <v>6</v>
      </c>
      <c r="L939">
        <v>3</v>
      </c>
      <c r="M939">
        <v>19</v>
      </c>
      <c r="N939" t="s">
        <v>20</v>
      </c>
      <c r="O939" t="s">
        <v>33</v>
      </c>
      <c r="P939">
        <v>26202226</v>
      </c>
    </row>
    <row r="940" spans="1:16" ht="14.25" x14ac:dyDescent="0.2">
      <c r="A940">
        <v>58</v>
      </c>
      <c r="B940" t="s">
        <v>22</v>
      </c>
      <c r="C940" t="s">
        <v>23</v>
      </c>
      <c r="D940">
        <v>23</v>
      </c>
      <c r="E940">
        <v>4</v>
      </c>
      <c r="F940" t="s">
        <v>18</v>
      </c>
      <c r="G940">
        <v>1</v>
      </c>
      <c r="H940">
        <v>3</v>
      </c>
      <c r="I940" t="s">
        <v>30</v>
      </c>
      <c r="J940">
        <v>2372</v>
      </c>
      <c r="K940">
        <v>1</v>
      </c>
      <c r="L940">
        <v>3</v>
      </c>
      <c r="M940">
        <v>2</v>
      </c>
      <c r="N940" t="s">
        <v>25</v>
      </c>
      <c r="O940" t="s">
        <v>26</v>
      </c>
      <c r="P940">
        <v>74576945</v>
      </c>
    </row>
    <row r="941" spans="1:16" ht="14.25" x14ac:dyDescent="0.2">
      <c r="A941">
        <v>32</v>
      </c>
      <c r="B941" t="s">
        <v>16</v>
      </c>
      <c r="C941" t="s">
        <v>23</v>
      </c>
      <c r="D941">
        <v>7</v>
      </c>
      <c r="E941">
        <v>2</v>
      </c>
      <c r="F941" t="s">
        <v>18</v>
      </c>
      <c r="G941">
        <v>4</v>
      </c>
      <c r="H941">
        <v>3</v>
      </c>
      <c r="I941" t="s">
        <v>24</v>
      </c>
      <c r="J941">
        <v>4883</v>
      </c>
      <c r="K941">
        <v>1</v>
      </c>
      <c r="L941">
        <v>3</v>
      </c>
      <c r="M941">
        <v>10</v>
      </c>
      <c r="N941" t="s">
        <v>25</v>
      </c>
      <c r="O941" t="s">
        <v>28</v>
      </c>
      <c r="P941">
        <v>52209860</v>
      </c>
    </row>
    <row r="942" spans="1:16" ht="14.25" x14ac:dyDescent="0.2">
      <c r="A942">
        <v>39</v>
      </c>
      <c r="B942" t="s">
        <v>16</v>
      </c>
      <c r="C942" t="s">
        <v>23</v>
      </c>
      <c r="D942">
        <v>23</v>
      </c>
      <c r="E942">
        <v>3</v>
      </c>
      <c r="F942" t="s">
        <v>29</v>
      </c>
      <c r="G942">
        <v>3</v>
      </c>
      <c r="H942">
        <v>1</v>
      </c>
      <c r="I942" t="s">
        <v>19</v>
      </c>
      <c r="J942">
        <v>3904</v>
      </c>
      <c r="K942">
        <v>0</v>
      </c>
      <c r="L942">
        <v>3</v>
      </c>
      <c r="M942">
        <v>5</v>
      </c>
      <c r="N942" t="s">
        <v>25</v>
      </c>
      <c r="O942" t="s">
        <v>26</v>
      </c>
      <c r="P942">
        <v>58447905</v>
      </c>
    </row>
    <row r="943" spans="1:16" ht="14.25" x14ac:dyDescent="0.2">
      <c r="A943">
        <v>30</v>
      </c>
      <c r="B943" t="s">
        <v>22</v>
      </c>
      <c r="C943" t="s">
        <v>23</v>
      </c>
      <c r="D943">
        <v>6</v>
      </c>
      <c r="E943">
        <v>3</v>
      </c>
      <c r="F943" t="s">
        <v>37</v>
      </c>
      <c r="G943">
        <v>1</v>
      </c>
      <c r="H943">
        <v>4</v>
      </c>
      <c r="I943" t="s">
        <v>24</v>
      </c>
      <c r="J943">
        <v>4627</v>
      </c>
      <c r="K943">
        <v>0</v>
      </c>
      <c r="L943">
        <v>3</v>
      </c>
      <c r="M943">
        <v>9</v>
      </c>
      <c r="N943" t="s">
        <v>20</v>
      </c>
      <c r="O943" t="s">
        <v>28</v>
      </c>
      <c r="P943">
        <v>32390012</v>
      </c>
    </row>
    <row r="944" spans="1:16" ht="14.25" x14ac:dyDescent="0.2">
      <c r="A944">
        <v>36</v>
      </c>
      <c r="B944" t="s">
        <v>22</v>
      </c>
      <c r="C944" t="s">
        <v>23</v>
      </c>
      <c r="D944">
        <v>10</v>
      </c>
      <c r="E944">
        <v>4</v>
      </c>
      <c r="F944" t="s">
        <v>37</v>
      </c>
      <c r="G944">
        <v>4</v>
      </c>
      <c r="H944">
        <v>3</v>
      </c>
      <c r="I944" t="s">
        <v>24</v>
      </c>
      <c r="J944">
        <v>7094</v>
      </c>
      <c r="K944">
        <v>3</v>
      </c>
      <c r="L944">
        <v>3</v>
      </c>
      <c r="M944">
        <v>7</v>
      </c>
      <c r="N944" t="s">
        <v>20</v>
      </c>
      <c r="O944" t="s">
        <v>32</v>
      </c>
      <c r="P944">
        <v>41940119</v>
      </c>
    </row>
    <row r="945" spans="1:16" ht="14.25" x14ac:dyDescent="0.2">
      <c r="A945">
        <v>46</v>
      </c>
      <c r="B945" t="s">
        <v>22</v>
      </c>
      <c r="C945" t="s">
        <v>38</v>
      </c>
      <c r="D945">
        <v>1</v>
      </c>
      <c r="E945">
        <v>2</v>
      </c>
      <c r="F945" t="s">
        <v>18</v>
      </c>
      <c r="G945">
        <v>4</v>
      </c>
      <c r="H945">
        <v>1</v>
      </c>
      <c r="I945" t="s">
        <v>19</v>
      </c>
      <c r="J945">
        <v>3423</v>
      </c>
      <c r="K945">
        <v>6</v>
      </c>
      <c r="L945">
        <v>4</v>
      </c>
      <c r="M945">
        <v>7</v>
      </c>
      <c r="N945" t="s">
        <v>20</v>
      </c>
      <c r="O945" t="s">
        <v>38</v>
      </c>
      <c r="P945">
        <v>11522354</v>
      </c>
    </row>
    <row r="946" spans="1:16" ht="14.25" x14ac:dyDescent="0.2">
      <c r="A946">
        <v>28</v>
      </c>
      <c r="B946" t="s">
        <v>22</v>
      </c>
      <c r="C946" t="s">
        <v>23</v>
      </c>
      <c r="D946">
        <v>1</v>
      </c>
      <c r="E946">
        <v>3</v>
      </c>
      <c r="F946" t="s">
        <v>18</v>
      </c>
      <c r="G946">
        <v>3</v>
      </c>
      <c r="H946">
        <v>4</v>
      </c>
      <c r="I946" t="s">
        <v>24</v>
      </c>
      <c r="J946">
        <v>6674</v>
      </c>
      <c r="K946">
        <v>0</v>
      </c>
      <c r="L946">
        <v>3</v>
      </c>
      <c r="M946">
        <v>9</v>
      </c>
      <c r="N946" t="s">
        <v>20</v>
      </c>
      <c r="O946" t="s">
        <v>28</v>
      </c>
      <c r="P946">
        <v>44336696</v>
      </c>
    </row>
    <row r="947" spans="1:16" ht="14.25" x14ac:dyDescent="0.2">
      <c r="A947">
        <v>50</v>
      </c>
      <c r="B947" t="s">
        <v>22</v>
      </c>
      <c r="C947" t="s">
        <v>23</v>
      </c>
      <c r="D947">
        <v>28</v>
      </c>
      <c r="E947">
        <v>3</v>
      </c>
      <c r="F947" t="s">
        <v>18</v>
      </c>
      <c r="G947">
        <v>4</v>
      </c>
      <c r="H947">
        <v>1</v>
      </c>
      <c r="I947" t="s">
        <v>24</v>
      </c>
      <c r="J947">
        <v>16880</v>
      </c>
      <c r="K947">
        <v>4</v>
      </c>
      <c r="L947">
        <v>3</v>
      </c>
      <c r="M947">
        <v>3</v>
      </c>
      <c r="N947" t="s">
        <v>20</v>
      </c>
      <c r="O947" t="s">
        <v>35</v>
      </c>
      <c r="P947">
        <v>54013303</v>
      </c>
    </row>
    <row r="948" spans="1:16" ht="14.25" x14ac:dyDescent="0.2">
      <c r="A948">
        <v>40</v>
      </c>
      <c r="B948" t="s">
        <v>16</v>
      </c>
      <c r="C948" t="s">
        <v>17</v>
      </c>
      <c r="D948">
        <v>25</v>
      </c>
      <c r="E948">
        <v>4</v>
      </c>
      <c r="F948" t="s">
        <v>36</v>
      </c>
      <c r="G948">
        <v>4</v>
      </c>
      <c r="H948">
        <v>2</v>
      </c>
      <c r="I948" t="s">
        <v>19</v>
      </c>
      <c r="J948">
        <v>9094</v>
      </c>
      <c r="K948">
        <v>2</v>
      </c>
      <c r="L948">
        <v>3</v>
      </c>
      <c r="M948">
        <v>5</v>
      </c>
      <c r="N948" t="s">
        <v>25</v>
      </c>
      <c r="O948" t="s">
        <v>21</v>
      </c>
      <c r="P948">
        <v>74959426</v>
      </c>
    </row>
    <row r="949" spans="1:16" ht="14.25" x14ac:dyDescent="0.2">
      <c r="A949">
        <v>52</v>
      </c>
      <c r="B949" t="s">
        <v>16</v>
      </c>
      <c r="C949" t="s">
        <v>17</v>
      </c>
      <c r="D949">
        <v>5</v>
      </c>
      <c r="E949">
        <v>3</v>
      </c>
      <c r="F949" t="s">
        <v>18</v>
      </c>
      <c r="G949">
        <v>2</v>
      </c>
      <c r="H949">
        <v>2</v>
      </c>
      <c r="I949" t="s">
        <v>19</v>
      </c>
      <c r="J949">
        <v>8446</v>
      </c>
      <c r="K949">
        <v>9</v>
      </c>
      <c r="L949">
        <v>2</v>
      </c>
      <c r="M949">
        <v>8</v>
      </c>
      <c r="N949" t="s">
        <v>25</v>
      </c>
      <c r="O949" t="s">
        <v>21</v>
      </c>
      <c r="P949">
        <v>58201029</v>
      </c>
    </row>
    <row r="950" spans="1:16" ht="14.25" x14ac:dyDescent="0.2">
      <c r="A950">
        <v>30</v>
      </c>
      <c r="B950" t="s">
        <v>22</v>
      </c>
      <c r="C950" t="s">
        <v>23</v>
      </c>
      <c r="D950">
        <v>17</v>
      </c>
      <c r="E950">
        <v>4</v>
      </c>
      <c r="F950" t="s">
        <v>29</v>
      </c>
      <c r="G950">
        <v>2</v>
      </c>
      <c r="H950">
        <v>1</v>
      </c>
      <c r="I950" t="s">
        <v>24</v>
      </c>
      <c r="J950">
        <v>11916</v>
      </c>
      <c r="K950">
        <v>1</v>
      </c>
      <c r="L950">
        <v>3</v>
      </c>
      <c r="M950">
        <v>9</v>
      </c>
      <c r="N950" t="s">
        <v>20</v>
      </c>
      <c r="O950" t="s">
        <v>33</v>
      </c>
      <c r="P950">
        <v>39834674</v>
      </c>
    </row>
    <row r="951" spans="1:16" ht="14.25" x14ac:dyDescent="0.2">
      <c r="A951">
        <v>39</v>
      </c>
      <c r="B951" t="s">
        <v>22</v>
      </c>
      <c r="C951" t="s">
        <v>23</v>
      </c>
      <c r="D951">
        <v>18</v>
      </c>
      <c r="E951">
        <v>2</v>
      </c>
      <c r="F951" t="s">
        <v>18</v>
      </c>
      <c r="G951">
        <v>1</v>
      </c>
      <c r="H951">
        <v>3</v>
      </c>
      <c r="I951" t="s">
        <v>19</v>
      </c>
      <c r="J951">
        <v>4534</v>
      </c>
      <c r="K951">
        <v>0</v>
      </c>
      <c r="L951">
        <v>3</v>
      </c>
      <c r="M951">
        <v>8</v>
      </c>
      <c r="N951" t="s">
        <v>25</v>
      </c>
      <c r="O951" t="s">
        <v>31</v>
      </c>
      <c r="P951">
        <v>88718763</v>
      </c>
    </row>
    <row r="952" spans="1:16" ht="14.25" x14ac:dyDescent="0.2">
      <c r="A952">
        <v>31</v>
      </c>
      <c r="B952" t="s">
        <v>22</v>
      </c>
      <c r="C952" t="s">
        <v>17</v>
      </c>
      <c r="D952">
        <v>2</v>
      </c>
      <c r="E952">
        <v>4</v>
      </c>
      <c r="F952" t="s">
        <v>18</v>
      </c>
      <c r="G952">
        <v>4</v>
      </c>
      <c r="H952">
        <v>3</v>
      </c>
      <c r="I952" t="s">
        <v>30</v>
      </c>
      <c r="J952">
        <v>9852</v>
      </c>
      <c r="K952">
        <v>1</v>
      </c>
      <c r="L952">
        <v>2</v>
      </c>
      <c r="M952">
        <v>10</v>
      </c>
      <c r="N952" t="s">
        <v>20</v>
      </c>
      <c r="O952" t="s">
        <v>21</v>
      </c>
      <c r="P952">
        <v>72374002</v>
      </c>
    </row>
    <row r="953" spans="1:16" ht="14.25" x14ac:dyDescent="0.2">
      <c r="A953">
        <v>41</v>
      </c>
      <c r="B953" t="s">
        <v>22</v>
      </c>
      <c r="C953" t="s">
        <v>17</v>
      </c>
      <c r="D953">
        <v>10</v>
      </c>
      <c r="E953">
        <v>2</v>
      </c>
      <c r="F953" t="s">
        <v>29</v>
      </c>
      <c r="G953">
        <v>3</v>
      </c>
      <c r="H953">
        <v>2</v>
      </c>
      <c r="I953" t="s">
        <v>19</v>
      </c>
      <c r="J953">
        <v>6151</v>
      </c>
      <c r="K953">
        <v>1</v>
      </c>
      <c r="L953">
        <v>3</v>
      </c>
      <c r="M953">
        <v>19</v>
      </c>
      <c r="N953" t="s">
        <v>25</v>
      </c>
      <c r="O953" t="s">
        <v>21</v>
      </c>
      <c r="P953">
        <v>58489242</v>
      </c>
    </row>
    <row r="954" spans="1:16" ht="14.25" x14ac:dyDescent="0.2">
      <c r="A954">
        <v>31</v>
      </c>
      <c r="B954" t="s">
        <v>16</v>
      </c>
      <c r="C954" t="s">
        <v>17</v>
      </c>
      <c r="D954">
        <v>1</v>
      </c>
      <c r="E954">
        <v>3</v>
      </c>
      <c r="F954" t="s">
        <v>18</v>
      </c>
      <c r="G954">
        <v>4</v>
      </c>
      <c r="H954">
        <v>2</v>
      </c>
      <c r="I954" t="s">
        <v>19</v>
      </c>
      <c r="J954">
        <v>2302</v>
      </c>
      <c r="K954">
        <v>1</v>
      </c>
      <c r="L954">
        <v>4</v>
      </c>
      <c r="M954">
        <v>3</v>
      </c>
      <c r="N954" t="s">
        <v>20</v>
      </c>
      <c r="O954" t="s">
        <v>34</v>
      </c>
      <c r="P954">
        <v>58869425</v>
      </c>
    </row>
    <row r="955" spans="1:16" ht="14.25" x14ac:dyDescent="0.2">
      <c r="A955">
        <v>44</v>
      </c>
      <c r="B955" t="s">
        <v>16</v>
      </c>
      <c r="C955" t="s">
        <v>23</v>
      </c>
      <c r="D955">
        <v>3</v>
      </c>
      <c r="E955">
        <v>3</v>
      </c>
      <c r="F955" t="s">
        <v>18</v>
      </c>
      <c r="G955">
        <v>1</v>
      </c>
      <c r="H955">
        <v>1</v>
      </c>
      <c r="I955" t="s">
        <v>24</v>
      </c>
      <c r="J955">
        <v>2362</v>
      </c>
      <c r="K955">
        <v>4</v>
      </c>
      <c r="L955">
        <v>4</v>
      </c>
      <c r="M955">
        <v>3</v>
      </c>
      <c r="N955" t="s">
        <v>25</v>
      </c>
      <c r="O955" t="s">
        <v>28</v>
      </c>
      <c r="P955">
        <v>71113048</v>
      </c>
    </row>
    <row r="956" spans="1:16" ht="14.25" x14ac:dyDescent="0.2">
      <c r="A956">
        <v>42</v>
      </c>
      <c r="B956" t="s">
        <v>22</v>
      </c>
      <c r="C956" t="s">
        <v>23</v>
      </c>
      <c r="D956">
        <v>2</v>
      </c>
      <c r="E956">
        <v>1</v>
      </c>
      <c r="F956" t="s">
        <v>18</v>
      </c>
      <c r="G956">
        <v>3</v>
      </c>
      <c r="H956">
        <v>3</v>
      </c>
      <c r="I956" t="s">
        <v>24</v>
      </c>
      <c r="J956">
        <v>17861</v>
      </c>
      <c r="K956">
        <v>0</v>
      </c>
      <c r="L956">
        <v>2</v>
      </c>
      <c r="M956">
        <v>20</v>
      </c>
      <c r="N956" t="s">
        <v>25</v>
      </c>
      <c r="O956" t="s">
        <v>33</v>
      </c>
      <c r="P956">
        <v>11460268</v>
      </c>
    </row>
    <row r="957" spans="1:16" ht="14.25" x14ac:dyDescent="0.2">
      <c r="A957">
        <v>55</v>
      </c>
      <c r="B957" t="s">
        <v>22</v>
      </c>
      <c r="C957" t="s">
        <v>23</v>
      </c>
      <c r="D957">
        <v>2</v>
      </c>
      <c r="E957">
        <v>2</v>
      </c>
      <c r="F957" t="s">
        <v>29</v>
      </c>
      <c r="G957">
        <v>4</v>
      </c>
      <c r="H957">
        <v>3</v>
      </c>
      <c r="I957" t="s">
        <v>24</v>
      </c>
      <c r="J957">
        <v>19187</v>
      </c>
      <c r="K957">
        <v>4</v>
      </c>
      <c r="L957">
        <v>3</v>
      </c>
      <c r="M957">
        <v>19</v>
      </c>
      <c r="N957" t="s">
        <v>20</v>
      </c>
      <c r="O957" t="s">
        <v>33</v>
      </c>
      <c r="P957">
        <v>76129428</v>
      </c>
    </row>
    <row r="958" spans="1:16" ht="14.25" x14ac:dyDescent="0.2">
      <c r="A958">
        <v>56</v>
      </c>
      <c r="B958" t="s">
        <v>22</v>
      </c>
      <c r="C958" t="s">
        <v>38</v>
      </c>
      <c r="D958">
        <v>8</v>
      </c>
      <c r="E958">
        <v>4</v>
      </c>
      <c r="F958" t="s">
        <v>18</v>
      </c>
      <c r="G958">
        <v>4</v>
      </c>
      <c r="H958">
        <v>2</v>
      </c>
      <c r="I958" t="s">
        <v>19</v>
      </c>
      <c r="J958">
        <v>19717</v>
      </c>
      <c r="K958">
        <v>6</v>
      </c>
      <c r="L958">
        <v>3</v>
      </c>
      <c r="M958">
        <v>7</v>
      </c>
      <c r="N958" t="s">
        <v>25</v>
      </c>
      <c r="O958" t="s">
        <v>33</v>
      </c>
      <c r="P958">
        <v>29223738</v>
      </c>
    </row>
    <row r="959" spans="1:16" ht="14.25" x14ac:dyDescent="0.2">
      <c r="A959">
        <v>40</v>
      </c>
      <c r="B959" t="s">
        <v>22</v>
      </c>
      <c r="C959" t="s">
        <v>23</v>
      </c>
      <c r="D959">
        <v>16</v>
      </c>
      <c r="E959">
        <v>2</v>
      </c>
      <c r="F959" t="s">
        <v>18</v>
      </c>
      <c r="G959">
        <v>3</v>
      </c>
      <c r="H959">
        <v>3</v>
      </c>
      <c r="I959" t="s">
        <v>30</v>
      </c>
      <c r="J959">
        <v>3544</v>
      </c>
      <c r="K959">
        <v>9</v>
      </c>
      <c r="L959">
        <v>3</v>
      </c>
      <c r="M959">
        <v>4</v>
      </c>
      <c r="N959" t="s">
        <v>25</v>
      </c>
      <c r="O959" t="s">
        <v>26</v>
      </c>
      <c r="P959">
        <v>62724149</v>
      </c>
    </row>
    <row r="960" spans="1:16" ht="14.25" x14ac:dyDescent="0.2">
      <c r="A960">
        <v>34</v>
      </c>
      <c r="B960" t="s">
        <v>22</v>
      </c>
      <c r="C960" t="s">
        <v>23</v>
      </c>
      <c r="D960">
        <v>9</v>
      </c>
      <c r="E960">
        <v>3</v>
      </c>
      <c r="F960" t="s">
        <v>18</v>
      </c>
      <c r="G960">
        <v>4</v>
      </c>
      <c r="H960">
        <v>4</v>
      </c>
      <c r="I960" t="s">
        <v>30</v>
      </c>
      <c r="J960">
        <v>8500</v>
      </c>
      <c r="K960">
        <v>0</v>
      </c>
      <c r="L960">
        <v>2</v>
      </c>
      <c r="M960">
        <v>9</v>
      </c>
      <c r="N960" t="s">
        <v>25</v>
      </c>
      <c r="O960" t="s">
        <v>32</v>
      </c>
      <c r="P960">
        <v>75083068</v>
      </c>
    </row>
    <row r="961" spans="1:16" ht="14.25" x14ac:dyDescent="0.2">
      <c r="A961">
        <v>40</v>
      </c>
      <c r="B961" t="s">
        <v>22</v>
      </c>
      <c r="C961" t="s">
        <v>23</v>
      </c>
      <c r="D961">
        <v>2</v>
      </c>
      <c r="E961">
        <v>3</v>
      </c>
      <c r="F961" t="s">
        <v>18</v>
      </c>
      <c r="G961">
        <v>3</v>
      </c>
      <c r="H961">
        <v>4</v>
      </c>
      <c r="I961" t="s">
        <v>19</v>
      </c>
      <c r="J961">
        <v>4661</v>
      </c>
      <c r="K961">
        <v>1</v>
      </c>
      <c r="L961">
        <v>3</v>
      </c>
      <c r="M961">
        <v>9</v>
      </c>
      <c r="N961" t="s">
        <v>25</v>
      </c>
      <c r="O961" t="s">
        <v>26</v>
      </c>
      <c r="P961">
        <v>83746599</v>
      </c>
    </row>
    <row r="962" spans="1:16" ht="14.25" x14ac:dyDescent="0.2">
      <c r="A962">
        <v>41</v>
      </c>
      <c r="B962" t="s">
        <v>22</v>
      </c>
      <c r="C962" t="s">
        <v>17</v>
      </c>
      <c r="D962">
        <v>1</v>
      </c>
      <c r="E962">
        <v>3</v>
      </c>
      <c r="F962" t="s">
        <v>36</v>
      </c>
      <c r="G962">
        <v>3</v>
      </c>
      <c r="H962">
        <v>1</v>
      </c>
      <c r="I962" t="s">
        <v>30</v>
      </c>
      <c r="J962">
        <v>4103</v>
      </c>
      <c r="K962">
        <v>0</v>
      </c>
      <c r="L962">
        <v>3</v>
      </c>
      <c r="M962">
        <v>9</v>
      </c>
      <c r="N962" t="s">
        <v>20</v>
      </c>
      <c r="O962" t="s">
        <v>21</v>
      </c>
      <c r="P962">
        <v>62146584</v>
      </c>
    </row>
    <row r="963" spans="1:16" ht="14.25" x14ac:dyDescent="0.2">
      <c r="A963">
        <v>35</v>
      </c>
      <c r="B963" t="s">
        <v>22</v>
      </c>
      <c r="C963" t="s">
        <v>23</v>
      </c>
      <c r="D963">
        <v>4</v>
      </c>
      <c r="E963">
        <v>4</v>
      </c>
      <c r="F963" t="s">
        <v>18</v>
      </c>
      <c r="G963">
        <v>3</v>
      </c>
      <c r="H963">
        <v>3</v>
      </c>
      <c r="I963" t="s">
        <v>19</v>
      </c>
      <c r="J963">
        <v>4249</v>
      </c>
      <c r="K963">
        <v>1</v>
      </c>
      <c r="L963">
        <v>3</v>
      </c>
      <c r="M963">
        <v>9</v>
      </c>
      <c r="N963" t="s">
        <v>25</v>
      </c>
      <c r="O963" t="s">
        <v>26</v>
      </c>
      <c r="P963">
        <v>78417883</v>
      </c>
    </row>
    <row r="964" spans="1:16" ht="14.25" x14ac:dyDescent="0.2">
      <c r="A964">
        <v>51</v>
      </c>
      <c r="B964" t="s">
        <v>22</v>
      </c>
      <c r="C964" t="s">
        <v>38</v>
      </c>
      <c r="D964">
        <v>5</v>
      </c>
      <c r="E964">
        <v>3</v>
      </c>
      <c r="F964" t="s">
        <v>18</v>
      </c>
      <c r="G964">
        <v>3</v>
      </c>
      <c r="H964">
        <v>2</v>
      </c>
      <c r="I964" t="s">
        <v>30</v>
      </c>
      <c r="J964">
        <v>14026</v>
      </c>
      <c r="K964">
        <v>1</v>
      </c>
      <c r="L964">
        <v>3</v>
      </c>
      <c r="M964">
        <v>33</v>
      </c>
      <c r="N964" t="s">
        <v>25</v>
      </c>
      <c r="O964" t="s">
        <v>33</v>
      </c>
      <c r="P964">
        <v>75357136</v>
      </c>
    </row>
    <row r="965" spans="1:16" ht="14.25" x14ac:dyDescent="0.2">
      <c r="A965">
        <v>38</v>
      </c>
      <c r="B965" t="s">
        <v>22</v>
      </c>
      <c r="C965" t="s">
        <v>17</v>
      </c>
      <c r="D965">
        <v>2</v>
      </c>
      <c r="E965">
        <v>2</v>
      </c>
      <c r="F965" t="s">
        <v>18</v>
      </c>
      <c r="G965">
        <v>2</v>
      </c>
      <c r="H965">
        <v>1</v>
      </c>
      <c r="I965" t="s">
        <v>30</v>
      </c>
      <c r="J965">
        <v>6893</v>
      </c>
      <c r="K965">
        <v>3</v>
      </c>
      <c r="L965">
        <v>3</v>
      </c>
      <c r="M965">
        <v>7</v>
      </c>
      <c r="N965" t="s">
        <v>20</v>
      </c>
      <c r="O965" t="s">
        <v>21</v>
      </c>
      <c r="P965">
        <v>89511738</v>
      </c>
    </row>
    <row r="966" spans="1:16" ht="14.25" x14ac:dyDescent="0.2">
      <c r="A966">
        <v>34</v>
      </c>
      <c r="B966" t="s">
        <v>22</v>
      </c>
      <c r="C966" t="s">
        <v>17</v>
      </c>
      <c r="D966">
        <v>15</v>
      </c>
      <c r="E966">
        <v>2</v>
      </c>
      <c r="F966" t="s">
        <v>29</v>
      </c>
      <c r="G966">
        <v>3</v>
      </c>
      <c r="H966">
        <v>1</v>
      </c>
      <c r="I966" t="s">
        <v>19</v>
      </c>
      <c r="J966">
        <v>6125</v>
      </c>
      <c r="K966">
        <v>1</v>
      </c>
      <c r="L966">
        <v>4</v>
      </c>
      <c r="M966">
        <v>10</v>
      </c>
      <c r="N966" t="s">
        <v>20</v>
      </c>
      <c r="O966" t="s">
        <v>21</v>
      </c>
      <c r="P966">
        <v>38647523</v>
      </c>
    </row>
    <row r="967" spans="1:16" ht="14.25" x14ac:dyDescent="0.2">
      <c r="A967">
        <v>25</v>
      </c>
      <c r="B967" t="s">
        <v>22</v>
      </c>
      <c r="C967" t="s">
        <v>23</v>
      </c>
      <c r="D967">
        <v>19</v>
      </c>
      <c r="E967">
        <v>1</v>
      </c>
      <c r="F967" t="s">
        <v>29</v>
      </c>
      <c r="G967">
        <v>4</v>
      </c>
      <c r="H967">
        <v>4</v>
      </c>
      <c r="I967" t="s">
        <v>24</v>
      </c>
      <c r="J967">
        <v>3669</v>
      </c>
      <c r="K967">
        <v>3</v>
      </c>
      <c r="L967">
        <v>2</v>
      </c>
      <c r="M967">
        <v>3</v>
      </c>
      <c r="N967" t="s">
        <v>25</v>
      </c>
      <c r="O967" t="s">
        <v>28</v>
      </c>
      <c r="P967">
        <v>22834369</v>
      </c>
    </row>
    <row r="968" spans="1:16" ht="14.25" x14ac:dyDescent="0.2">
      <c r="A968">
        <v>58</v>
      </c>
      <c r="B968" t="s">
        <v>16</v>
      </c>
      <c r="C968" t="s">
        <v>23</v>
      </c>
      <c r="D968">
        <v>7</v>
      </c>
      <c r="E968">
        <v>4</v>
      </c>
      <c r="F968" t="s">
        <v>29</v>
      </c>
      <c r="G968">
        <v>3</v>
      </c>
      <c r="H968">
        <v>1</v>
      </c>
      <c r="I968" t="s">
        <v>24</v>
      </c>
      <c r="J968">
        <v>10008</v>
      </c>
      <c r="K968">
        <v>7</v>
      </c>
      <c r="L968">
        <v>2</v>
      </c>
      <c r="M968">
        <v>10</v>
      </c>
      <c r="N968" t="s">
        <v>20</v>
      </c>
      <c r="O968" t="s">
        <v>31</v>
      </c>
      <c r="P968">
        <v>11128584</v>
      </c>
    </row>
    <row r="969" spans="1:16" ht="14.25" x14ac:dyDescent="0.2">
      <c r="A969">
        <v>40</v>
      </c>
      <c r="B969" t="s">
        <v>22</v>
      </c>
      <c r="C969" t="s">
        <v>23</v>
      </c>
      <c r="D969">
        <v>1</v>
      </c>
      <c r="E969">
        <v>4</v>
      </c>
      <c r="F969" t="s">
        <v>18</v>
      </c>
      <c r="G969">
        <v>2</v>
      </c>
      <c r="H969">
        <v>2</v>
      </c>
      <c r="I969" t="s">
        <v>24</v>
      </c>
      <c r="J969">
        <v>2387</v>
      </c>
      <c r="K969">
        <v>3</v>
      </c>
      <c r="L969">
        <v>3</v>
      </c>
      <c r="M969">
        <v>4</v>
      </c>
      <c r="N969" t="s">
        <v>25</v>
      </c>
      <c r="O969" t="s">
        <v>28</v>
      </c>
      <c r="P969">
        <v>17794187</v>
      </c>
    </row>
    <row r="970" spans="1:16" ht="14.25" x14ac:dyDescent="0.2">
      <c r="A970">
        <v>36</v>
      </c>
      <c r="B970" t="s">
        <v>22</v>
      </c>
      <c r="C970" t="s">
        <v>17</v>
      </c>
      <c r="D970">
        <v>7</v>
      </c>
      <c r="E970">
        <v>3</v>
      </c>
      <c r="F970" t="s">
        <v>36</v>
      </c>
      <c r="G970">
        <v>1</v>
      </c>
      <c r="H970">
        <v>1</v>
      </c>
      <c r="I970" t="s">
        <v>24</v>
      </c>
      <c r="J970">
        <v>4639</v>
      </c>
      <c r="K970">
        <v>2</v>
      </c>
      <c r="L970">
        <v>2</v>
      </c>
      <c r="M970">
        <v>15</v>
      </c>
      <c r="N970" t="s">
        <v>20</v>
      </c>
      <c r="O970" t="s">
        <v>21</v>
      </c>
      <c r="P970">
        <v>20882577</v>
      </c>
    </row>
    <row r="971" spans="1:16" ht="14.25" x14ac:dyDescent="0.2">
      <c r="A971">
        <v>48</v>
      </c>
      <c r="B971" t="s">
        <v>22</v>
      </c>
      <c r="C971" t="s">
        <v>23</v>
      </c>
      <c r="D971">
        <v>4</v>
      </c>
      <c r="E971">
        <v>3</v>
      </c>
      <c r="F971" t="s">
        <v>18</v>
      </c>
      <c r="G971">
        <v>4</v>
      </c>
      <c r="H971">
        <v>4</v>
      </c>
      <c r="I971" t="s">
        <v>19</v>
      </c>
      <c r="J971">
        <v>7898</v>
      </c>
      <c r="K971">
        <v>1</v>
      </c>
      <c r="L971">
        <v>3</v>
      </c>
      <c r="M971">
        <v>10</v>
      </c>
      <c r="N971" t="s">
        <v>25</v>
      </c>
      <c r="O971" t="s">
        <v>31</v>
      </c>
      <c r="P971">
        <v>57354405</v>
      </c>
    </row>
    <row r="972" spans="1:16" ht="14.25" x14ac:dyDescent="0.2">
      <c r="A972">
        <v>27</v>
      </c>
      <c r="B972" t="s">
        <v>22</v>
      </c>
      <c r="C972" t="s">
        <v>17</v>
      </c>
      <c r="D972">
        <v>11</v>
      </c>
      <c r="E972">
        <v>3</v>
      </c>
      <c r="F972" t="s">
        <v>29</v>
      </c>
      <c r="G972">
        <v>3</v>
      </c>
      <c r="H972">
        <v>4</v>
      </c>
      <c r="I972" t="s">
        <v>24</v>
      </c>
      <c r="J972">
        <v>2534</v>
      </c>
      <c r="K972">
        <v>8</v>
      </c>
      <c r="L972">
        <v>3</v>
      </c>
      <c r="M972">
        <v>1</v>
      </c>
      <c r="N972" t="s">
        <v>20</v>
      </c>
      <c r="O972" t="s">
        <v>34</v>
      </c>
      <c r="P972">
        <v>29429115</v>
      </c>
    </row>
    <row r="973" spans="1:16" ht="14.25" x14ac:dyDescent="0.2">
      <c r="A973">
        <v>51</v>
      </c>
      <c r="B973" t="s">
        <v>22</v>
      </c>
      <c r="C973" t="s">
        <v>23</v>
      </c>
      <c r="D973">
        <v>11</v>
      </c>
      <c r="E973">
        <v>2</v>
      </c>
      <c r="F973" t="s">
        <v>37</v>
      </c>
      <c r="G973">
        <v>4</v>
      </c>
      <c r="H973">
        <v>2</v>
      </c>
      <c r="I973" t="s">
        <v>19</v>
      </c>
      <c r="J973">
        <v>13142</v>
      </c>
      <c r="K973">
        <v>3</v>
      </c>
      <c r="L973">
        <v>2</v>
      </c>
      <c r="M973">
        <v>5</v>
      </c>
      <c r="N973" t="s">
        <v>20</v>
      </c>
      <c r="O973" t="s">
        <v>31</v>
      </c>
      <c r="P973">
        <v>83294722</v>
      </c>
    </row>
    <row r="974" spans="1:16" ht="14.25" x14ac:dyDescent="0.2">
      <c r="A974">
        <v>18</v>
      </c>
      <c r="B974" t="s">
        <v>22</v>
      </c>
      <c r="C974" t="s">
        <v>23</v>
      </c>
      <c r="D974">
        <v>1</v>
      </c>
      <c r="E974">
        <v>3</v>
      </c>
      <c r="F974" t="s">
        <v>18</v>
      </c>
      <c r="G974">
        <v>4</v>
      </c>
      <c r="H974">
        <v>4</v>
      </c>
      <c r="I974" t="s">
        <v>19</v>
      </c>
      <c r="J974">
        <v>1611</v>
      </c>
      <c r="K974">
        <v>1</v>
      </c>
      <c r="L974">
        <v>4</v>
      </c>
      <c r="M974">
        <v>0</v>
      </c>
      <c r="N974" t="s">
        <v>20</v>
      </c>
      <c r="O974" t="s">
        <v>28</v>
      </c>
      <c r="P974">
        <v>83775827</v>
      </c>
    </row>
    <row r="975" spans="1:16" ht="14.25" x14ac:dyDescent="0.2">
      <c r="A975">
        <v>35</v>
      </c>
      <c r="B975" t="s">
        <v>22</v>
      </c>
      <c r="C975" t="s">
        <v>23</v>
      </c>
      <c r="D975">
        <v>1</v>
      </c>
      <c r="E975">
        <v>3</v>
      </c>
      <c r="F975" t="s">
        <v>29</v>
      </c>
      <c r="G975">
        <v>4</v>
      </c>
      <c r="H975">
        <v>4</v>
      </c>
      <c r="I975" t="s">
        <v>24</v>
      </c>
      <c r="J975">
        <v>5363</v>
      </c>
      <c r="K975">
        <v>0</v>
      </c>
      <c r="L975">
        <v>3</v>
      </c>
      <c r="M975">
        <v>9</v>
      </c>
      <c r="N975" t="s">
        <v>20</v>
      </c>
      <c r="O975" t="s">
        <v>28</v>
      </c>
      <c r="P975">
        <v>64402638</v>
      </c>
    </row>
    <row r="976" spans="1:16" ht="14.25" x14ac:dyDescent="0.2">
      <c r="A976">
        <v>27</v>
      </c>
      <c r="B976" t="s">
        <v>22</v>
      </c>
      <c r="C976" t="s">
        <v>17</v>
      </c>
      <c r="D976">
        <v>2</v>
      </c>
      <c r="E976">
        <v>1</v>
      </c>
      <c r="F976" t="s">
        <v>18</v>
      </c>
      <c r="G976">
        <v>4</v>
      </c>
      <c r="H976">
        <v>4</v>
      </c>
      <c r="I976" t="s">
        <v>19</v>
      </c>
      <c r="J976">
        <v>5071</v>
      </c>
      <c r="K976">
        <v>3</v>
      </c>
      <c r="L976">
        <v>3</v>
      </c>
      <c r="M976">
        <v>6</v>
      </c>
      <c r="N976" t="s">
        <v>25</v>
      </c>
      <c r="O976" t="s">
        <v>21</v>
      </c>
      <c r="P976">
        <v>44224344</v>
      </c>
    </row>
    <row r="977" spans="1:16" ht="14.25" x14ac:dyDescent="0.2">
      <c r="A977">
        <v>55</v>
      </c>
      <c r="B977" t="s">
        <v>16</v>
      </c>
      <c r="C977" t="s">
        <v>17</v>
      </c>
      <c r="D977">
        <v>13</v>
      </c>
      <c r="E977">
        <v>4</v>
      </c>
      <c r="F977" t="s">
        <v>36</v>
      </c>
      <c r="G977">
        <v>1</v>
      </c>
      <c r="H977">
        <v>3</v>
      </c>
      <c r="I977" t="s">
        <v>19</v>
      </c>
      <c r="J977">
        <v>13695</v>
      </c>
      <c r="K977">
        <v>6</v>
      </c>
      <c r="L977">
        <v>2</v>
      </c>
      <c r="M977">
        <v>19</v>
      </c>
      <c r="N977" t="s">
        <v>25</v>
      </c>
      <c r="O977" t="s">
        <v>21</v>
      </c>
      <c r="P977">
        <v>40015312</v>
      </c>
    </row>
    <row r="978" spans="1:16" ht="14.25" x14ac:dyDescent="0.2">
      <c r="A978">
        <v>56</v>
      </c>
      <c r="B978" t="s">
        <v>22</v>
      </c>
      <c r="C978" t="s">
        <v>23</v>
      </c>
      <c r="D978">
        <v>23</v>
      </c>
      <c r="E978">
        <v>3</v>
      </c>
      <c r="F978" t="s">
        <v>18</v>
      </c>
      <c r="G978">
        <v>4</v>
      </c>
      <c r="H978">
        <v>2</v>
      </c>
      <c r="I978" t="s">
        <v>24</v>
      </c>
      <c r="J978">
        <v>13402</v>
      </c>
      <c r="K978">
        <v>4</v>
      </c>
      <c r="L978">
        <v>3</v>
      </c>
      <c r="M978">
        <v>19</v>
      </c>
      <c r="N978" t="s">
        <v>25</v>
      </c>
      <c r="O978" t="s">
        <v>31</v>
      </c>
      <c r="P978">
        <v>50292973</v>
      </c>
    </row>
    <row r="979" spans="1:16" ht="14.25" x14ac:dyDescent="0.2">
      <c r="A979">
        <v>34</v>
      </c>
      <c r="B979" t="s">
        <v>22</v>
      </c>
      <c r="C979" t="s">
        <v>23</v>
      </c>
      <c r="D979">
        <v>26</v>
      </c>
      <c r="E979">
        <v>1</v>
      </c>
      <c r="F979" t="s">
        <v>37</v>
      </c>
      <c r="G979">
        <v>1</v>
      </c>
      <c r="H979">
        <v>3</v>
      </c>
      <c r="I979" t="s">
        <v>30</v>
      </c>
      <c r="J979">
        <v>2029</v>
      </c>
      <c r="K979">
        <v>1</v>
      </c>
      <c r="L979">
        <v>3</v>
      </c>
      <c r="M979">
        <v>5</v>
      </c>
      <c r="N979" t="s">
        <v>20</v>
      </c>
      <c r="O979" t="s">
        <v>26</v>
      </c>
      <c r="P979">
        <v>44457622</v>
      </c>
    </row>
    <row r="980" spans="1:16" ht="14.25" x14ac:dyDescent="0.2">
      <c r="A980">
        <v>40</v>
      </c>
      <c r="B980" t="s">
        <v>22</v>
      </c>
      <c r="C980" t="s">
        <v>23</v>
      </c>
      <c r="D980">
        <v>2</v>
      </c>
      <c r="E980">
        <v>1</v>
      </c>
      <c r="F980" t="s">
        <v>29</v>
      </c>
      <c r="G980">
        <v>2</v>
      </c>
      <c r="H980">
        <v>3</v>
      </c>
      <c r="I980" t="s">
        <v>30</v>
      </c>
      <c r="J980">
        <v>6377</v>
      </c>
      <c r="K980">
        <v>5</v>
      </c>
      <c r="L980">
        <v>3</v>
      </c>
      <c r="M980">
        <v>12</v>
      </c>
      <c r="N980" t="s">
        <v>20</v>
      </c>
      <c r="O980" t="s">
        <v>32</v>
      </c>
      <c r="P980">
        <v>28699345</v>
      </c>
    </row>
    <row r="981" spans="1:16" ht="14.25" x14ac:dyDescent="0.2">
      <c r="A981">
        <v>34</v>
      </c>
      <c r="B981" t="s">
        <v>22</v>
      </c>
      <c r="C981" t="s">
        <v>23</v>
      </c>
      <c r="D981">
        <v>29</v>
      </c>
      <c r="E981">
        <v>3</v>
      </c>
      <c r="F981" t="s">
        <v>29</v>
      </c>
      <c r="G981">
        <v>2</v>
      </c>
      <c r="H981">
        <v>3</v>
      </c>
      <c r="I981" t="s">
        <v>24</v>
      </c>
      <c r="J981">
        <v>5429</v>
      </c>
      <c r="K981">
        <v>4</v>
      </c>
      <c r="L981">
        <v>3</v>
      </c>
      <c r="M981">
        <v>8</v>
      </c>
      <c r="N981" t="s">
        <v>25</v>
      </c>
      <c r="O981" t="s">
        <v>28</v>
      </c>
      <c r="P981">
        <v>73665211</v>
      </c>
    </row>
    <row r="982" spans="1:16" ht="14.25" x14ac:dyDescent="0.2">
      <c r="A982">
        <v>31</v>
      </c>
      <c r="B982" t="s">
        <v>16</v>
      </c>
      <c r="C982" t="s">
        <v>17</v>
      </c>
      <c r="D982">
        <v>2</v>
      </c>
      <c r="E982">
        <v>3</v>
      </c>
      <c r="F982" t="s">
        <v>18</v>
      </c>
      <c r="G982">
        <v>3</v>
      </c>
      <c r="H982">
        <v>4</v>
      </c>
      <c r="I982" t="s">
        <v>19</v>
      </c>
      <c r="J982">
        <v>2785</v>
      </c>
      <c r="K982">
        <v>7</v>
      </c>
      <c r="L982">
        <v>4</v>
      </c>
      <c r="M982">
        <v>1</v>
      </c>
      <c r="N982" t="s">
        <v>20</v>
      </c>
      <c r="O982" t="s">
        <v>34</v>
      </c>
      <c r="P982">
        <v>56298498</v>
      </c>
    </row>
    <row r="983" spans="1:16" ht="14.25" x14ac:dyDescent="0.2">
      <c r="A983">
        <v>35</v>
      </c>
      <c r="B983" t="s">
        <v>16</v>
      </c>
      <c r="C983" t="s">
        <v>17</v>
      </c>
      <c r="D983">
        <v>18</v>
      </c>
      <c r="E983">
        <v>4</v>
      </c>
      <c r="F983" t="s">
        <v>36</v>
      </c>
      <c r="G983">
        <v>4</v>
      </c>
      <c r="H983">
        <v>3</v>
      </c>
      <c r="I983" t="s">
        <v>24</v>
      </c>
      <c r="J983">
        <v>4614</v>
      </c>
      <c r="K983">
        <v>0</v>
      </c>
      <c r="L983">
        <v>2</v>
      </c>
      <c r="M983">
        <v>4</v>
      </c>
      <c r="N983" t="s">
        <v>20</v>
      </c>
      <c r="O983" t="s">
        <v>21</v>
      </c>
      <c r="P983">
        <v>62238827</v>
      </c>
    </row>
    <row r="984" spans="1:16" ht="14.25" x14ac:dyDescent="0.2">
      <c r="A984">
        <v>38</v>
      </c>
      <c r="B984" t="s">
        <v>22</v>
      </c>
      <c r="C984" t="s">
        <v>23</v>
      </c>
      <c r="D984">
        <v>7</v>
      </c>
      <c r="E984">
        <v>3</v>
      </c>
      <c r="F984" t="s">
        <v>18</v>
      </c>
      <c r="G984">
        <v>4</v>
      </c>
      <c r="H984">
        <v>3</v>
      </c>
      <c r="I984" t="s">
        <v>30</v>
      </c>
      <c r="J984">
        <v>2610</v>
      </c>
      <c r="K984">
        <v>1</v>
      </c>
      <c r="L984">
        <v>3</v>
      </c>
      <c r="M984">
        <v>4</v>
      </c>
      <c r="N984" t="s">
        <v>25</v>
      </c>
      <c r="O984" t="s">
        <v>26</v>
      </c>
      <c r="P984">
        <v>39505618</v>
      </c>
    </row>
    <row r="985" spans="1:16" ht="14.25" x14ac:dyDescent="0.2">
      <c r="A985">
        <v>34</v>
      </c>
      <c r="B985" t="s">
        <v>22</v>
      </c>
      <c r="C985" t="s">
        <v>23</v>
      </c>
      <c r="D985">
        <v>2</v>
      </c>
      <c r="E985">
        <v>4</v>
      </c>
      <c r="F985" t="s">
        <v>37</v>
      </c>
      <c r="G985">
        <v>3</v>
      </c>
      <c r="H985">
        <v>4</v>
      </c>
      <c r="I985" t="s">
        <v>19</v>
      </c>
      <c r="J985">
        <v>6687</v>
      </c>
      <c r="K985">
        <v>1</v>
      </c>
      <c r="L985">
        <v>4</v>
      </c>
      <c r="M985">
        <v>14</v>
      </c>
      <c r="N985" t="s">
        <v>20</v>
      </c>
      <c r="O985" t="s">
        <v>32</v>
      </c>
      <c r="P985">
        <v>59529587</v>
      </c>
    </row>
    <row r="986" spans="1:16" ht="14.25" x14ac:dyDescent="0.2">
      <c r="A986">
        <v>28</v>
      </c>
      <c r="B986" t="s">
        <v>22</v>
      </c>
      <c r="C986" t="s">
        <v>17</v>
      </c>
      <c r="D986">
        <v>26</v>
      </c>
      <c r="E986">
        <v>3</v>
      </c>
      <c r="F986" t="s">
        <v>18</v>
      </c>
      <c r="G986">
        <v>3</v>
      </c>
      <c r="H986">
        <v>1</v>
      </c>
      <c r="I986" t="s">
        <v>24</v>
      </c>
      <c r="J986">
        <v>4724</v>
      </c>
      <c r="K986">
        <v>1</v>
      </c>
      <c r="L986">
        <v>3</v>
      </c>
      <c r="M986">
        <v>5</v>
      </c>
      <c r="N986" t="s">
        <v>25</v>
      </c>
      <c r="O986" t="s">
        <v>21</v>
      </c>
      <c r="P986">
        <v>33778188</v>
      </c>
    </row>
    <row r="987" spans="1:16" ht="14.25" x14ac:dyDescent="0.2">
      <c r="A987">
        <v>31</v>
      </c>
      <c r="B987" t="s">
        <v>16</v>
      </c>
      <c r="C987" t="s">
        <v>23</v>
      </c>
      <c r="D987">
        <v>22</v>
      </c>
      <c r="E987">
        <v>4</v>
      </c>
      <c r="F987" t="s">
        <v>29</v>
      </c>
      <c r="G987">
        <v>4</v>
      </c>
      <c r="H987">
        <v>3</v>
      </c>
      <c r="I987" t="s">
        <v>24</v>
      </c>
      <c r="J987">
        <v>6179</v>
      </c>
      <c r="K987">
        <v>1</v>
      </c>
      <c r="L987">
        <v>2</v>
      </c>
      <c r="M987">
        <v>10</v>
      </c>
      <c r="N987" t="s">
        <v>25</v>
      </c>
      <c r="O987" t="s">
        <v>31</v>
      </c>
      <c r="P987">
        <v>64733363</v>
      </c>
    </row>
    <row r="988" spans="1:16" ht="14.25" x14ac:dyDescent="0.2">
      <c r="A988">
        <v>39</v>
      </c>
      <c r="B988" t="s">
        <v>22</v>
      </c>
      <c r="C988" t="s">
        <v>17</v>
      </c>
      <c r="D988">
        <v>21</v>
      </c>
      <c r="E988">
        <v>4</v>
      </c>
      <c r="F988" t="s">
        <v>18</v>
      </c>
      <c r="G988">
        <v>1</v>
      </c>
      <c r="H988">
        <v>4</v>
      </c>
      <c r="I988" t="s">
        <v>24</v>
      </c>
      <c r="J988">
        <v>6120</v>
      </c>
      <c r="K988">
        <v>3</v>
      </c>
      <c r="L988">
        <v>4</v>
      </c>
      <c r="M988">
        <v>5</v>
      </c>
      <c r="N988" t="s">
        <v>25</v>
      </c>
      <c r="O988" t="s">
        <v>21</v>
      </c>
      <c r="P988">
        <v>80881861</v>
      </c>
    </row>
    <row r="989" spans="1:16" ht="14.25" x14ac:dyDescent="0.2">
      <c r="A989">
        <v>51</v>
      </c>
      <c r="B989" t="s">
        <v>22</v>
      </c>
      <c r="C989" t="s">
        <v>17</v>
      </c>
      <c r="D989">
        <v>2</v>
      </c>
      <c r="E989">
        <v>3</v>
      </c>
      <c r="F989" t="s">
        <v>36</v>
      </c>
      <c r="G989">
        <v>2</v>
      </c>
      <c r="H989">
        <v>2</v>
      </c>
      <c r="I989" t="s">
        <v>24</v>
      </c>
      <c r="J989">
        <v>10596</v>
      </c>
      <c r="K989">
        <v>2</v>
      </c>
      <c r="L989">
        <v>3</v>
      </c>
      <c r="M989">
        <v>4</v>
      </c>
      <c r="N989" t="s">
        <v>25</v>
      </c>
      <c r="O989" t="s">
        <v>21</v>
      </c>
      <c r="P989">
        <v>67773068</v>
      </c>
    </row>
    <row r="990" spans="1:16" ht="14.25" x14ac:dyDescent="0.2">
      <c r="A990">
        <v>41</v>
      </c>
      <c r="B990" t="s">
        <v>22</v>
      </c>
      <c r="C990" t="s">
        <v>23</v>
      </c>
      <c r="D990">
        <v>22</v>
      </c>
      <c r="E990">
        <v>3</v>
      </c>
      <c r="F990" t="s">
        <v>18</v>
      </c>
      <c r="G990">
        <v>4</v>
      </c>
      <c r="H990">
        <v>4</v>
      </c>
      <c r="I990" t="s">
        <v>30</v>
      </c>
      <c r="J990">
        <v>5467</v>
      </c>
      <c r="K990">
        <v>3</v>
      </c>
      <c r="L990">
        <v>2</v>
      </c>
      <c r="M990">
        <v>6</v>
      </c>
      <c r="N990" t="s">
        <v>20</v>
      </c>
      <c r="O990" t="s">
        <v>26</v>
      </c>
      <c r="P990">
        <v>11264601</v>
      </c>
    </row>
    <row r="991" spans="1:16" ht="14.25" x14ac:dyDescent="0.2">
      <c r="A991">
        <v>37</v>
      </c>
      <c r="B991" t="s">
        <v>22</v>
      </c>
      <c r="C991" t="s">
        <v>23</v>
      </c>
      <c r="D991">
        <v>4</v>
      </c>
      <c r="E991">
        <v>1</v>
      </c>
      <c r="F991" t="s">
        <v>18</v>
      </c>
      <c r="G991">
        <v>3</v>
      </c>
      <c r="H991">
        <v>3</v>
      </c>
      <c r="I991" t="s">
        <v>24</v>
      </c>
      <c r="J991">
        <v>2996</v>
      </c>
      <c r="K991">
        <v>7</v>
      </c>
      <c r="L991">
        <v>3</v>
      </c>
      <c r="M991">
        <v>6</v>
      </c>
      <c r="N991" t="s">
        <v>25</v>
      </c>
      <c r="O991" t="s">
        <v>26</v>
      </c>
      <c r="P991">
        <v>63141399</v>
      </c>
    </row>
    <row r="992" spans="1:16" ht="14.25" x14ac:dyDescent="0.2">
      <c r="A992">
        <v>33</v>
      </c>
      <c r="B992" t="s">
        <v>22</v>
      </c>
      <c r="C992" t="s">
        <v>17</v>
      </c>
      <c r="D992">
        <v>5</v>
      </c>
      <c r="E992">
        <v>1</v>
      </c>
      <c r="F992" t="s">
        <v>18</v>
      </c>
      <c r="G992">
        <v>2</v>
      </c>
      <c r="H992">
        <v>4</v>
      </c>
      <c r="I992" t="s">
        <v>24</v>
      </c>
      <c r="J992">
        <v>9998</v>
      </c>
      <c r="K992">
        <v>6</v>
      </c>
      <c r="L992">
        <v>4</v>
      </c>
      <c r="M992">
        <v>5</v>
      </c>
      <c r="N992" t="s">
        <v>25</v>
      </c>
      <c r="O992" t="s">
        <v>21</v>
      </c>
      <c r="P992">
        <v>18007102</v>
      </c>
    </row>
    <row r="993" spans="1:16" ht="14.25" x14ac:dyDescent="0.2">
      <c r="A993">
        <v>32</v>
      </c>
      <c r="B993" t="s">
        <v>22</v>
      </c>
      <c r="C993" t="s">
        <v>17</v>
      </c>
      <c r="D993">
        <v>2</v>
      </c>
      <c r="E993">
        <v>1</v>
      </c>
      <c r="F993" t="s">
        <v>36</v>
      </c>
      <c r="G993">
        <v>3</v>
      </c>
      <c r="H993">
        <v>2</v>
      </c>
      <c r="I993" t="s">
        <v>24</v>
      </c>
      <c r="J993">
        <v>4078</v>
      </c>
      <c r="K993">
        <v>0</v>
      </c>
      <c r="L993">
        <v>2</v>
      </c>
      <c r="M993">
        <v>3</v>
      </c>
      <c r="N993" t="s">
        <v>25</v>
      </c>
      <c r="O993" t="s">
        <v>21</v>
      </c>
      <c r="P993">
        <v>82939190</v>
      </c>
    </row>
    <row r="994" spans="1:16" ht="14.25" x14ac:dyDescent="0.2">
      <c r="A994">
        <v>39</v>
      </c>
      <c r="B994" t="s">
        <v>22</v>
      </c>
      <c r="C994" t="s">
        <v>23</v>
      </c>
      <c r="D994">
        <v>25</v>
      </c>
      <c r="E994">
        <v>2</v>
      </c>
      <c r="F994" t="s">
        <v>18</v>
      </c>
      <c r="G994">
        <v>3</v>
      </c>
      <c r="H994">
        <v>3</v>
      </c>
      <c r="I994" t="s">
        <v>24</v>
      </c>
      <c r="J994">
        <v>10920</v>
      </c>
      <c r="K994">
        <v>3</v>
      </c>
      <c r="L994">
        <v>3</v>
      </c>
      <c r="M994">
        <v>6</v>
      </c>
      <c r="N994" t="s">
        <v>25</v>
      </c>
      <c r="O994" t="s">
        <v>32</v>
      </c>
      <c r="P994">
        <v>72118805</v>
      </c>
    </row>
    <row r="995" spans="1:16" ht="14.25" x14ac:dyDescent="0.2">
      <c r="A995">
        <v>25</v>
      </c>
      <c r="B995" t="s">
        <v>22</v>
      </c>
      <c r="C995" t="s">
        <v>17</v>
      </c>
      <c r="D995">
        <v>18</v>
      </c>
      <c r="E995">
        <v>1</v>
      </c>
      <c r="F995" t="s">
        <v>18</v>
      </c>
      <c r="G995">
        <v>1</v>
      </c>
      <c r="H995">
        <v>3</v>
      </c>
      <c r="I995" t="s">
        <v>24</v>
      </c>
      <c r="J995">
        <v>6232</v>
      </c>
      <c r="K995">
        <v>2</v>
      </c>
      <c r="L995">
        <v>2</v>
      </c>
      <c r="M995">
        <v>3</v>
      </c>
      <c r="N995" t="s">
        <v>25</v>
      </c>
      <c r="O995" t="s">
        <v>21</v>
      </c>
      <c r="P995">
        <v>35713507</v>
      </c>
    </row>
    <row r="996" spans="1:16" ht="14.25" x14ac:dyDescent="0.2">
      <c r="A996">
        <v>52</v>
      </c>
      <c r="B996" t="s">
        <v>22</v>
      </c>
      <c r="C996" t="s">
        <v>23</v>
      </c>
      <c r="D996">
        <v>28</v>
      </c>
      <c r="E996">
        <v>2</v>
      </c>
      <c r="F996" t="s">
        <v>29</v>
      </c>
      <c r="G996">
        <v>4</v>
      </c>
      <c r="H996">
        <v>3</v>
      </c>
      <c r="I996" t="s">
        <v>24</v>
      </c>
      <c r="J996">
        <v>13247</v>
      </c>
      <c r="K996">
        <v>2</v>
      </c>
      <c r="L996">
        <v>2</v>
      </c>
      <c r="M996">
        <v>5</v>
      </c>
      <c r="N996" t="s">
        <v>20</v>
      </c>
      <c r="O996" t="s">
        <v>31</v>
      </c>
      <c r="P996">
        <v>34022312</v>
      </c>
    </row>
    <row r="997" spans="1:16" ht="14.25" x14ac:dyDescent="0.2">
      <c r="A997">
        <v>43</v>
      </c>
      <c r="B997" t="s">
        <v>22</v>
      </c>
      <c r="C997" t="s">
        <v>23</v>
      </c>
      <c r="D997">
        <v>6</v>
      </c>
      <c r="E997">
        <v>3</v>
      </c>
      <c r="F997" t="s">
        <v>29</v>
      </c>
      <c r="G997">
        <v>1</v>
      </c>
      <c r="H997">
        <v>3</v>
      </c>
      <c r="I997" t="s">
        <v>19</v>
      </c>
      <c r="J997">
        <v>4081</v>
      </c>
      <c r="K997">
        <v>1</v>
      </c>
      <c r="L997">
        <v>1</v>
      </c>
      <c r="M997">
        <v>20</v>
      </c>
      <c r="N997" t="s">
        <v>20</v>
      </c>
      <c r="O997" t="s">
        <v>26</v>
      </c>
      <c r="P997">
        <v>13918289</v>
      </c>
    </row>
    <row r="998" spans="1:16" ht="14.25" x14ac:dyDescent="0.2">
      <c r="A998">
        <v>27</v>
      </c>
      <c r="B998" t="s">
        <v>22</v>
      </c>
      <c r="C998" t="s">
        <v>17</v>
      </c>
      <c r="D998">
        <v>10</v>
      </c>
      <c r="E998">
        <v>3</v>
      </c>
      <c r="F998" t="s">
        <v>36</v>
      </c>
      <c r="G998">
        <v>4</v>
      </c>
      <c r="H998">
        <v>4</v>
      </c>
      <c r="I998" t="s">
        <v>24</v>
      </c>
      <c r="J998">
        <v>5769</v>
      </c>
      <c r="K998">
        <v>1</v>
      </c>
      <c r="L998">
        <v>3</v>
      </c>
      <c r="M998">
        <v>6</v>
      </c>
      <c r="N998" t="s">
        <v>20</v>
      </c>
      <c r="O998" t="s">
        <v>21</v>
      </c>
      <c r="P998">
        <v>58328855</v>
      </c>
    </row>
    <row r="999" spans="1:16" ht="14.25" x14ac:dyDescent="0.2">
      <c r="A999">
        <v>27</v>
      </c>
      <c r="B999" t="s">
        <v>16</v>
      </c>
      <c r="C999" t="s">
        <v>23</v>
      </c>
      <c r="D999">
        <v>17</v>
      </c>
      <c r="E999">
        <v>4</v>
      </c>
      <c r="F999" t="s">
        <v>18</v>
      </c>
      <c r="G999">
        <v>4</v>
      </c>
      <c r="H999">
        <v>3</v>
      </c>
      <c r="I999" t="s">
        <v>19</v>
      </c>
      <c r="J999">
        <v>2394</v>
      </c>
      <c r="K999">
        <v>1</v>
      </c>
      <c r="L999">
        <v>3</v>
      </c>
      <c r="M999">
        <v>8</v>
      </c>
      <c r="N999" t="s">
        <v>20</v>
      </c>
      <c r="O999" t="s">
        <v>26</v>
      </c>
      <c r="P999">
        <v>70823455</v>
      </c>
    </row>
    <row r="1000" spans="1:16" ht="14.25" x14ac:dyDescent="0.2">
      <c r="A1000">
        <v>26</v>
      </c>
      <c r="B1000" t="s">
        <v>22</v>
      </c>
      <c r="C1000" t="s">
        <v>23</v>
      </c>
      <c r="D1000">
        <v>2</v>
      </c>
      <c r="E1000">
        <v>1</v>
      </c>
      <c r="F1000" t="s">
        <v>29</v>
      </c>
      <c r="G1000">
        <v>1</v>
      </c>
      <c r="H1000">
        <v>4</v>
      </c>
      <c r="I1000" t="s">
        <v>19</v>
      </c>
      <c r="J1000">
        <v>3904</v>
      </c>
      <c r="K1000">
        <v>0</v>
      </c>
      <c r="L1000">
        <v>3</v>
      </c>
      <c r="M1000">
        <v>4</v>
      </c>
      <c r="N1000" t="s">
        <v>25</v>
      </c>
      <c r="O1000" t="s">
        <v>26</v>
      </c>
      <c r="P1000">
        <v>15211137</v>
      </c>
    </row>
    <row r="1001" spans="1:16" ht="14.25" x14ac:dyDescent="0.2">
      <c r="A1001">
        <v>42</v>
      </c>
      <c r="B1001" t="s">
        <v>22</v>
      </c>
      <c r="C1001" t="s">
        <v>38</v>
      </c>
      <c r="D1001">
        <v>10</v>
      </c>
      <c r="E1001">
        <v>3</v>
      </c>
      <c r="F1001" t="s">
        <v>38</v>
      </c>
      <c r="G1001">
        <v>3</v>
      </c>
      <c r="H1001">
        <v>1</v>
      </c>
      <c r="I1001" t="s">
        <v>24</v>
      </c>
      <c r="J1001">
        <v>16799</v>
      </c>
      <c r="K1001">
        <v>0</v>
      </c>
      <c r="L1001">
        <v>3</v>
      </c>
      <c r="M1001">
        <v>20</v>
      </c>
      <c r="N1001" t="s">
        <v>20</v>
      </c>
      <c r="O1001" t="s">
        <v>33</v>
      </c>
      <c r="P1001">
        <v>33871590</v>
      </c>
    </row>
    <row r="1002" spans="1:16" ht="14.25" x14ac:dyDescent="0.2">
      <c r="A1002">
        <v>52</v>
      </c>
      <c r="B1002" t="s">
        <v>22</v>
      </c>
      <c r="C1002" t="s">
        <v>23</v>
      </c>
      <c r="D1002">
        <v>8</v>
      </c>
      <c r="E1002">
        <v>4</v>
      </c>
      <c r="F1002" t="s">
        <v>27</v>
      </c>
      <c r="G1002">
        <v>3</v>
      </c>
      <c r="H1002">
        <v>1</v>
      </c>
      <c r="I1002" t="s">
        <v>24</v>
      </c>
      <c r="J1002">
        <v>2950</v>
      </c>
      <c r="K1002">
        <v>9</v>
      </c>
      <c r="L1002">
        <v>1</v>
      </c>
      <c r="M1002">
        <v>5</v>
      </c>
      <c r="N1002" t="s">
        <v>20</v>
      </c>
      <c r="O1002" t="s">
        <v>28</v>
      </c>
      <c r="P1002">
        <v>50982244</v>
      </c>
    </row>
    <row r="1003" spans="1:16" ht="14.25" x14ac:dyDescent="0.2">
      <c r="A1003">
        <v>37</v>
      </c>
      <c r="B1003" t="s">
        <v>22</v>
      </c>
      <c r="C1003" t="s">
        <v>23</v>
      </c>
      <c r="D1003">
        <v>11</v>
      </c>
      <c r="E1003">
        <v>3</v>
      </c>
      <c r="F1003" t="s">
        <v>29</v>
      </c>
      <c r="G1003">
        <v>1</v>
      </c>
      <c r="H1003">
        <v>3</v>
      </c>
      <c r="I1003" t="s">
        <v>19</v>
      </c>
      <c r="J1003">
        <v>3629</v>
      </c>
      <c r="K1003">
        <v>4</v>
      </c>
      <c r="L1003">
        <v>3</v>
      </c>
      <c r="M1003">
        <v>3</v>
      </c>
      <c r="N1003" t="s">
        <v>20</v>
      </c>
      <c r="O1003" t="s">
        <v>28</v>
      </c>
      <c r="P1003">
        <v>85260102</v>
      </c>
    </row>
    <row r="1004" spans="1:16" ht="14.25" x14ac:dyDescent="0.2">
      <c r="A1004">
        <v>35</v>
      </c>
      <c r="B1004" t="s">
        <v>22</v>
      </c>
      <c r="C1004" t="s">
        <v>23</v>
      </c>
      <c r="D1004">
        <v>18</v>
      </c>
      <c r="E1004">
        <v>2</v>
      </c>
      <c r="F1004" t="s">
        <v>18</v>
      </c>
      <c r="G1004">
        <v>3</v>
      </c>
      <c r="H1004">
        <v>4</v>
      </c>
      <c r="I1004" t="s">
        <v>19</v>
      </c>
      <c r="J1004">
        <v>9362</v>
      </c>
      <c r="K1004">
        <v>2</v>
      </c>
      <c r="L1004">
        <v>3</v>
      </c>
      <c r="M1004">
        <v>2</v>
      </c>
      <c r="N1004" t="s">
        <v>25</v>
      </c>
      <c r="O1004" t="s">
        <v>31</v>
      </c>
      <c r="P1004">
        <v>57821024</v>
      </c>
    </row>
    <row r="1005" spans="1:16" ht="14.25" x14ac:dyDescent="0.2">
      <c r="A1005">
        <v>25</v>
      </c>
      <c r="B1005" t="s">
        <v>22</v>
      </c>
      <c r="C1005" t="s">
        <v>23</v>
      </c>
      <c r="D1005">
        <v>1</v>
      </c>
      <c r="E1005">
        <v>3</v>
      </c>
      <c r="F1005" t="s">
        <v>37</v>
      </c>
      <c r="G1005">
        <v>1</v>
      </c>
      <c r="H1005">
        <v>4</v>
      </c>
      <c r="I1005" t="s">
        <v>24</v>
      </c>
      <c r="J1005">
        <v>3229</v>
      </c>
      <c r="K1005">
        <v>4</v>
      </c>
      <c r="L1005">
        <v>2</v>
      </c>
      <c r="M1005">
        <v>3</v>
      </c>
      <c r="N1005" t="s">
        <v>25</v>
      </c>
      <c r="O1005" t="s">
        <v>28</v>
      </c>
      <c r="P1005">
        <v>41744636</v>
      </c>
    </row>
    <row r="1006" spans="1:16" ht="14.25" x14ac:dyDescent="0.2">
      <c r="A1006">
        <v>26</v>
      </c>
      <c r="B1006" t="s">
        <v>22</v>
      </c>
      <c r="C1006" t="s">
        <v>23</v>
      </c>
      <c r="D1006">
        <v>7</v>
      </c>
      <c r="E1006">
        <v>3</v>
      </c>
      <c r="F1006" t="s">
        <v>27</v>
      </c>
      <c r="G1006">
        <v>3</v>
      </c>
      <c r="H1006">
        <v>1</v>
      </c>
      <c r="I1006" t="s">
        <v>19</v>
      </c>
      <c r="J1006">
        <v>3578</v>
      </c>
      <c r="K1006">
        <v>0</v>
      </c>
      <c r="L1006">
        <v>3</v>
      </c>
      <c r="M1006">
        <v>7</v>
      </c>
      <c r="N1006" t="s">
        <v>25</v>
      </c>
      <c r="O1006" t="s">
        <v>28</v>
      </c>
      <c r="P1006">
        <v>86845558</v>
      </c>
    </row>
    <row r="1007" spans="1:16" ht="14.25" x14ac:dyDescent="0.2">
      <c r="A1007">
        <v>29</v>
      </c>
      <c r="B1007" t="s">
        <v>22</v>
      </c>
      <c r="C1007" t="s">
        <v>38</v>
      </c>
      <c r="D1007">
        <v>17</v>
      </c>
      <c r="E1007">
        <v>3</v>
      </c>
      <c r="F1007" t="s">
        <v>27</v>
      </c>
      <c r="G1007">
        <v>2</v>
      </c>
      <c r="H1007">
        <v>1</v>
      </c>
      <c r="I1007" t="s">
        <v>19</v>
      </c>
      <c r="J1007">
        <v>7988</v>
      </c>
      <c r="K1007">
        <v>1</v>
      </c>
      <c r="L1007">
        <v>2</v>
      </c>
      <c r="M1007">
        <v>10</v>
      </c>
      <c r="N1007" t="s">
        <v>25</v>
      </c>
      <c r="O1007" t="s">
        <v>38</v>
      </c>
      <c r="P1007">
        <v>81314211</v>
      </c>
    </row>
    <row r="1008" spans="1:16" ht="14.25" x14ac:dyDescent="0.2">
      <c r="A1008">
        <v>49</v>
      </c>
      <c r="B1008" t="s">
        <v>16</v>
      </c>
      <c r="C1008" t="s">
        <v>23</v>
      </c>
      <c r="D1008">
        <v>28</v>
      </c>
      <c r="E1008">
        <v>2</v>
      </c>
      <c r="F1008" t="s">
        <v>18</v>
      </c>
      <c r="G1008">
        <v>1</v>
      </c>
      <c r="H1008">
        <v>1</v>
      </c>
      <c r="I1008" t="s">
        <v>19</v>
      </c>
      <c r="J1008">
        <v>4284</v>
      </c>
      <c r="K1008">
        <v>3</v>
      </c>
      <c r="L1008">
        <v>3</v>
      </c>
      <c r="M1008">
        <v>4</v>
      </c>
      <c r="N1008" t="s">
        <v>25</v>
      </c>
      <c r="O1008" t="s">
        <v>28</v>
      </c>
      <c r="P1008">
        <v>36149534</v>
      </c>
    </row>
    <row r="1009" spans="1:16" ht="14.25" x14ac:dyDescent="0.2">
      <c r="A1009">
        <v>29</v>
      </c>
      <c r="B1009" t="s">
        <v>16</v>
      </c>
      <c r="C1009" t="s">
        <v>23</v>
      </c>
      <c r="D1009">
        <v>14</v>
      </c>
      <c r="E1009">
        <v>1</v>
      </c>
      <c r="F1009" t="s">
        <v>27</v>
      </c>
      <c r="G1009">
        <v>3</v>
      </c>
      <c r="H1009">
        <v>4</v>
      </c>
      <c r="I1009" t="s">
        <v>19</v>
      </c>
      <c r="J1009">
        <v>7553</v>
      </c>
      <c r="K1009">
        <v>0</v>
      </c>
      <c r="L1009">
        <v>3</v>
      </c>
      <c r="M1009">
        <v>8</v>
      </c>
      <c r="N1009" t="s">
        <v>20</v>
      </c>
      <c r="O1009" t="s">
        <v>32</v>
      </c>
      <c r="P1009">
        <v>32801256</v>
      </c>
    </row>
    <row r="1010" spans="1:16" ht="14.25" x14ac:dyDescent="0.2">
      <c r="A1010">
        <v>54</v>
      </c>
      <c r="B1010" t="s">
        <v>22</v>
      </c>
      <c r="C1010" t="s">
        <v>23</v>
      </c>
      <c r="D1010">
        <v>1</v>
      </c>
      <c r="E1010">
        <v>3</v>
      </c>
      <c r="F1010" t="s">
        <v>29</v>
      </c>
      <c r="G1010">
        <v>4</v>
      </c>
      <c r="H1010">
        <v>4</v>
      </c>
      <c r="I1010" t="s">
        <v>19</v>
      </c>
      <c r="J1010">
        <v>17328</v>
      </c>
      <c r="K1010">
        <v>6</v>
      </c>
      <c r="L1010">
        <v>2</v>
      </c>
      <c r="M1010">
        <v>20</v>
      </c>
      <c r="N1010" t="s">
        <v>20</v>
      </c>
      <c r="O1010" t="s">
        <v>35</v>
      </c>
      <c r="P1010">
        <v>53999023</v>
      </c>
    </row>
    <row r="1011" spans="1:16" ht="14.25" x14ac:dyDescent="0.2">
      <c r="A1011">
        <v>58</v>
      </c>
      <c r="B1011" t="s">
        <v>22</v>
      </c>
      <c r="C1011" t="s">
        <v>23</v>
      </c>
      <c r="D1011">
        <v>1</v>
      </c>
      <c r="E1011">
        <v>3</v>
      </c>
      <c r="F1011" t="s">
        <v>29</v>
      </c>
      <c r="G1011">
        <v>4</v>
      </c>
      <c r="H1011">
        <v>1</v>
      </c>
      <c r="I1011" t="s">
        <v>24</v>
      </c>
      <c r="J1011">
        <v>19701</v>
      </c>
      <c r="K1011">
        <v>3</v>
      </c>
      <c r="L1011">
        <v>3</v>
      </c>
      <c r="M1011">
        <v>9</v>
      </c>
      <c r="N1011" t="s">
        <v>20</v>
      </c>
      <c r="O1011" t="s">
        <v>35</v>
      </c>
      <c r="P1011">
        <v>79582046</v>
      </c>
    </row>
    <row r="1012" spans="1:16" ht="14.25" x14ac:dyDescent="0.2">
      <c r="A1012">
        <v>55</v>
      </c>
      <c r="B1012" t="s">
        <v>22</v>
      </c>
      <c r="C1012" t="s">
        <v>23</v>
      </c>
      <c r="D1012">
        <v>1</v>
      </c>
      <c r="E1012">
        <v>4</v>
      </c>
      <c r="F1012" t="s">
        <v>29</v>
      </c>
      <c r="G1012">
        <v>2</v>
      </c>
      <c r="H1012">
        <v>4</v>
      </c>
      <c r="I1012" t="s">
        <v>30</v>
      </c>
      <c r="J1012">
        <v>14732</v>
      </c>
      <c r="K1012">
        <v>2</v>
      </c>
      <c r="L1012">
        <v>4</v>
      </c>
      <c r="M1012">
        <v>7</v>
      </c>
      <c r="N1012" t="s">
        <v>25</v>
      </c>
      <c r="O1012" t="s">
        <v>35</v>
      </c>
      <c r="P1012">
        <v>26104340</v>
      </c>
    </row>
    <row r="1013" spans="1:16" ht="14.25" x14ac:dyDescent="0.2">
      <c r="A1013">
        <v>36</v>
      </c>
      <c r="B1013" t="s">
        <v>22</v>
      </c>
      <c r="C1013" t="s">
        <v>17</v>
      </c>
      <c r="D1013">
        <v>3</v>
      </c>
      <c r="E1013">
        <v>4</v>
      </c>
      <c r="F1013" t="s">
        <v>36</v>
      </c>
      <c r="G1013">
        <v>1</v>
      </c>
      <c r="H1013">
        <v>2</v>
      </c>
      <c r="I1013" t="s">
        <v>19</v>
      </c>
      <c r="J1013">
        <v>9278</v>
      </c>
      <c r="K1013">
        <v>3</v>
      </c>
      <c r="L1013">
        <v>3</v>
      </c>
      <c r="M1013">
        <v>5</v>
      </c>
      <c r="N1013" t="s">
        <v>20</v>
      </c>
      <c r="O1013" t="s">
        <v>21</v>
      </c>
      <c r="P1013">
        <v>79812422</v>
      </c>
    </row>
    <row r="1014" spans="1:16" ht="14.25" x14ac:dyDescent="0.2">
      <c r="A1014">
        <v>31</v>
      </c>
      <c r="B1014" t="s">
        <v>16</v>
      </c>
      <c r="C1014" t="s">
        <v>17</v>
      </c>
      <c r="D1014">
        <v>1</v>
      </c>
      <c r="E1014">
        <v>4</v>
      </c>
      <c r="F1014" t="s">
        <v>18</v>
      </c>
      <c r="G1014">
        <v>2</v>
      </c>
      <c r="H1014">
        <v>3</v>
      </c>
      <c r="I1014" t="s">
        <v>19</v>
      </c>
      <c r="J1014">
        <v>1359</v>
      </c>
      <c r="K1014">
        <v>1</v>
      </c>
      <c r="L1014">
        <v>3</v>
      </c>
      <c r="M1014">
        <v>1</v>
      </c>
      <c r="N1014" t="s">
        <v>20</v>
      </c>
      <c r="O1014" t="s">
        <v>34</v>
      </c>
      <c r="P1014">
        <v>65091586</v>
      </c>
    </row>
    <row r="1015" spans="1:16" ht="14.25" x14ac:dyDescent="0.2">
      <c r="A1015">
        <v>30</v>
      </c>
      <c r="B1015" t="s">
        <v>22</v>
      </c>
      <c r="C1015" t="s">
        <v>17</v>
      </c>
      <c r="D1015">
        <v>7</v>
      </c>
      <c r="E1015">
        <v>4</v>
      </c>
      <c r="F1015" t="s">
        <v>36</v>
      </c>
      <c r="G1015">
        <v>4</v>
      </c>
      <c r="H1015">
        <v>1</v>
      </c>
      <c r="I1015" t="s">
        <v>30</v>
      </c>
      <c r="J1015">
        <v>4779</v>
      </c>
      <c r="K1015">
        <v>7</v>
      </c>
      <c r="L1015">
        <v>3</v>
      </c>
      <c r="M1015">
        <v>3</v>
      </c>
      <c r="N1015" t="s">
        <v>20</v>
      </c>
      <c r="O1015" t="s">
        <v>21</v>
      </c>
      <c r="P1015">
        <v>42008627</v>
      </c>
    </row>
    <row r="1016" spans="1:16" ht="14.25" x14ac:dyDescent="0.2">
      <c r="A1016">
        <v>31</v>
      </c>
      <c r="B1016" t="s">
        <v>22</v>
      </c>
      <c r="C1016" t="s">
        <v>23</v>
      </c>
      <c r="D1016">
        <v>8</v>
      </c>
      <c r="E1016">
        <v>5</v>
      </c>
      <c r="F1016" t="s">
        <v>18</v>
      </c>
      <c r="G1016">
        <v>1</v>
      </c>
      <c r="H1016">
        <v>2</v>
      </c>
      <c r="I1016" t="s">
        <v>19</v>
      </c>
      <c r="J1016">
        <v>16422</v>
      </c>
      <c r="K1016">
        <v>3</v>
      </c>
      <c r="L1016">
        <v>4</v>
      </c>
      <c r="M1016">
        <v>3</v>
      </c>
      <c r="N1016" t="s">
        <v>20</v>
      </c>
      <c r="O1016" t="s">
        <v>35</v>
      </c>
      <c r="P1016">
        <v>60814943</v>
      </c>
    </row>
    <row r="1017" spans="1:16" ht="14.25" x14ac:dyDescent="0.2">
      <c r="A1017">
        <v>34</v>
      </c>
      <c r="B1017" t="s">
        <v>22</v>
      </c>
      <c r="C1017" t="s">
        <v>23</v>
      </c>
      <c r="D1017">
        <v>1</v>
      </c>
      <c r="E1017">
        <v>4</v>
      </c>
      <c r="F1017" t="s">
        <v>27</v>
      </c>
      <c r="G1017">
        <v>4</v>
      </c>
      <c r="H1017">
        <v>1</v>
      </c>
      <c r="I1017" t="s">
        <v>30</v>
      </c>
      <c r="J1017">
        <v>2996</v>
      </c>
      <c r="K1017">
        <v>5</v>
      </c>
      <c r="L1017">
        <v>3</v>
      </c>
      <c r="M1017">
        <v>4</v>
      </c>
      <c r="N1017" t="s">
        <v>25</v>
      </c>
      <c r="O1017" t="s">
        <v>26</v>
      </c>
      <c r="P1017">
        <v>58905659</v>
      </c>
    </row>
    <row r="1018" spans="1:16" ht="14.25" x14ac:dyDescent="0.2">
      <c r="A1018">
        <v>31</v>
      </c>
      <c r="B1018" t="s">
        <v>16</v>
      </c>
      <c r="C1018" t="s">
        <v>23</v>
      </c>
      <c r="D1018">
        <v>8</v>
      </c>
      <c r="E1018">
        <v>3</v>
      </c>
      <c r="F1018" t="s">
        <v>18</v>
      </c>
      <c r="G1018">
        <v>1</v>
      </c>
      <c r="H1018">
        <v>2</v>
      </c>
      <c r="I1018" t="s">
        <v>19</v>
      </c>
      <c r="J1018">
        <v>1261</v>
      </c>
      <c r="K1018">
        <v>1</v>
      </c>
      <c r="L1018">
        <v>4</v>
      </c>
      <c r="M1018">
        <v>1</v>
      </c>
      <c r="N1018" t="s">
        <v>20</v>
      </c>
      <c r="O1018" t="s">
        <v>26</v>
      </c>
      <c r="P1018">
        <v>75617102</v>
      </c>
    </row>
    <row r="1019" spans="1:16" ht="14.25" x14ac:dyDescent="0.2">
      <c r="A1019">
        <v>27</v>
      </c>
      <c r="B1019" t="s">
        <v>22</v>
      </c>
      <c r="C1019" t="s">
        <v>23</v>
      </c>
      <c r="D1019">
        <v>11</v>
      </c>
      <c r="E1019">
        <v>1</v>
      </c>
      <c r="F1019" t="s">
        <v>18</v>
      </c>
      <c r="G1019">
        <v>2</v>
      </c>
      <c r="H1019">
        <v>1</v>
      </c>
      <c r="I1019" t="s">
        <v>24</v>
      </c>
      <c r="J1019">
        <v>2099</v>
      </c>
      <c r="K1019">
        <v>0</v>
      </c>
      <c r="L1019">
        <v>4</v>
      </c>
      <c r="M1019">
        <v>5</v>
      </c>
      <c r="N1019" t="s">
        <v>25</v>
      </c>
      <c r="O1019" t="s">
        <v>28</v>
      </c>
      <c r="P1019">
        <v>63859381</v>
      </c>
    </row>
    <row r="1020" spans="1:16" ht="14.25" x14ac:dyDescent="0.2">
      <c r="A1020">
        <v>36</v>
      </c>
      <c r="B1020" t="s">
        <v>22</v>
      </c>
      <c r="C1020" t="s">
        <v>23</v>
      </c>
      <c r="D1020">
        <v>4</v>
      </c>
      <c r="E1020">
        <v>4</v>
      </c>
      <c r="F1020" t="s">
        <v>18</v>
      </c>
      <c r="G1020">
        <v>1</v>
      </c>
      <c r="H1020">
        <v>4</v>
      </c>
      <c r="I1020" t="s">
        <v>19</v>
      </c>
      <c r="J1020">
        <v>5810</v>
      </c>
      <c r="K1020">
        <v>1</v>
      </c>
      <c r="L1020">
        <v>2</v>
      </c>
      <c r="M1020">
        <v>10</v>
      </c>
      <c r="N1020" t="s">
        <v>25</v>
      </c>
      <c r="O1020" t="s">
        <v>28</v>
      </c>
      <c r="P1020">
        <v>87955687</v>
      </c>
    </row>
    <row r="1021" spans="1:16" ht="14.25" x14ac:dyDescent="0.2">
      <c r="A1021">
        <v>36</v>
      </c>
      <c r="B1021" t="s">
        <v>22</v>
      </c>
      <c r="C1021" t="s">
        <v>17</v>
      </c>
      <c r="D1021">
        <v>16</v>
      </c>
      <c r="E1021">
        <v>4</v>
      </c>
      <c r="F1021" t="s">
        <v>36</v>
      </c>
      <c r="G1021">
        <v>3</v>
      </c>
      <c r="H1021">
        <v>1</v>
      </c>
      <c r="I1021" t="s">
        <v>24</v>
      </c>
      <c r="J1021">
        <v>5647</v>
      </c>
      <c r="K1021">
        <v>4</v>
      </c>
      <c r="L1021">
        <v>2</v>
      </c>
      <c r="M1021">
        <v>3</v>
      </c>
      <c r="N1021" t="s">
        <v>20</v>
      </c>
      <c r="O1021" t="s">
        <v>21</v>
      </c>
      <c r="P1021">
        <v>50528148</v>
      </c>
    </row>
    <row r="1022" spans="1:16" ht="14.25" x14ac:dyDescent="0.2">
      <c r="A1022">
        <v>47</v>
      </c>
      <c r="B1022" t="s">
        <v>22</v>
      </c>
      <c r="C1022" t="s">
        <v>23</v>
      </c>
      <c r="D1022">
        <v>1</v>
      </c>
      <c r="E1022">
        <v>3</v>
      </c>
      <c r="F1022" t="s">
        <v>37</v>
      </c>
      <c r="G1022">
        <v>1</v>
      </c>
      <c r="H1022">
        <v>4</v>
      </c>
      <c r="I1022" t="s">
        <v>24</v>
      </c>
      <c r="J1022">
        <v>3420</v>
      </c>
      <c r="K1022">
        <v>7</v>
      </c>
      <c r="L1022">
        <v>2</v>
      </c>
      <c r="M1022">
        <v>6</v>
      </c>
      <c r="N1022" t="s">
        <v>25</v>
      </c>
      <c r="O1022" t="s">
        <v>26</v>
      </c>
      <c r="P1022">
        <v>45401323</v>
      </c>
    </row>
    <row r="1023" spans="1:16" ht="14.25" x14ac:dyDescent="0.2">
      <c r="A1023">
        <v>25</v>
      </c>
      <c r="B1023" t="s">
        <v>16</v>
      </c>
      <c r="C1023" t="s">
        <v>17</v>
      </c>
      <c r="D1023">
        <v>9</v>
      </c>
      <c r="E1023">
        <v>2</v>
      </c>
      <c r="F1023" t="s">
        <v>18</v>
      </c>
      <c r="G1023">
        <v>1</v>
      </c>
      <c r="H1023">
        <v>1</v>
      </c>
      <c r="I1023" t="s">
        <v>24</v>
      </c>
      <c r="J1023">
        <v>4400</v>
      </c>
      <c r="K1023">
        <v>3</v>
      </c>
      <c r="L1023">
        <v>3</v>
      </c>
      <c r="M1023">
        <v>3</v>
      </c>
      <c r="N1023" t="s">
        <v>25</v>
      </c>
      <c r="O1023" t="s">
        <v>34</v>
      </c>
      <c r="P1023">
        <v>57466576</v>
      </c>
    </row>
    <row r="1024" spans="1:16" ht="14.25" x14ac:dyDescent="0.2">
      <c r="A1024">
        <v>37</v>
      </c>
      <c r="B1024" t="s">
        <v>22</v>
      </c>
      <c r="C1024" t="s">
        <v>23</v>
      </c>
      <c r="D1024">
        <v>5</v>
      </c>
      <c r="E1024">
        <v>2</v>
      </c>
      <c r="F1024" t="s">
        <v>37</v>
      </c>
      <c r="G1024">
        <v>3</v>
      </c>
      <c r="H1024">
        <v>3</v>
      </c>
      <c r="I1024" t="s">
        <v>19</v>
      </c>
      <c r="J1024">
        <v>3500</v>
      </c>
      <c r="K1024">
        <v>0</v>
      </c>
      <c r="L1024">
        <v>1</v>
      </c>
      <c r="M1024">
        <v>6</v>
      </c>
      <c r="N1024" t="s">
        <v>25</v>
      </c>
      <c r="O1024" t="s">
        <v>28</v>
      </c>
      <c r="P1024">
        <v>30507815</v>
      </c>
    </row>
    <row r="1025" spans="1:16" ht="14.25" x14ac:dyDescent="0.2">
      <c r="A1025">
        <v>56</v>
      </c>
      <c r="B1025" t="s">
        <v>22</v>
      </c>
      <c r="C1025" t="s">
        <v>23</v>
      </c>
      <c r="D1025">
        <v>1</v>
      </c>
      <c r="E1025">
        <v>2</v>
      </c>
      <c r="F1025" t="s">
        <v>18</v>
      </c>
      <c r="G1025">
        <v>1</v>
      </c>
      <c r="H1025">
        <v>1</v>
      </c>
      <c r="I1025" t="s">
        <v>24</v>
      </c>
      <c r="J1025">
        <v>2066</v>
      </c>
      <c r="K1025">
        <v>2</v>
      </c>
      <c r="L1025">
        <v>4</v>
      </c>
      <c r="M1025">
        <v>3</v>
      </c>
      <c r="N1025" t="s">
        <v>20</v>
      </c>
      <c r="O1025" t="s">
        <v>26</v>
      </c>
      <c r="P1025">
        <v>80715264</v>
      </c>
    </row>
    <row r="1026" spans="1:16" ht="14.25" x14ac:dyDescent="0.2">
      <c r="A1026">
        <v>47</v>
      </c>
      <c r="B1026" t="s">
        <v>22</v>
      </c>
      <c r="C1026" t="s">
        <v>23</v>
      </c>
      <c r="D1026">
        <v>2</v>
      </c>
      <c r="E1026">
        <v>4</v>
      </c>
      <c r="F1026" t="s">
        <v>29</v>
      </c>
      <c r="G1026">
        <v>1</v>
      </c>
      <c r="H1026">
        <v>3</v>
      </c>
      <c r="I1026" t="s">
        <v>24</v>
      </c>
      <c r="J1026">
        <v>17169</v>
      </c>
      <c r="K1026">
        <v>3</v>
      </c>
      <c r="L1026">
        <v>4</v>
      </c>
      <c r="M1026">
        <v>20</v>
      </c>
      <c r="N1026" t="s">
        <v>20</v>
      </c>
      <c r="O1026" t="s">
        <v>35</v>
      </c>
      <c r="P1026">
        <v>39910831</v>
      </c>
    </row>
    <row r="1027" spans="1:16" ht="14.25" x14ac:dyDescent="0.2">
      <c r="A1027">
        <v>24</v>
      </c>
      <c r="B1027" t="s">
        <v>22</v>
      </c>
      <c r="C1027" t="s">
        <v>17</v>
      </c>
      <c r="D1027">
        <v>4</v>
      </c>
      <c r="E1027">
        <v>1</v>
      </c>
      <c r="F1027" t="s">
        <v>29</v>
      </c>
      <c r="G1027">
        <v>4</v>
      </c>
      <c r="H1027">
        <v>3</v>
      </c>
      <c r="I1027" t="s">
        <v>24</v>
      </c>
      <c r="J1027">
        <v>4162</v>
      </c>
      <c r="K1027">
        <v>1</v>
      </c>
      <c r="L1027">
        <v>3</v>
      </c>
      <c r="M1027">
        <v>5</v>
      </c>
      <c r="N1027" t="s">
        <v>20</v>
      </c>
      <c r="O1027" t="s">
        <v>21</v>
      </c>
      <c r="P1027">
        <v>49805977</v>
      </c>
    </row>
    <row r="1028" spans="1:16" ht="14.25" x14ac:dyDescent="0.2">
      <c r="A1028">
        <v>32</v>
      </c>
      <c r="B1028" t="s">
        <v>22</v>
      </c>
      <c r="C1028" t="s">
        <v>17</v>
      </c>
      <c r="D1028">
        <v>7</v>
      </c>
      <c r="E1028">
        <v>5</v>
      </c>
      <c r="F1028" t="s">
        <v>36</v>
      </c>
      <c r="G1028">
        <v>4</v>
      </c>
      <c r="H1028">
        <v>4</v>
      </c>
      <c r="I1028" t="s">
        <v>24</v>
      </c>
      <c r="J1028">
        <v>9204</v>
      </c>
      <c r="K1028">
        <v>4</v>
      </c>
      <c r="L1028">
        <v>2</v>
      </c>
      <c r="M1028">
        <v>4</v>
      </c>
      <c r="N1028" t="s">
        <v>25</v>
      </c>
      <c r="O1028" t="s">
        <v>21</v>
      </c>
      <c r="P1028">
        <v>25563708</v>
      </c>
    </row>
    <row r="1029" spans="1:16" ht="14.25" x14ac:dyDescent="0.2">
      <c r="A1029">
        <v>34</v>
      </c>
      <c r="B1029" t="s">
        <v>22</v>
      </c>
      <c r="C1029" t="s">
        <v>23</v>
      </c>
      <c r="D1029">
        <v>1</v>
      </c>
      <c r="E1029">
        <v>3</v>
      </c>
      <c r="F1029" t="s">
        <v>18</v>
      </c>
      <c r="G1029">
        <v>4</v>
      </c>
      <c r="H1029">
        <v>2</v>
      </c>
      <c r="I1029" t="s">
        <v>24</v>
      </c>
      <c r="J1029">
        <v>3294</v>
      </c>
      <c r="K1029">
        <v>5</v>
      </c>
      <c r="L1029">
        <v>2</v>
      </c>
      <c r="M1029">
        <v>5</v>
      </c>
      <c r="N1029" t="s">
        <v>20</v>
      </c>
      <c r="O1029" t="s">
        <v>28</v>
      </c>
      <c r="P1029">
        <v>85573950</v>
      </c>
    </row>
    <row r="1030" spans="1:16" ht="14.25" x14ac:dyDescent="0.2">
      <c r="A1030">
        <v>41</v>
      </c>
      <c r="B1030" t="s">
        <v>22</v>
      </c>
      <c r="C1030" t="s">
        <v>23</v>
      </c>
      <c r="D1030">
        <v>5</v>
      </c>
      <c r="E1030">
        <v>5</v>
      </c>
      <c r="F1030" t="s">
        <v>29</v>
      </c>
      <c r="G1030">
        <v>2</v>
      </c>
      <c r="H1030">
        <v>3</v>
      </c>
      <c r="I1030" t="s">
        <v>24</v>
      </c>
      <c r="J1030">
        <v>2127</v>
      </c>
      <c r="K1030">
        <v>2</v>
      </c>
      <c r="L1030">
        <v>2</v>
      </c>
      <c r="M1030">
        <v>4</v>
      </c>
      <c r="N1030" t="s">
        <v>25</v>
      </c>
      <c r="O1030" t="s">
        <v>26</v>
      </c>
      <c r="P1030">
        <v>55401968</v>
      </c>
    </row>
    <row r="1031" spans="1:16" ht="14.25" x14ac:dyDescent="0.2">
      <c r="A1031">
        <v>40</v>
      </c>
      <c r="B1031" t="s">
        <v>22</v>
      </c>
      <c r="C1031" t="s">
        <v>23</v>
      </c>
      <c r="D1031">
        <v>9</v>
      </c>
      <c r="E1031">
        <v>4</v>
      </c>
      <c r="F1031" t="s">
        <v>27</v>
      </c>
      <c r="G1031">
        <v>3</v>
      </c>
      <c r="H1031">
        <v>3</v>
      </c>
      <c r="I1031" t="s">
        <v>30</v>
      </c>
      <c r="J1031">
        <v>3975</v>
      </c>
      <c r="K1031">
        <v>3</v>
      </c>
      <c r="L1031">
        <v>4</v>
      </c>
      <c r="M1031">
        <v>8</v>
      </c>
      <c r="N1031" t="s">
        <v>25</v>
      </c>
      <c r="O1031" t="s">
        <v>28</v>
      </c>
      <c r="P1031">
        <v>80793122</v>
      </c>
    </row>
    <row r="1032" spans="1:16" ht="14.25" x14ac:dyDescent="0.2">
      <c r="A1032">
        <v>31</v>
      </c>
      <c r="B1032" t="s">
        <v>22</v>
      </c>
      <c r="C1032" t="s">
        <v>17</v>
      </c>
      <c r="D1032">
        <v>8</v>
      </c>
      <c r="E1032">
        <v>2</v>
      </c>
      <c r="F1032" t="s">
        <v>18</v>
      </c>
      <c r="G1032">
        <v>1</v>
      </c>
      <c r="H1032">
        <v>4</v>
      </c>
      <c r="I1032" t="s">
        <v>30</v>
      </c>
      <c r="J1032">
        <v>10793</v>
      </c>
      <c r="K1032">
        <v>1</v>
      </c>
      <c r="L1032">
        <v>3</v>
      </c>
      <c r="M1032">
        <v>13</v>
      </c>
      <c r="N1032" t="s">
        <v>25</v>
      </c>
      <c r="O1032" t="s">
        <v>21</v>
      </c>
      <c r="P1032">
        <v>50917065</v>
      </c>
    </row>
    <row r="1033" spans="1:16" ht="14.25" x14ac:dyDescent="0.2">
      <c r="A1033">
        <v>46</v>
      </c>
      <c r="B1033" t="s">
        <v>16</v>
      </c>
      <c r="C1033" t="s">
        <v>17</v>
      </c>
      <c r="D1033">
        <v>9</v>
      </c>
      <c r="E1033">
        <v>3</v>
      </c>
      <c r="F1033" t="s">
        <v>36</v>
      </c>
      <c r="G1033">
        <v>1</v>
      </c>
      <c r="H1033">
        <v>4</v>
      </c>
      <c r="I1033" t="s">
        <v>30</v>
      </c>
      <c r="J1033">
        <v>10096</v>
      </c>
      <c r="K1033">
        <v>4</v>
      </c>
      <c r="L1033">
        <v>4</v>
      </c>
      <c r="M1033">
        <v>7</v>
      </c>
      <c r="N1033" t="s">
        <v>25</v>
      </c>
      <c r="O1033" t="s">
        <v>21</v>
      </c>
      <c r="P1033">
        <v>36506988</v>
      </c>
    </row>
    <row r="1034" spans="1:16" ht="14.25" x14ac:dyDescent="0.2">
      <c r="A1034">
        <v>39</v>
      </c>
      <c r="B1034" t="s">
        <v>16</v>
      </c>
      <c r="C1034" t="s">
        <v>23</v>
      </c>
      <c r="D1034">
        <v>2</v>
      </c>
      <c r="E1034">
        <v>3</v>
      </c>
      <c r="F1034" t="s">
        <v>18</v>
      </c>
      <c r="G1034">
        <v>1</v>
      </c>
      <c r="H1034">
        <v>1</v>
      </c>
      <c r="I1034" t="s">
        <v>19</v>
      </c>
      <c r="J1034">
        <v>3646</v>
      </c>
      <c r="K1034">
        <v>2</v>
      </c>
      <c r="L1034">
        <v>4</v>
      </c>
      <c r="M1034">
        <v>1</v>
      </c>
      <c r="N1034" t="s">
        <v>20</v>
      </c>
      <c r="O1034" t="s">
        <v>28</v>
      </c>
      <c r="P1034">
        <v>15165061</v>
      </c>
    </row>
    <row r="1035" spans="1:16" ht="14.25" x14ac:dyDescent="0.2">
      <c r="A1035">
        <v>31</v>
      </c>
      <c r="B1035" t="s">
        <v>16</v>
      </c>
      <c r="C1035" t="s">
        <v>23</v>
      </c>
      <c r="D1035">
        <v>1</v>
      </c>
      <c r="E1035">
        <v>5</v>
      </c>
      <c r="F1035" t="s">
        <v>18</v>
      </c>
      <c r="G1035">
        <v>3</v>
      </c>
      <c r="H1035">
        <v>2</v>
      </c>
      <c r="I1035" t="s">
        <v>19</v>
      </c>
      <c r="J1035">
        <v>7446</v>
      </c>
      <c r="K1035">
        <v>1</v>
      </c>
      <c r="L1035">
        <v>3</v>
      </c>
      <c r="M1035">
        <v>10</v>
      </c>
      <c r="N1035" t="s">
        <v>20</v>
      </c>
      <c r="O1035" t="s">
        <v>31</v>
      </c>
      <c r="P1035">
        <v>70002709</v>
      </c>
    </row>
    <row r="1036" spans="1:16" ht="14.25" x14ac:dyDescent="0.2">
      <c r="A1036">
        <v>45</v>
      </c>
      <c r="B1036" t="s">
        <v>22</v>
      </c>
      <c r="C1036" t="s">
        <v>23</v>
      </c>
      <c r="D1036">
        <v>20</v>
      </c>
      <c r="E1036">
        <v>3</v>
      </c>
      <c r="F1036" t="s">
        <v>29</v>
      </c>
      <c r="G1036">
        <v>2</v>
      </c>
      <c r="H1036">
        <v>1</v>
      </c>
      <c r="I1036" t="s">
        <v>30</v>
      </c>
      <c r="J1036">
        <v>10851</v>
      </c>
      <c r="K1036">
        <v>2</v>
      </c>
      <c r="L1036">
        <v>3</v>
      </c>
      <c r="M1036">
        <v>7</v>
      </c>
      <c r="N1036" t="s">
        <v>25</v>
      </c>
      <c r="O1036" t="s">
        <v>32</v>
      </c>
      <c r="P1036">
        <v>84707186</v>
      </c>
    </row>
    <row r="1037" spans="1:16" ht="14.25" x14ac:dyDescent="0.2">
      <c r="A1037">
        <v>31</v>
      </c>
      <c r="B1037" t="s">
        <v>22</v>
      </c>
      <c r="C1037" t="s">
        <v>38</v>
      </c>
      <c r="D1037">
        <v>8</v>
      </c>
      <c r="E1037">
        <v>2</v>
      </c>
      <c r="F1037" t="s">
        <v>29</v>
      </c>
      <c r="G1037">
        <v>4</v>
      </c>
      <c r="H1037">
        <v>2</v>
      </c>
      <c r="I1037" t="s">
        <v>19</v>
      </c>
      <c r="J1037">
        <v>2109</v>
      </c>
      <c r="K1037">
        <v>9</v>
      </c>
      <c r="L1037">
        <v>3</v>
      </c>
      <c r="M1037">
        <v>3</v>
      </c>
      <c r="N1037" t="s">
        <v>20</v>
      </c>
      <c r="O1037" t="s">
        <v>38</v>
      </c>
      <c r="P1037">
        <v>29913706</v>
      </c>
    </row>
    <row r="1038" spans="1:16" ht="14.25" x14ac:dyDescent="0.2">
      <c r="A1038">
        <v>31</v>
      </c>
      <c r="B1038" t="s">
        <v>16</v>
      </c>
      <c r="C1038" t="s">
        <v>23</v>
      </c>
      <c r="D1038">
        <v>2</v>
      </c>
      <c r="E1038">
        <v>3</v>
      </c>
      <c r="F1038" t="s">
        <v>18</v>
      </c>
      <c r="G1038">
        <v>2</v>
      </c>
      <c r="H1038">
        <v>4</v>
      </c>
      <c r="I1038" t="s">
        <v>24</v>
      </c>
      <c r="J1038">
        <v>3722</v>
      </c>
      <c r="K1038">
        <v>6</v>
      </c>
      <c r="L1038">
        <v>1</v>
      </c>
      <c r="M1038">
        <v>2</v>
      </c>
      <c r="N1038" t="s">
        <v>25</v>
      </c>
      <c r="O1038" t="s">
        <v>28</v>
      </c>
      <c r="P1038">
        <v>45129504</v>
      </c>
    </row>
    <row r="1039" spans="1:16" ht="14.25" x14ac:dyDescent="0.2">
      <c r="A1039">
        <v>45</v>
      </c>
      <c r="B1039" t="s">
        <v>22</v>
      </c>
      <c r="C1039" t="s">
        <v>23</v>
      </c>
      <c r="D1039">
        <v>29</v>
      </c>
      <c r="E1039">
        <v>3</v>
      </c>
      <c r="F1039" t="s">
        <v>37</v>
      </c>
      <c r="G1039">
        <v>2</v>
      </c>
      <c r="H1039">
        <v>4</v>
      </c>
      <c r="I1039" t="s">
        <v>24</v>
      </c>
      <c r="J1039">
        <v>9380</v>
      </c>
      <c r="K1039">
        <v>4</v>
      </c>
      <c r="L1039">
        <v>4</v>
      </c>
      <c r="M1039">
        <v>3</v>
      </c>
      <c r="N1039" t="s">
        <v>25</v>
      </c>
      <c r="O1039" t="s">
        <v>31</v>
      </c>
      <c r="P1039">
        <v>74868300</v>
      </c>
    </row>
    <row r="1040" spans="1:16" ht="14.25" x14ac:dyDescent="0.2">
      <c r="A1040">
        <v>48</v>
      </c>
      <c r="B1040" t="s">
        <v>22</v>
      </c>
      <c r="C1040" t="s">
        <v>17</v>
      </c>
      <c r="D1040">
        <v>7</v>
      </c>
      <c r="E1040">
        <v>3</v>
      </c>
      <c r="F1040" t="s">
        <v>36</v>
      </c>
      <c r="G1040">
        <v>3</v>
      </c>
      <c r="H1040">
        <v>1</v>
      </c>
      <c r="I1040" t="s">
        <v>30</v>
      </c>
      <c r="J1040">
        <v>5486</v>
      </c>
      <c r="K1040">
        <v>4</v>
      </c>
      <c r="L1040">
        <v>3</v>
      </c>
      <c r="M1040">
        <v>2</v>
      </c>
      <c r="N1040" t="s">
        <v>25</v>
      </c>
      <c r="O1040" t="s">
        <v>21</v>
      </c>
      <c r="P1040">
        <v>58272662</v>
      </c>
    </row>
    <row r="1041" spans="1:16" ht="14.25" x14ac:dyDescent="0.2">
      <c r="A1041">
        <v>34</v>
      </c>
      <c r="B1041" t="s">
        <v>16</v>
      </c>
      <c r="C1041" t="s">
        <v>38</v>
      </c>
      <c r="D1041">
        <v>9</v>
      </c>
      <c r="E1041">
        <v>4</v>
      </c>
      <c r="F1041" t="s">
        <v>37</v>
      </c>
      <c r="G1041">
        <v>1</v>
      </c>
      <c r="H1041">
        <v>3</v>
      </c>
      <c r="I1041" t="s">
        <v>24</v>
      </c>
      <c r="J1041">
        <v>2742</v>
      </c>
      <c r="K1041">
        <v>1</v>
      </c>
      <c r="L1041">
        <v>3</v>
      </c>
      <c r="M1041">
        <v>2</v>
      </c>
      <c r="N1041" t="s">
        <v>20</v>
      </c>
      <c r="O1041" t="s">
        <v>38</v>
      </c>
      <c r="P1041">
        <v>87416536</v>
      </c>
    </row>
    <row r="1042" spans="1:16" ht="14.25" x14ac:dyDescent="0.2">
      <c r="A1042">
        <v>40</v>
      </c>
      <c r="B1042" t="s">
        <v>22</v>
      </c>
      <c r="C1042" t="s">
        <v>23</v>
      </c>
      <c r="D1042">
        <v>8</v>
      </c>
      <c r="E1042">
        <v>1</v>
      </c>
      <c r="F1042" t="s">
        <v>29</v>
      </c>
      <c r="G1042">
        <v>4</v>
      </c>
      <c r="H1042">
        <v>2</v>
      </c>
      <c r="I1042" t="s">
        <v>30</v>
      </c>
      <c r="J1042">
        <v>13757</v>
      </c>
      <c r="K1042">
        <v>2</v>
      </c>
      <c r="L1042">
        <v>3</v>
      </c>
      <c r="M1042">
        <v>9</v>
      </c>
      <c r="N1042" t="s">
        <v>25</v>
      </c>
      <c r="O1042" t="s">
        <v>35</v>
      </c>
      <c r="P1042">
        <v>53484219</v>
      </c>
    </row>
    <row r="1043" spans="1:16" ht="14.25" x14ac:dyDescent="0.2">
      <c r="A1043">
        <v>28</v>
      </c>
      <c r="B1043" t="s">
        <v>22</v>
      </c>
      <c r="C1043" t="s">
        <v>17</v>
      </c>
      <c r="D1043">
        <v>5</v>
      </c>
      <c r="E1043">
        <v>3</v>
      </c>
      <c r="F1043" t="s">
        <v>29</v>
      </c>
      <c r="G1043">
        <v>4</v>
      </c>
      <c r="H1043">
        <v>1</v>
      </c>
      <c r="I1043" t="s">
        <v>19</v>
      </c>
      <c r="J1043">
        <v>8463</v>
      </c>
      <c r="K1043">
        <v>0</v>
      </c>
      <c r="L1043">
        <v>3</v>
      </c>
      <c r="M1043">
        <v>5</v>
      </c>
      <c r="N1043" t="s">
        <v>25</v>
      </c>
      <c r="O1043" t="s">
        <v>21</v>
      </c>
      <c r="P1043">
        <v>66731420</v>
      </c>
    </row>
    <row r="1044" spans="1:16" ht="14.25" x14ac:dyDescent="0.2">
      <c r="A1044">
        <v>44</v>
      </c>
      <c r="B1044" t="s">
        <v>22</v>
      </c>
      <c r="C1044" t="s">
        <v>23</v>
      </c>
      <c r="D1044">
        <v>5</v>
      </c>
      <c r="E1044">
        <v>3</v>
      </c>
      <c r="F1044" t="s">
        <v>18</v>
      </c>
      <c r="G1044">
        <v>3</v>
      </c>
      <c r="H1044">
        <v>3</v>
      </c>
      <c r="I1044" t="s">
        <v>19</v>
      </c>
      <c r="J1044">
        <v>3162</v>
      </c>
      <c r="K1044">
        <v>3</v>
      </c>
      <c r="L1044">
        <v>3</v>
      </c>
      <c r="M1044">
        <v>5</v>
      </c>
      <c r="N1044" t="s">
        <v>25</v>
      </c>
      <c r="O1044" t="s">
        <v>28</v>
      </c>
      <c r="P1044">
        <v>45714828</v>
      </c>
    </row>
    <row r="1045" spans="1:16" ht="14.25" x14ac:dyDescent="0.2">
      <c r="A1045">
        <v>53</v>
      </c>
      <c r="B1045" t="s">
        <v>22</v>
      </c>
      <c r="C1045" t="s">
        <v>23</v>
      </c>
      <c r="D1045">
        <v>2</v>
      </c>
      <c r="E1045">
        <v>3</v>
      </c>
      <c r="F1045" t="s">
        <v>29</v>
      </c>
      <c r="G1045">
        <v>4</v>
      </c>
      <c r="H1045">
        <v>2</v>
      </c>
      <c r="I1045" t="s">
        <v>19</v>
      </c>
      <c r="J1045">
        <v>16598</v>
      </c>
      <c r="K1045">
        <v>4</v>
      </c>
      <c r="L1045">
        <v>2</v>
      </c>
      <c r="M1045">
        <v>9</v>
      </c>
      <c r="N1045" t="s">
        <v>25</v>
      </c>
      <c r="O1045" t="s">
        <v>35</v>
      </c>
      <c r="P1045">
        <v>31316152</v>
      </c>
    </row>
    <row r="1046" spans="1:16" ht="14.25" x14ac:dyDescent="0.2">
      <c r="A1046">
        <v>49</v>
      </c>
      <c r="B1046" t="s">
        <v>22</v>
      </c>
      <c r="C1046" t="s">
        <v>23</v>
      </c>
      <c r="D1046">
        <v>5</v>
      </c>
      <c r="E1046">
        <v>4</v>
      </c>
      <c r="F1046" t="s">
        <v>37</v>
      </c>
      <c r="G1046">
        <v>1</v>
      </c>
      <c r="H1046">
        <v>3</v>
      </c>
      <c r="I1046" t="s">
        <v>24</v>
      </c>
      <c r="J1046">
        <v>6651</v>
      </c>
      <c r="K1046">
        <v>2</v>
      </c>
      <c r="L1046">
        <v>2</v>
      </c>
      <c r="M1046">
        <v>3</v>
      </c>
      <c r="N1046" t="s">
        <v>25</v>
      </c>
      <c r="O1046" t="s">
        <v>32</v>
      </c>
      <c r="P1046">
        <v>86971918</v>
      </c>
    </row>
    <row r="1047" spans="1:16" ht="14.25" x14ac:dyDescent="0.2">
      <c r="A1047">
        <v>40</v>
      </c>
      <c r="B1047" t="s">
        <v>22</v>
      </c>
      <c r="C1047" t="s">
        <v>23</v>
      </c>
      <c r="D1047">
        <v>2</v>
      </c>
      <c r="E1047">
        <v>3</v>
      </c>
      <c r="F1047" t="s">
        <v>29</v>
      </c>
      <c r="G1047">
        <v>3</v>
      </c>
      <c r="H1047">
        <v>3</v>
      </c>
      <c r="I1047" t="s">
        <v>30</v>
      </c>
      <c r="J1047">
        <v>2345</v>
      </c>
      <c r="K1047">
        <v>2</v>
      </c>
      <c r="L1047">
        <v>4</v>
      </c>
      <c r="M1047">
        <v>3</v>
      </c>
      <c r="N1047" t="s">
        <v>25</v>
      </c>
      <c r="O1047" t="s">
        <v>26</v>
      </c>
      <c r="P1047">
        <v>19934768</v>
      </c>
    </row>
    <row r="1048" spans="1:16" ht="14.25" x14ac:dyDescent="0.2">
      <c r="A1048">
        <v>44</v>
      </c>
      <c r="B1048" t="s">
        <v>22</v>
      </c>
      <c r="C1048" t="s">
        <v>23</v>
      </c>
      <c r="D1048">
        <v>20</v>
      </c>
      <c r="E1048">
        <v>3</v>
      </c>
      <c r="F1048" t="s">
        <v>18</v>
      </c>
      <c r="G1048">
        <v>4</v>
      </c>
      <c r="H1048">
        <v>2</v>
      </c>
      <c r="I1048" t="s">
        <v>19</v>
      </c>
      <c r="J1048">
        <v>3420</v>
      </c>
      <c r="K1048">
        <v>1</v>
      </c>
      <c r="L1048">
        <v>2</v>
      </c>
      <c r="M1048">
        <v>5</v>
      </c>
      <c r="N1048" t="s">
        <v>25</v>
      </c>
      <c r="O1048" t="s">
        <v>26</v>
      </c>
      <c r="P1048">
        <v>34714944</v>
      </c>
    </row>
    <row r="1049" spans="1:16" ht="14.25" x14ac:dyDescent="0.2">
      <c r="A1049">
        <v>33</v>
      </c>
      <c r="B1049" t="s">
        <v>22</v>
      </c>
      <c r="C1049" t="s">
        <v>17</v>
      </c>
      <c r="D1049">
        <v>7</v>
      </c>
      <c r="E1049">
        <v>3</v>
      </c>
      <c r="F1049" t="s">
        <v>29</v>
      </c>
      <c r="G1049">
        <v>4</v>
      </c>
      <c r="H1049">
        <v>1</v>
      </c>
      <c r="I1049" t="s">
        <v>24</v>
      </c>
      <c r="J1049">
        <v>4373</v>
      </c>
      <c r="K1049">
        <v>0</v>
      </c>
      <c r="L1049">
        <v>3</v>
      </c>
      <c r="M1049">
        <v>4</v>
      </c>
      <c r="N1049" t="s">
        <v>25</v>
      </c>
      <c r="O1049" t="s">
        <v>21</v>
      </c>
      <c r="P1049">
        <v>51449380</v>
      </c>
    </row>
    <row r="1050" spans="1:16" ht="14.25" x14ac:dyDescent="0.2">
      <c r="A1050">
        <v>34</v>
      </c>
      <c r="B1050" t="s">
        <v>22</v>
      </c>
      <c r="C1050" t="s">
        <v>17</v>
      </c>
      <c r="D1050">
        <v>3</v>
      </c>
      <c r="E1050">
        <v>3</v>
      </c>
      <c r="F1050" t="s">
        <v>27</v>
      </c>
      <c r="G1050">
        <v>4</v>
      </c>
      <c r="H1050">
        <v>1</v>
      </c>
      <c r="I1050" t="s">
        <v>19</v>
      </c>
      <c r="J1050">
        <v>4759</v>
      </c>
      <c r="K1050">
        <v>3</v>
      </c>
      <c r="L1050">
        <v>3</v>
      </c>
      <c r="M1050">
        <v>13</v>
      </c>
      <c r="N1050" t="s">
        <v>25</v>
      </c>
      <c r="O1050" t="s">
        <v>21</v>
      </c>
      <c r="P1050">
        <v>70329590</v>
      </c>
    </row>
    <row r="1051" spans="1:16" ht="14.25" x14ac:dyDescent="0.2">
      <c r="A1051">
        <v>30</v>
      </c>
      <c r="B1051" t="s">
        <v>22</v>
      </c>
      <c r="C1051" t="s">
        <v>17</v>
      </c>
      <c r="D1051">
        <v>16</v>
      </c>
      <c r="E1051">
        <v>1</v>
      </c>
      <c r="F1051" t="s">
        <v>18</v>
      </c>
      <c r="G1051">
        <v>4</v>
      </c>
      <c r="H1051">
        <v>3</v>
      </c>
      <c r="I1051" t="s">
        <v>24</v>
      </c>
      <c r="J1051">
        <v>5301</v>
      </c>
      <c r="K1051">
        <v>8</v>
      </c>
      <c r="L1051">
        <v>2</v>
      </c>
      <c r="M1051">
        <v>2</v>
      </c>
      <c r="N1051" t="s">
        <v>25</v>
      </c>
      <c r="O1051" t="s">
        <v>21</v>
      </c>
      <c r="P1051">
        <v>87788806</v>
      </c>
    </row>
    <row r="1052" spans="1:16" ht="14.25" x14ac:dyDescent="0.2">
      <c r="A1052">
        <v>42</v>
      </c>
      <c r="B1052" t="s">
        <v>22</v>
      </c>
      <c r="C1052" t="s">
        <v>23</v>
      </c>
      <c r="D1052">
        <v>9</v>
      </c>
      <c r="E1052">
        <v>2</v>
      </c>
      <c r="F1052" t="s">
        <v>29</v>
      </c>
      <c r="G1052">
        <v>1</v>
      </c>
      <c r="H1052">
        <v>4</v>
      </c>
      <c r="I1052" t="s">
        <v>19</v>
      </c>
      <c r="J1052">
        <v>3673</v>
      </c>
      <c r="K1052">
        <v>1</v>
      </c>
      <c r="L1052">
        <v>3</v>
      </c>
      <c r="M1052">
        <v>12</v>
      </c>
      <c r="N1052" t="s">
        <v>20</v>
      </c>
      <c r="O1052" t="s">
        <v>28</v>
      </c>
      <c r="P1052">
        <v>69191324</v>
      </c>
    </row>
    <row r="1053" spans="1:16" ht="14.25" x14ac:dyDescent="0.2">
      <c r="A1053">
        <v>44</v>
      </c>
      <c r="B1053" t="s">
        <v>22</v>
      </c>
      <c r="C1053" t="s">
        <v>17</v>
      </c>
      <c r="D1053">
        <v>1</v>
      </c>
      <c r="E1053">
        <v>5</v>
      </c>
      <c r="F1053" t="s">
        <v>36</v>
      </c>
      <c r="G1053">
        <v>1</v>
      </c>
      <c r="H1053">
        <v>3</v>
      </c>
      <c r="I1053" t="s">
        <v>24</v>
      </c>
      <c r="J1053">
        <v>4768</v>
      </c>
      <c r="K1053">
        <v>7</v>
      </c>
      <c r="L1053">
        <v>2</v>
      </c>
      <c r="M1053">
        <v>1</v>
      </c>
      <c r="N1053" t="s">
        <v>20</v>
      </c>
      <c r="O1053" t="s">
        <v>21</v>
      </c>
      <c r="P1053">
        <v>33570801</v>
      </c>
    </row>
    <row r="1054" spans="1:16" ht="14.25" x14ac:dyDescent="0.2">
      <c r="A1054">
        <v>30</v>
      </c>
      <c r="B1054" t="s">
        <v>22</v>
      </c>
      <c r="C1054" t="s">
        <v>23</v>
      </c>
      <c r="D1054">
        <v>7</v>
      </c>
      <c r="E1054">
        <v>3</v>
      </c>
      <c r="F1054" t="s">
        <v>37</v>
      </c>
      <c r="G1054">
        <v>3</v>
      </c>
      <c r="H1054">
        <v>3</v>
      </c>
      <c r="I1054" t="s">
        <v>30</v>
      </c>
      <c r="J1054">
        <v>1274</v>
      </c>
      <c r="K1054">
        <v>1</v>
      </c>
      <c r="L1054">
        <v>2</v>
      </c>
      <c r="M1054">
        <v>1</v>
      </c>
      <c r="N1054" t="s">
        <v>25</v>
      </c>
      <c r="O1054" t="s">
        <v>26</v>
      </c>
      <c r="P1054">
        <v>65934364</v>
      </c>
    </row>
    <row r="1055" spans="1:16" ht="14.25" x14ac:dyDescent="0.2">
      <c r="A1055">
        <v>57</v>
      </c>
      <c r="B1055" t="s">
        <v>22</v>
      </c>
      <c r="C1055" t="s">
        <v>23</v>
      </c>
      <c r="D1055">
        <v>1</v>
      </c>
      <c r="E1055">
        <v>2</v>
      </c>
      <c r="F1055" t="s">
        <v>18</v>
      </c>
      <c r="G1055">
        <v>2</v>
      </c>
      <c r="H1055">
        <v>3</v>
      </c>
      <c r="I1055" t="s">
        <v>24</v>
      </c>
      <c r="J1055">
        <v>4900</v>
      </c>
      <c r="K1055">
        <v>0</v>
      </c>
      <c r="L1055">
        <v>2</v>
      </c>
      <c r="M1055">
        <v>12</v>
      </c>
      <c r="N1055" t="s">
        <v>25</v>
      </c>
      <c r="O1055" t="s">
        <v>26</v>
      </c>
      <c r="P1055">
        <v>62991579</v>
      </c>
    </row>
    <row r="1056" spans="1:16" ht="14.25" x14ac:dyDescent="0.2">
      <c r="A1056">
        <v>49</v>
      </c>
      <c r="B1056" t="s">
        <v>22</v>
      </c>
      <c r="C1056" t="s">
        <v>23</v>
      </c>
      <c r="D1056">
        <v>7</v>
      </c>
      <c r="E1056">
        <v>4</v>
      </c>
      <c r="F1056" t="s">
        <v>18</v>
      </c>
      <c r="G1056">
        <v>3</v>
      </c>
      <c r="H1056">
        <v>2</v>
      </c>
      <c r="I1056" t="s">
        <v>30</v>
      </c>
      <c r="J1056">
        <v>10466</v>
      </c>
      <c r="K1056">
        <v>3</v>
      </c>
      <c r="L1056">
        <v>3</v>
      </c>
      <c r="M1056">
        <v>8</v>
      </c>
      <c r="N1056" t="s">
        <v>25</v>
      </c>
      <c r="O1056" t="s">
        <v>32</v>
      </c>
      <c r="P1056">
        <v>59026845</v>
      </c>
    </row>
    <row r="1057" spans="1:16" ht="14.25" x14ac:dyDescent="0.2">
      <c r="A1057">
        <v>34</v>
      </c>
      <c r="B1057" t="s">
        <v>22</v>
      </c>
      <c r="C1057" t="s">
        <v>23</v>
      </c>
      <c r="D1057">
        <v>15</v>
      </c>
      <c r="E1057">
        <v>3</v>
      </c>
      <c r="F1057" t="s">
        <v>29</v>
      </c>
      <c r="G1057">
        <v>2</v>
      </c>
      <c r="H1057">
        <v>1</v>
      </c>
      <c r="I1057" t="s">
        <v>30</v>
      </c>
      <c r="J1057">
        <v>17007</v>
      </c>
      <c r="K1057">
        <v>7</v>
      </c>
      <c r="L1057">
        <v>2</v>
      </c>
      <c r="M1057">
        <v>14</v>
      </c>
      <c r="N1057" t="s">
        <v>25</v>
      </c>
      <c r="O1057" t="s">
        <v>35</v>
      </c>
      <c r="P1057">
        <v>17980361</v>
      </c>
    </row>
    <row r="1058" spans="1:16" ht="14.25" x14ac:dyDescent="0.2">
      <c r="A1058">
        <v>28</v>
      </c>
      <c r="B1058" t="s">
        <v>16</v>
      </c>
      <c r="C1058" t="s">
        <v>17</v>
      </c>
      <c r="D1058">
        <v>1</v>
      </c>
      <c r="E1058">
        <v>3</v>
      </c>
      <c r="F1058" t="s">
        <v>37</v>
      </c>
      <c r="G1058">
        <v>1</v>
      </c>
      <c r="H1058">
        <v>3</v>
      </c>
      <c r="I1058" t="s">
        <v>24</v>
      </c>
      <c r="J1058">
        <v>2909</v>
      </c>
      <c r="K1058">
        <v>3</v>
      </c>
      <c r="L1058">
        <v>4</v>
      </c>
      <c r="M1058">
        <v>3</v>
      </c>
      <c r="N1058" t="s">
        <v>25</v>
      </c>
      <c r="O1058" t="s">
        <v>34</v>
      </c>
      <c r="P1058">
        <v>36714227</v>
      </c>
    </row>
    <row r="1059" spans="1:16" ht="14.25" x14ac:dyDescent="0.2">
      <c r="A1059">
        <v>29</v>
      </c>
      <c r="B1059" t="s">
        <v>16</v>
      </c>
      <c r="C1059" t="s">
        <v>17</v>
      </c>
      <c r="D1059">
        <v>13</v>
      </c>
      <c r="E1059">
        <v>3</v>
      </c>
      <c r="F1059" t="s">
        <v>37</v>
      </c>
      <c r="G1059">
        <v>1</v>
      </c>
      <c r="H1059">
        <v>2</v>
      </c>
      <c r="I1059" t="s">
        <v>19</v>
      </c>
      <c r="J1059">
        <v>5765</v>
      </c>
      <c r="K1059">
        <v>5</v>
      </c>
      <c r="L1059">
        <v>1</v>
      </c>
      <c r="M1059">
        <v>5</v>
      </c>
      <c r="N1059" t="s">
        <v>20</v>
      </c>
      <c r="O1059" t="s">
        <v>21</v>
      </c>
      <c r="P1059">
        <v>20841530</v>
      </c>
    </row>
    <row r="1060" spans="1:16" ht="14.25" x14ac:dyDescent="0.2">
      <c r="A1060">
        <v>34</v>
      </c>
      <c r="B1060" t="s">
        <v>16</v>
      </c>
      <c r="C1060" t="s">
        <v>17</v>
      </c>
      <c r="D1060">
        <v>24</v>
      </c>
      <c r="E1060">
        <v>4</v>
      </c>
      <c r="F1060" t="s">
        <v>29</v>
      </c>
      <c r="G1060">
        <v>1</v>
      </c>
      <c r="H1060">
        <v>2</v>
      </c>
      <c r="I1060" t="s">
        <v>19</v>
      </c>
      <c r="J1060">
        <v>4599</v>
      </c>
      <c r="K1060">
        <v>0</v>
      </c>
      <c r="L1060">
        <v>4</v>
      </c>
      <c r="M1060">
        <v>15</v>
      </c>
      <c r="N1060" t="s">
        <v>20</v>
      </c>
      <c r="O1060" t="s">
        <v>21</v>
      </c>
      <c r="P1060">
        <v>11727877</v>
      </c>
    </row>
    <row r="1061" spans="1:16" ht="14.25" x14ac:dyDescent="0.2">
      <c r="A1061">
        <v>35</v>
      </c>
      <c r="B1061" t="s">
        <v>22</v>
      </c>
      <c r="C1061" t="s">
        <v>17</v>
      </c>
      <c r="D1061">
        <v>7</v>
      </c>
      <c r="E1061">
        <v>1</v>
      </c>
      <c r="F1061" t="s">
        <v>18</v>
      </c>
      <c r="G1061">
        <v>4</v>
      </c>
      <c r="H1061">
        <v>3</v>
      </c>
      <c r="I1061" t="s">
        <v>24</v>
      </c>
      <c r="J1061">
        <v>2404</v>
      </c>
      <c r="K1061">
        <v>1</v>
      </c>
      <c r="L1061">
        <v>3</v>
      </c>
      <c r="M1061">
        <v>1</v>
      </c>
      <c r="N1061" t="s">
        <v>25</v>
      </c>
      <c r="O1061" t="s">
        <v>34</v>
      </c>
      <c r="P1061">
        <v>17552000</v>
      </c>
    </row>
    <row r="1062" spans="1:16" ht="14.25" x14ac:dyDescent="0.2">
      <c r="A1062">
        <v>24</v>
      </c>
      <c r="B1062" t="s">
        <v>16</v>
      </c>
      <c r="C1062" t="s">
        <v>23</v>
      </c>
      <c r="D1062">
        <v>9</v>
      </c>
      <c r="E1062">
        <v>3</v>
      </c>
      <c r="F1062" t="s">
        <v>29</v>
      </c>
      <c r="G1062">
        <v>2</v>
      </c>
      <c r="H1062">
        <v>1</v>
      </c>
      <c r="I1062" t="s">
        <v>19</v>
      </c>
      <c r="J1062">
        <v>3172</v>
      </c>
      <c r="K1062">
        <v>2</v>
      </c>
      <c r="L1062">
        <v>2</v>
      </c>
      <c r="M1062">
        <v>0</v>
      </c>
      <c r="N1062" t="s">
        <v>25</v>
      </c>
      <c r="O1062" t="s">
        <v>28</v>
      </c>
      <c r="P1062">
        <v>31855884</v>
      </c>
    </row>
    <row r="1063" spans="1:16" ht="14.25" x14ac:dyDescent="0.2">
      <c r="A1063">
        <v>24</v>
      </c>
      <c r="B1063" t="s">
        <v>22</v>
      </c>
      <c r="C1063" t="s">
        <v>17</v>
      </c>
      <c r="D1063">
        <v>13</v>
      </c>
      <c r="E1063">
        <v>2</v>
      </c>
      <c r="F1063" t="s">
        <v>18</v>
      </c>
      <c r="G1063">
        <v>4</v>
      </c>
      <c r="H1063">
        <v>2</v>
      </c>
      <c r="I1063" t="s">
        <v>24</v>
      </c>
      <c r="J1063">
        <v>2033</v>
      </c>
      <c r="K1063">
        <v>1</v>
      </c>
      <c r="L1063">
        <v>3</v>
      </c>
      <c r="M1063">
        <v>1</v>
      </c>
      <c r="N1063" t="s">
        <v>20</v>
      </c>
      <c r="O1063" t="s">
        <v>34</v>
      </c>
      <c r="P1063">
        <v>47145552</v>
      </c>
    </row>
    <row r="1064" spans="1:16" ht="14.25" x14ac:dyDescent="0.2">
      <c r="A1064">
        <v>44</v>
      </c>
      <c r="B1064" t="s">
        <v>22</v>
      </c>
      <c r="C1064" t="s">
        <v>23</v>
      </c>
      <c r="D1064">
        <v>2</v>
      </c>
      <c r="E1064">
        <v>1</v>
      </c>
      <c r="F1064" t="s">
        <v>29</v>
      </c>
      <c r="G1064">
        <v>2</v>
      </c>
      <c r="H1064">
        <v>3</v>
      </c>
      <c r="I1064" t="s">
        <v>19</v>
      </c>
      <c r="J1064">
        <v>10209</v>
      </c>
      <c r="K1064">
        <v>5</v>
      </c>
      <c r="L1064">
        <v>2</v>
      </c>
      <c r="M1064">
        <v>2</v>
      </c>
      <c r="N1064" t="s">
        <v>25</v>
      </c>
      <c r="O1064" t="s">
        <v>31</v>
      </c>
      <c r="P1064">
        <v>34529888</v>
      </c>
    </row>
    <row r="1065" spans="1:16" ht="14.25" x14ac:dyDescent="0.2">
      <c r="A1065">
        <v>29</v>
      </c>
      <c r="B1065" t="s">
        <v>22</v>
      </c>
      <c r="C1065" t="s">
        <v>17</v>
      </c>
      <c r="D1065">
        <v>19</v>
      </c>
      <c r="E1065">
        <v>3</v>
      </c>
      <c r="F1065" t="s">
        <v>18</v>
      </c>
      <c r="G1065">
        <v>3</v>
      </c>
      <c r="H1065">
        <v>3</v>
      </c>
      <c r="I1065" t="s">
        <v>30</v>
      </c>
      <c r="J1065">
        <v>8620</v>
      </c>
      <c r="K1065">
        <v>1</v>
      </c>
      <c r="L1065">
        <v>3</v>
      </c>
      <c r="M1065">
        <v>10</v>
      </c>
      <c r="N1065" t="s">
        <v>25</v>
      </c>
      <c r="O1065" t="s">
        <v>21</v>
      </c>
      <c r="P1065">
        <v>60043064</v>
      </c>
    </row>
    <row r="1066" spans="1:16" ht="14.25" x14ac:dyDescent="0.2">
      <c r="A1066">
        <v>30</v>
      </c>
      <c r="B1066" t="s">
        <v>22</v>
      </c>
      <c r="C1066" t="s">
        <v>38</v>
      </c>
      <c r="D1066">
        <v>1</v>
      </c>
      <c r="E1066">
        <v>3</v>
      </c>
      <c r="F1066" t="s">
        <v>18</v>
      </c>
      <c r="G1066">
        <v>3</v>
      </c>
      <c r="H1066">
        <v>3</v>
      </c>
      <c r="I1066" t="s">
        <v>30</v>
      </c>
      <c r="J1066">
        <v>2064</v>
      </c>
      <c r="K1066">
        <v>0</v>
      </c>
      <c r="L1066">
        <v>4</v>
      </c>
      <c r="M1066">
        <v>5</v>
      </c>
      <c r="N1066" t="s">
        <v>25</v>
      </c>
      <c r="O1066" t="s">
        <v>38</v>
      </c>
      <c r="P1066">
        <v>38725838</v>
      </c>
    </row>
    <row r="1067" spans="1:16" ht="14.25" x14ac:dyDescent="0.2">
      <c r="A1067">
        <v>55</v>
      </c>
      <c r="B1067" t="s">
        <v>22</v>
      </c>
      <c r="C1067" t="s">
        <v>23</v>
      </c>
      <c r="D1067">
        <v>4</v>
      </c>
      <c r="E1067">
        <v>4</v>
      </c>
      <c r="F1067" t="s">
        <v>18</v>
      </c>
      <c r="G1067">
        <v>4</v>
      </c>
      <c r="H1067">
        <v>3</v>
      </c>
      <c r="I1067" t="s">
        <v>24</v>
      </c>
      <c r="J1067">
        <v>4035</v>
      </c>
      <c r="K1067">
        <v>0</v>
      </c>
      <c r="L1067">
        <v>3</v>
      </c>
      <c r="M1067">
        <v>3</v>
      </c>
      <c r="N1067" t="s">
        <v>25</v>
      </c>
      <c r="O1067" t="s">
        <v>32</v>
      </c>
      <c r="P1067">
        <v>10676001</v>
      </c>
    </row>
    <row r="1068" spans="1:16" ht="14.25" x14ac:dyDescent="0.2">
      <c r="A1068">
        <v>33</v>
      </c>
      <c r="B1068" t="s">
        <v>22</v>
      </c>
      <c r="C1068" t="s">
        <v>23</v>
      </c>
      <c r="D1068">
        <v>4</v>
      </c>
      <c r="E1068">
        <v>4</v>
      </c>
      <c r="F1068" t="s">
        <v>29</v>
      </c>
      <c r="G1068">
        <v>1</v>
      </c>
      <c r="H1068">
        <v>2</v>
      </c>
      <c r="I1068" t="s">
        <v>24</v>
      </c>
      <c r="J1068">
        <v>3838</v>
      </c>
      <c r="K1068">
        <v>8</v>
      </c>
      <c r="L1068">
        <v>3</v>
      </c>
      <c r="M1068">
        <v>5</v>
      </c>
      <c r="N1068" t="s">
        <v>20</v>
      </c>
      <c r="O1068" t="s">
        <v>28</v>
      </c>
      <c r="P1068">
        <v>81616232</v>
      </c>
    </row>
    <row r="1069" spans="1:16" ht="14.25" x14ac:dyDescent="0.2">
      <c r="A1069">
        <v>47</v>
      </c>
      <c r="B1069" t="s">
        <v>22</v>
      </c>
      <c r="C1069" t="s">
        <v>17</v>
      </c>
      <c r="D1069">
        <v>14</v>
      </c>
      <c r="E1069">
        <v>3</v>
      </c>
      <c r="F1069" t="s">
        <v>29</v>
      </c>
      <c r="G1069">
        <v>3</v>
      </c>
      <c r="H1069">
        <v>3</v>
      </c>
      <c r="I1069" t="s">
        <v>24</v>
      </c>
      <c r="J1069">
        <v>4591</v>
      </c>
      <c r="K1069">
        <v>3</v>
      </c>
      <c r="L1069">
        <v>2</v>
      </c>
      <c r="M1069">
        <v>5</v>
      </c>
      <c r="N1069" t="s">
        <v>20</v>
      </c>
      <c r="O1069" t="s">
        <v>21</v>
      </c>
      <c r="P1069">
        <v>71198637</v>
      </c>
    </row>
    <row r="1070" spans="1:16" ht="14.25" x14ac:dyDescent="0.2">
      <c r="A1070">
        <v>28</v>
      </c>
      <c r="B1070" t="s">
        <v>16</v>
      </c>
      <c r="C1070" t="s">
        <v>23</v>
      </c>
      <c r="D1070">
        <v>2</v>
      </c>
      <c r="E1070">
        <v>2</v>
      </c>
      <c r="F1070" t="s">
        <v>29</v>
      </c>
      <c r="G1070">
        <v>3</v>
      </c>
      <c r="H1070">
        <v>1</v>
      </c>
      <c r="I1070" t="s">
        <v>19</v>
      </c>
      <c r="J1070">
        <v>2561</v>
      </c>
      <c r="K1070">
        <v>7</v>
      </c>
      <c r="L1070">
        <v>2</v>
      </c>
      <c r="M1070">
        <v>0</v>
      </c>
      <c r="N1070" t="s">
        <v>25</v>
      </c>
      <c r="O1070" t="s">
        <v>28</v>
      </c>
      <c r="P1070">
        <v>84612606</v>
      </c>
    </row>
    <row r="1071" spans="1:16" ht="14.25" x14ac:dyDescent="0.2">
      <c r="A1071">
        <v>28</v>
      </c>
      <c r="B1071" t="s">
        <v>22</v>
      </c>
      <c r="C1071" t="s">
        <v>23</v>
      </c>
      <c r="D1071">
        <v>1</v>
      </c>
      <c r="E1071">
        <v>3</v>
      </c>
      <c r="F1071" t="s">
        <v>18</v>
      </c>
      <c r="G1071">
        <v>1</v>
      </c>
      <c r="H1071">
        <v>3</v>
      </c>
      <c r="I1071" t="s">
        <v>30</v>
      </c>
      <c r="J1071">
        <v>1563</v>
      </c>
      <c r="K1071">
        <v>1</v>
      </c>
      <c r="L1071">
        <v>1</v>
      </c>
      <c r="M1071">
        <v>1</v>
      </c>
      <c r="N1071" t="s">
        <v>25</v>
      </c>
      <c r="O1071" t="s">
        <v>26</v>
      </c>
      <c r="P1071">
        <v>12866120</v>
      </c>
    </row>
    <row r="1072" spans="1:16" ht="14.25" x14ac:dyDescent="0.2">
      <c r="A1072">
        <v>28</v>
      </c>
      <c r="B1072" t="s">
        <v>22</v>
      </c>
      <c r="C1072" t="s">
        <v>17</v>
      </c>
      <c r="D1072">
        <v>7</v>
      </c>
      <c r="E1072">
        <v>3</v>
      </c>
      <c r="F1072" t="s">
        <v>18</v>
      </c>
      <c r="G1072">
        <v>3</v>
      </c>
      <c r="H1072">
        <v>1</v>
      </c>
      <c r="I1072" t="s">
        <v>19</v>
      </c>
      <c r="J1072">
        <v>4898</v>
      </c>
      <c r="K1072">
        <v>0</v>
      </c>
      <c r="L1072">
        <v>3</v>
      </c>
      <c r="M1072">
        <v>4</v>
      </c>
      <c r="N1072" t="s">
        <v>25</v>
      </c>
      <c r="O1072" t="s">
        <v>21</v>
      </c>
      <c r="P1072">
        <v>85936877</v>
      </c>
    </row>
    <row r="1073" spans="1:16" ht="14.25" x14ac:dyDescent="0.2">
      <c r="A1073">
        <v>49</v>
      </c>
      <c r="B1073" t="s">
        <v>22</v>
      </c>
      <c r="C1073" t="s">
        <v>23</v>
      </c>
      <c r="D1073">
        <v>3</v>
      </c>
      <c r="E1073">
        <v>2</v>
      </c>
      <c r="F1073" t="s">
        <v>29</v>
      </c>
      <c r="G1073">
        <v>3</v>
      </c>
      <c r="H1073">
        <v>1</v>
      </c>
      <c r="I1073" t="s">
        <v>24</v>
      </c>
      <c r="J1073">
        <v>4789</v>
      </c>
      <c r="K1073">
        <v>4</v>
      </c>
      <c r="L1073">
        <v>3</v>
      </c>
      <c r="M1073">
        <v>3</v>
      </c>
      <c r="N1073" t="s">
        <v>20</v>
      </c>
      <c r="O1073" t="s">
        <v>28</v>
      </c>
      <c r="P1073">
        <v>57449438</v>
      </c>
    </row>
    <row r="1074" spans="1:16" ht="14.25" x14ac:dyDescent="0.2">
      <c r="A1074">
        <v>29</v>
      </c>
      <c r="B1074" t="s">
        <v>22</v>
      </c>
      <c r="C1074" t="s">
        <v>23</v>
      </c>
      <c r="D1074">
        <v>2</v>
      </c>
      <c r="E1074">
        <v>1</v>
      </c>
      <c r="F1074" t="s">
        <v>18</v>
      </c>
      <c r="G1074">
        <v>4</v>
      </c>
      <c r="H1074">
        <v>2</v>
      </c>
      <c r="I1074" t="s">
        <v>24</v>
      </c>
      <c r="J1074">
        <v>3180</v>
      </c>
      <c r="K1074">
        <v>0</v>
      </c>
      <c r="L1074">
        <v>3</v>
      </c>
      <c r="M1074">
        <v>3</v>
      </c>
      <c r="N1074" t="s">
        <v>20</v>
      </c>
      <c r="O1074" t="s">
        <v>28</v>
      </c>
      <c r="P1074">
        <v>71520571</v>
      </c>
    </row>
    <row r="1075" spans="1:16" ht="14.25" x14ac:dyDescent="0.2">
      <c r="A1075">
        <v>28</v>
      </c>
      <c r="B1075" t="s">
        <v>22</v>
      </c>
      <c r="C1075" t="s">
        <v>23</v>
      </c>
      <c r="D1075">
        <v>29</v>
      </c>
      <c r="E1075">
        <v>1</v>
      </c>
      <c r="F1075" t="s">
        <v>18</v>
      </c>
      <c r="G1075">
        <v>3</v>
      </c>
      <c r="H1075">
        <v>2</v>
      </c>
      <c r="I1075" t="s">
        <v>24</v>
      </c>
      <c r="J1075">
        <v>6549</v>
      </c>
      <c r="K1075">
        <v>1</v>
      </c>
      <c r="L1075">
        <v>2</v>
      </c>
      <c r="M1075">
        <v>8</v>
      </c>
      <c r="N1075" t="s">
        <v>25</v>
      </c>
      <c r="O1075" t="s">
        <v>31</v>
      </c>
      <c r="P1075">
        <v>56335207</v>
      </c>
    </row>
    <row r="1076" spans="1:16" ht="14.25" x14ac:dyDescent="0.2">
      <c r="A1076">
        <v>33</v>
      </c>
      <c r="B1076" t="s">
        <v>22</v>
      </c>
      <c r="C1076" t="s">
        <v>23</v>
      </c>
      <c r="D1076">
        <v>8</v>
      </c>
      <c r="E1076">
        <v>5</v>
      </c>
      <c r="F1076" t="s">
        <v>18</v>
      </c>
      <c r="G1076">
        <v>4</v>
      </c>
      <c r="H1076">
        <v>3</v>
      </c>
      <c r="I1076" t="s">
        <v>19</v>
      </c>
      <c r="J1076">
        <v>6388</v>
      </c>
      <c r="K1076">
        <v>2</v>
      </c>
      <c r="L1076">
        <v>3</v>
      </c>
      <c r="M1076">
        <v>0</v>
      </c>
      <c r="N1076" t="s">
        <v>25</v>
      </c>
      <c r="O1076" t="s">
        <v>32</v>
      </c>
      <c r="P1076">
        <v>31576398</v>
      </c>
    </row>
    <row r="1077" spans="1:16" ht="14.25" x14ac:dyDescent="0.2">
      <c r="A1077">
        <v>32</v>
      </c>
      <c r="B1077" t="s">
        <v>22</v>
      </c>
      <c r="C1077" t="s">
        <v>23</v>
      </c>
      <c r="D1077">
        <v>10</v>
      </c>
      <c r="E1077">
        <v>3</v>
      </c>
      <c r="F1077" t="s">
        <v>29</v>
      </c>
      <c r="G1077">
        <v>3</v>
      </c>
      <c r="H1077">
        <v>4</v>
      </c>
      <c r="I1077" t="s">
        <v>19</v>
      </c>
      <c r="J1077">
        <v>11244</v>
      </c>
      <c r="K1077">
        <v>2</v>
      </c>
      <c r="L1077">
        <v>4</v>
      </c>
      <c r="M1077">
        <v>5</v>
      </c>
      <c r="N1077" t="s">
        <v>25</v>
      </c>
      <c r="O1077" t="s">
        <v>33</v>
      </c>
      <c r="P1077">
        <v>21578483</v>
      </c>
    </row>
    <row r="1078" spans="1:16" ht="14.25" x14ac:dyDescent="0.2">
      <c r="A1078">
        <v>54</v>
      </c>
      <c r="B1078" t="s">
        <v>22</v>
      </c>
      <c r="C1078" t="s">
        <v>23</v>
      </c>
      <c r="D1078">
        <v>11</v>
      </c>
      <c r="E1078">
        <v>4</v>
      </c>
      <c r="F1078" t="s">
        <v>29</v>
      </c>
      <c r="G1078">
        <v>2</v>
      </c>
      <c r="H1078">
        <v>4</v>
      </c>
      <c r="I1078" t="s">
        <v>30</v>
      </c>
      <c r="J1078">
        <v>16032</v>
      </c>
      <c r="K1078">
        <v>3</v>
      </c>
      <c r="L1078">
        <v>3</v>
      </c>
      <c r="M1078">
        <v>14</v>
      </c>
      <c r="N1078" t="s">
        <v>20</v>
      </c>
      <c r="O1078" t="s">
        <v>33</v>
      </c>
      <c r="P1078">
        <v>64531795</v>
      </c>
    </row>
    <row r="1079" spans="1:16" ht="14.25" x14ac:dyDescent="0.2">
      <c r="A1079">
        <v>29</v>
      </c>
      <c r="B1079" t="s">
        <v>16</v>
      </c>
      <c r="C1079" t="s">
        <v>23</v>
      </c>
      <c r="D1079">
        <v>1</v>
      </c>
      <c r="E1079">
        <v>4</v>
      </c>
      <c r="F1079" t="s">
        <v>37</v>
      </c>
      <c r="G1079">
        <v>1</v>
      </c>
      <c r="H1079">
        <v>1</v>
      </c>
      <c r="I1079" t="s">
        <v>19</v>
      </c>
      <c r="J1079">
        <v>2362</v>
      </c>
      <c r="K1079">
        <v>6</v>
      </c>
      <c r="L1079">
        <v>1</v>
      </c>
      <c r="M1079">
        <v>9</v>
      </c>
      <c r="N1079" t="s">
        <v>25</v>
      </c>
      <c r="O1079" t="s">
        <v>26</v>
      </c>
      <c r="P1079">
        <v>12447416</v>
      </c>
    </row>
    <row r="1080" spans="1:16" ht="14.25" x14ac:dyDescent="0.2">
      <c r="A1080">
        <v>44</v>
      </c>
      <c r="B1080" t="s">
        <v>22</v>
      </c>
      <c r="C1080" t="s">
        <v>23</v>
      </c>
      <c r="D1080">
        <v>28</v>
      </c>
      <c r="E1080">
        <v>3</v>
      </c>
      <c r="F1080" t="s">
        <v>18</v>
      </c>
      <c r="G1080">
        <v>4</v>
      </c>
      <c r="H1080">
        <v>1</v>
      </c>
      <c r="I1080" t="s">
        <v>24</v>
      </c>
      <c r="J1080">
        <v>16328</v>
      </c>
      <c r="K1080">
        <v>3</v>
      </c>
      <c r="L1080">
        <v>4</v>
      </c>
      <c r="M1080">
        <v>20</v>
      </c>
      <c r="N1080" t="s">
        <v>25</v>
      </c>
      <c r="O1080" t="s">
        <v>35</v>
      </c>
      <c r="P1080">
        <v>65516694</v>
      </c>
    </row>
    <row r="1081" spans="1:16" ht="14.25" x14ac:dyDescent="0.2">
      <c r="A1081">
        <v>39</v>
      </c>
      <c r="B1081" t="s">
        <v>22</v>
      </c>
      <c r="C1081" t="s">
        <v>23</v>
      </c>
      <c r="D1081">
        <v>6</v>
      </c>
      <c r="E1081">
        <v>3</v>
      </c>
      <c r="F1081" t="s">
        <v>18</v>
      </c>
      <c r="G1081">
        <v>2</v>
      </c>
      <c r="H1081">
        <v>2</v>
      </c>
      <c r="I1081" t="s">
        <v>19</v>
      </c>
      <c r="J1081">
        <v>8376</v>
      </c>
      <c r="K1081">
        <v>4</v>
      </c>
      <c r="L1081">
        <v>3</v>
      </c>
      <c r="M1081">
        <v>2</v>
      </c>
      <c r="N1081" t="s">
        <v>20</v>
      </c>
      <c r="O1081" t="s">
        <v>31</v>
      </c>
      <c r="P1081">
        <v>66235200</v>
      </c>
    </row>
    <row r="1082" spans="1:16" ht="14.25" x14ac:dyDescent="0.2">
      <c r="A1082">
        <v>46</v>
      </c>
      <c r="B1082" t="s">
        <v>22</v>
      </c>
      <c r="C1082" t="s">
        <v>17</v>
      </c>
      <c r="D1082">
        <v>3</v>
      </c>
      <c r="E1082">
        <v>3</v>
      </c>
      <c r="F1082" t="s">
        <v>18</v>
      </c>
      <c r="G1082">
        <v>3</v>
      </c>
      <c r="H1082">
        <v>2</v>
      </c>
      <c r="I1082" t="s">
        <v>24</v>
      </c>
      <c r="J1082">
        <v>16606</v>
      </c>
      <c r="K1082">
        <v>8</v>
      </c>
      <c r="L1082">
        <v>4</v>
      </c>
      <c r="M1082">
        <v>13</v>
      </c>
      <c r="N1082" t="s">
        <v>20</v>
      </c>
      <c r="O1082" t="s">
        <v>33</v>
      </c>
      <c r="P1082">
        <v>62888979</v>
      </c>
    </row>
    <row r="1083" spans="1:16" ht="14.25" x14ac:dyDescent="0.2">
      <c r="A1083">
        <v>35</v>
      </c>
      <c r="B1083" t="s">
        <v>22</v>
      </c>
      <c r="C1083" t="s">
        <v>23</v>
      </c>
      <c r="D1083">
        <v>16</v>
      </c>
      <c r="E1083">
        <v>3</v>
      </c>
      <c r="F1083" t="s">
        <v>18</v>
      </c>
      <c r="G1083">
        <v>4</v>
      </c>
      <c r="H1083">
        <v>2</v>
      </c>
      <c r="I1083" t="s">
        <v>19</v>
      </c>
      <c r="J1083">
        <v>8606</v>
      </c>
      <c r="K1083">
        <v>1</v>
      </c>
      <c r="L1083">
        <v>1</v>
      </c>
      <c r="M1083">
        <v>11</v>
      </c>
      <c r="N1083" t="s">
        <v>20</v>
      </c>
      <c r="O1083" t="s">
        <v>32</v>
      </c>
      <c r="P1083">
        <v>37875008</v>
      </c>
    </row>
    <row r="1084" spans="1:16" ht="14.25" x14ac:dyDescent="0.2">
      <c r="A1084">
        <v>23</v>
      </c>
      <c r="B1084" t="s">
        <v>22</v>
      </c>
      <c r="C1084" t="s">
        <v>23</v>
      </c>
      <c r="D1084">
        <v>20</v>
      </c>
      <c r="E1084">
        <v>1</v>
      </c>
      <c r="F1084" t="s">
        <v>18</v>
      </c>
      <c r="G1084">
        <v>1</v>
      </c>
      <c r="H1084">
        <v>3</v>
      </c>
      <c r="I1084" t="s">
        <v>19</v>
      </c>
      <c r="J1084">
        <v>2272</v>
      </c>
      <c r="K1084">
        <v>0</v>
      </c>
      <c r="L1084">
        <v>3</v>
      </c>
      <c r="M1084">
        <v>4</v>
      </c>
      <c r="N1084" t="s">
        <v>25</v>
      </c>
      <c r="O1084" t="s">
        <v>28</v>
      </c>
      <c r="P1084">
        <v>83388109</v>
      </c>
    </row>
    <row r="1085" spans="1:16" ht="14.25" x14ac:dyDescent="0.2">
      <c r="A1085">
        <v>40</v>
      </c>
      <c r="B1085" t="s">
        <v>16</v>
      </c>
      <c r="C1085" t="s">
        <v>23</v>
      </c>
      <c r="D1085">
        <v>9</v>
      </c>
      <c r="E1085">
        <v>4</v>
      </c>
      <c r="F1085" t="s">
        <v>18</v>
      </c>
      <c r="G1085">
        <v>4</v>
      </c>
      <c r="H1085">
        <v>1</v>
      </c>
      <c r="I1085" t="s">
        <v>19</v>
      </c>
      <c r="J1085">
        <v>2018</v>
      </c>
      <c r="K1085">
        <v>3</v>
      </c>
      <c r="L1085">
        <v>1</v>
      </c>
      <c r="M1085">
        <v>5</v>
      </c>
      <c r="N1085" t="s">
        <v>25</v>
      </c>
      <c r="O1085" t="s">
        <v>28</v>
      </c>
      <c r="P1085">
        <v>11664534</v>
      </c>
    </row>
    <row r="1086" spans="1:16" ht="14.25" x14ac:dyDescent="0.2">
      <c r="A1086">
        <v>34</v>
      </c>
      <c r="B1086" t="s">
        <v>22</v>
      </c>
      <c r="C1086" t="s">
        <v>17</v>
      </c>
      <c r="D1086">
        <v>1</v>
      </c>
      <c r="E1086">
        <v>3</v>
      </c>
      <c r="F1086" t="s">
        <v>37</v>
      </c>
      <c r="G1086">
        <v>4</v>
      </c>
      <c r="H1086">
        <v>3</v>
      </c>
      <c r="I1086" t="s">
        <v>24</v>
      </c>
      <c r="J1086">
        <v>7083</v>
      </c>
      <c r="K1086">
        <v>1</v>
      </c>
      <c r="L1086">
        <v>3</v>
      </c>
      <c r="M1086">
        <v>10</v>
      </c>
      <c r="N1086" t="s">
        <v>25</v>
      </c>
      <c r="O1086" t="s">
        <v>21</v>
      </c>
      <c r="P1086">
        <v>18816095</v>
      </c>
    </row>
    <row r="1087" spans="1:16" ht="14.25" x14ac:dyDescent="0.2">
      <c r="A1087">
        <v>31</v>
      </c>
      <c r="B1087" t="s">
        <v>16</v>
      </c>
      <c r="C1087" t="s">
        <v>23</v>
      </c>
      <c r="D1087">
        <v>3</v>
      </c>
      <c r="E1087">
        <v>3</v>
      </c>
      <c r="F1087" t="s">
        <v>18</v>
      </c>
      <c r="G1087">
        <v>4</v>
      </c>
      <c r="H1087">
        <v>3</v>
      </c>
      <c r="I1087" t="s">
        <v>19</v>
      </c>
      <c r="J1087">
        <v>4084</v>
      </c>
      <c r="K1087">
        <v>1</v>
      </c>
      <c r="L1087">
        <v>1</v>
      </c>
      <c r="M1087">
        <v>7</v>
      </c>
      <c r="N1087" t="s">
        <v>20</v>
      </c>
      <c r="O1087" t="s">
        <v>26</v>
      </c>
      <c r="P1087">
        <v>60175350</v>
      </c>
    </row>
    <row r="1088" spans="1:16" ht="14.25" x14ac:dyDescent="0.2">
      <c r="A1088">
        <v>50</v>
      </c>
      <c r="B1088" t="s">
        <v>22</v>
      </c>
      <c r="C1088" t="s">
        <v>23</v>
      </c>
      <c r="D1088">
        <v>22</v>
      </c>
      <c r="E1088">
        <v>5</v>
      </c>
      <c r="F1088" t="s">
        <v>29</v>
      </c>
      <c r="G1088">
        <v>3</v>
      </c>
      <c r="H1088">
        <v>4</v>
      </c>
      <c r="I1088" t="s">
        <v>19</v>
      </c>
      <c r="J1088">
        <v>14411</v>
      </c>
      <c r="K1088">
        <v>1</v>
      </c>
      <c r="L1088">
        <v>3</v>
      </c>
      <c r="M1088">
        <v>32</v>
      </c>
      <c r="N1088" t="s">
        <v>25</v>
      </c>
      <c r="O1088" t="s">
        <v>35</v>
      </c>
      <c r="P1088">
        <v>72308636</v>
      </c>
    </row>
    <row r="1089" spans="1:16" ht="14.25" x14ac:dyDescent="0.2">
      <c r="A1089">
        <v>34</v>
      </c>
      <c r="B1089" t="s">
        <v>22</v>
      </c>
      <c r="C1089" t="s">
        <v>17</v>
      </c>
      <c r="D1089">
        <v>7</v>
      </c>
      <c r="E1089">
        <v>2</v>
      </c>
      <c r="F1089" t="s">
        <v>37</v>
      </c>
      <c r="G1089">
        <v>2</v>
      </c>
      <c r="H1089">
        <v>3</v>
      </c>
      <c r="I1089" t="s">
        <v>24</v>
      </c>
      <c r="J1089">
        <v>2308</v>
      </c>
      <c r="K1089">
        <v>0</v>
      </c>
      <c r="L1089">
        <v>3</v>
      </c>
      <c r="M1089">
        <v>11</v>
      </c>
      <c r="N1089" t="s">
        <v>25</v>
      </c>
      <c r="O1089" t="s">
        <v>34</v>
      </c>
      <c r="P1089">
        <v>14516472</v>
      </c>
    </row>
    <row r="1090" spans="1:16" ht="14.25" x14ac:dyDescent="0.2">
      <c r="A1090">
        <v>42</v>
      </c>
      <c r="B1090" t="s">
        <v>22</v>
      </c>
      <c r="C1090" t="s">
        <v>23</v>
      </c>
      <c r="D1090">
        <v>2</v>
      </c>
      <c r="E1090">
        <v>3</v>
      </c>
      <c r="F1090" t="s">
        <v>29</v>
      </c>
      <c r="G1090">
        <v>3</v>
      </c>
      <c r="H1090">
        <v>2</v>
      </c>
      <c r="I1090" t="s">
        <v>24</v>
      </c>
      <c r="J1090">
        <v>4841</v>
      </c>
      <c r="K1090">
        <v>4</v>
      </c>
      <c r="L1090">
        <v>3</v>
      </c>
      <c r="M1090">
        <v>1</v>
      </c>
      <c r="N1090" t="s">
        <v>25</v>
      </c>
      <c r="O1090" t="s">
        <v>28</v>
      </c>
      <c r="P1090">
        <v>10133221</v>
      </c>
    </row>
    <row r="1091" spans="1:16" ht="14.25" x14ac:dyDescent="0.2">
      <c r="A1091">
        <v>37</v>
      </c>
      <c r="B1091" t="s">
        <v>22</v>
      </c>
      <c r="C1091" t="s">
        <v>23</v>
      </c>
      <c r="D1091">
        <v>13</v>
      </c>
      <c r="E1091">
        <v>3</v>
      </c>
      <c r="F1091" t="s">
        <v>29</v>
      </c>
      <c r="G1091">
        <v>1</v>
      </c>
      <c r="H1091">
        <v>4</v>
      </c>
      <c r="I1091" t="s">
        <v>24</v>
      </c>
      <c r="J1091">
        <v>4285</v>
      </c>
      <c r="K1091">
        <v>1</v>
      </c>
      <c r="L1091">
        <v>3</v>
      </c>
      <c r="M1091">
        <v>10</v>
      </c>
      <c r="N1091" t="s">
        <v>25</v>
      </c>
      <c r="O1091" t="s">
        <v>26</v>
      </c>
      <c r="P1091">
        <v>15665164</v>
      </c>
    </row>
    <row r="1092" spans="1:16" ht="14.25" x14ac:dyDescent="0.2">
      <c r="A1092">
        <v>29</v>
      </c>
      <c r="B1092" t="s">
        <v>22</v>
      </c>
      <c r="C1092" t="s">
        <v>23</v>
      </c>
      <c r="D1092">
        <v>8</v>
      </c>
      <c r="E1092">
        <v>1</v>
      </c>
      <c r="F1092" t="s">
        <v>27</v>
      </c>
      <c r="G1092">
        <v>3</v>
      </c>
      <c r="H1092">
        <v>1</v>
      </c>
      <c r="I1092" t="s">
        <v>24</v>
      </c>
      <c r="J1092">
        <v>9715</v>
      </c>
      <c r="K1092">
        <v>3</v>
      </c>
      <c r="L1092">
        <v>3</v>
      </c>
      <c r="M1092">
        <v>7</v>
      </c>
      <c r="N1092" t="s">
        <v>20</v>
      </c>
      <c r="O1092" t="s">
        <v>32</v>
      </c>
      <c r="P1092">
        <v>72272332</v>
      </c>
    </row>
    <row r="1093" spans="1:16" ht="14.25" x14ac:dyDescent="0.2">
      <c r="A1093">
        <v>33</v>
      </c>
      <c r="B1093" t="s">
        <v>22</v>
      </c>
      <c r="C1093" t="s">
        <v>23</v>
      </c>
      <c r="D1093">
        <v>25</v>
      </c>
      <c r="E1093">
        <v>3</v>
      </c>
      <c r="F1093" t="s">
        <v>18</v>
      </c>
      <c r="G1093">
        <v>4</v>
      </c>
      <c r="H1093">
        <v>2</v>
      </c>
      <c r="I1093" t="s">
        <v>19</v>
      </c>
      <c r="J1093">
        <v>4320</v>
      </c>
      <c r="K1093">
        <v>1</v>
      </c>
      <c r="L1093">
        <v>3</v>
      </c>
      <c r="M1093">
        <v>5</v>
      </c>
      <c r="N1093" t="s">
        <v>25</v>
      </c>
      <c r="O1093" t="s">
        <v>31</v>
      </c>
      <c r="P1093">
        <v>83000815</v>
      </c>
    </row>
    <row r="1094" spans="1:16" ht="14.25" x14ac:dyDescent="0.2">
      <c r="A1094">
        <v>45</v>
      </c>
      <c r="B1094" t="s">
        <v>22</v>
      </c>
      <c r="C1094" t="s">
        <v>23</v>
      </c>
      <c r="D1094">
        <v>28</v>
      </c>
      <c r="E1094">
        <v>3</v>
      </c>
      <c r="F1094" t="s">
        <v>37</v>
      </c>
      <c r="G1094">
        <v>4</v>
      </c>
      <c r="H1094">
        <v>4</v>
      </c>
      <c r="I1094" t="s">
        <v>24</v>
      </c>
      <c r="J1094">
        <v>2132</v>
      </c>
      <c r="K1094">
        <v>4</v>
      </c>
      <c r="L1094">
        <v>3</v>
      </c>
      <c r="M1094">
        <v>5</v>
      </c>
      <c r="N1094" t="s">
        <v>25</v>
      </c>
      <c r="O1094" t="s">
        <v>26</v>
      </c>
      <c r="P1094">
        <v>74307632</v>
      </c>
    </row>
    <row r="1095" spans="1:16" ht="14.25" x14ac:dyDescent="0.2">
      <c r="A1095">
        <v>42</v>
      </c>
      <c r="B1095" t="s">
        <v>22</v>
      </c>
      <c r="C1095" t="s">
        <v>23</v>
      </c>
      <c r="D1095">
        <v>2</v>
      </c>
      <c r="E1095">
        <v>3</v>
      </c>
      <c r="F1095" t="s">
        <v>18</v>
      </c>
      <c r="G1095">
        <v>4</v>
      </c>
      <c r="H1095">
        <v>4</v>
      </c>
      <c r="I1095" t="s">
        <v>24</v>
      </c>
      <c r="J1095">
        <v>10124</v>
      </c>
      <c r="K1095">
        <v>2</v>
      </c>
      <c r="L1095">
        <v>1</v>
      </c>
      <c r="M1095">
        <v>20</v>
      </c>
      <c r="N1095" t="s">
        <v>25</v>
      </c>
      <c r="O1095" t="s">
        <v>32</v>
      </c>
      <c r="P1095">
        <v>26972358</v>
      </c>
    </row>
    <row r="1096" spans="1:16" ht="14.25" x14ac:dyDescent="0.2">
      <c r="A1096">
        <v>40</v>
      </c>
      <c r="B1096" t="s">
        <v>22</v>
      </c>
      <c r="C1096" t="s">
        <v>17</v>
      </c>
      <c r="D1096">
        <v>9</v>
      </c>
      <c r="E1096">
        <v>2</v>
      </c>
      <c r="F1096" t="s">
        <v>29</v>
      </c>
      <c r="G1096">
        <v>1</v>
      </c>
      <c r="H1096">
        <v>1</v>
      </c>
      <c r="I1096" t="s">
        <v>24</v>
      </c>
      <c r="J1096">
        <v>5473</v>
      </c>
      <c r="K1096">
        <v>0</v>
      </c>
      <c r="L1096">
        <v>4</v>
      </c>
      <c r="M1096">
        <v>8</v>
      </c>
      <c r="N1096" t="s">
        <v>25</v>
      </c>
      <c r="O1096" t="s">
        <v>21</v>
      </c>
      <c r="P1096">
        <v>21618487</v>
      </c>
    </row>
    <row r="1097" spans="1:16" ht="14.25" x14ac:dyDescent="0.2">
      <c r="A1097">
        <v>33</v>
      </c>
      <c r="B1097" t="s">
        <v>22</v>
      </c>
      <c r="C1097" t="s">
        <v>23</v>
      </c>
      <c r="D1097">
        <v>28</v>
      </c>
      <c r="E1097">
        <v>4</v>
      </c>
      <c r="F1097" t="s">
        <v>18</v>
      </c>
      <c r="G1097">
        <v>2</v>
      </c>
      <c r="H1097">
        <v>3</v>
      </c>
      <c r="I1097" t="s">
        <v>24</v>
      </c>
      <c r="J1097">
        <v>5207</v>
      </c>
      <c r="K1097">
        <v>1</v>
      </c>
      <c r="L1097">
        <v>3</v>
      </c>
      <c r="M1097">
        <v>15</v>
      </c>
      <c r="N1097" t="s">
        <v>25</v>
      </c>
      <c r="O1097" t="s">
        <v>28</v>
      </c>
      <c r="P1097">
        <v>88536482</v>
      </c>
    </row>
    <row r="1098" spans="1:16" ht="14.25" x14ac:dyDescent="0.2">
      <c r="A1098">
        <v>40</v>
      </c>
      <c r="B1098" t="s">
        <v>22</v>
      </c>
      <c r="C1098" t="s">
        <v>38</v>
      </c>
      <c r="D1098">
        <v>6</v>
      </c>
      <c r="E1098">
        <v>2</v>
      </c>
      <c r="F1098" t="s">
        <v>29</v>
      </c>
      <c r="G1098">
        <v>3</v>
      </c>
      <c r="H1098">
        <v>4</v>
      </c>
      <c r="I1098" t="s">
        <v>19</v>
      </c>
      <c r="J1098">
        <v>16437</v>
      </c>
      <c r="K1098">
        <v>1</v>
      </c>
      <c r="L1098">
        <v>3</v>
      </c>
      <c r="M1098">
        <v>21</v>
      </c>
      <c r="N1098" t="s">
        <v>25</v>
      </c>
      <c r="O1098" t="s">
        <v>33</v>
      </c>
      <c r="P1098">
        <v>13889459</v>
      </c>
    </row>
    <row r="1099" spans="1:16" ht="14.25" x14ac:dyDescent="0.2">
      <c r="A1099">
        <v>24</v>
      </c>
      <c r="B1099" t="s">
        <v>22</v>
      </c>
      <c r="C1099" t="s">
        <v>23</v>
      </c>
      <c r="D1099">
        <v>21</v>
      </c>
      <c r="E1099">
        <v>2</v>
      </c>
      <c r="F1099" t="s">
        <v>37</v>
      </c>
      <c r="G1099">
        <v>3</v>
      </c>
      <c r="H1099">
        <v>1</v>
      </c>
      <c r="I1099" t="s">
        <v>30</v>
      </c>
      <c r="J1099">
        <v>2296</v>
      </c>
      <c r="K1099">
        <v>0</v>
      </c>
      <c r="L1099">
        <v>3</v>
      </c>
      <c r="M1099">
        <v>1</v>
      </c>
      <c r="N1099" t="s">
        <v>25</v>
      </c>
      <c r="O1099" t="s">
        <v>28</v>
      </c>
      <c r="P1099">
        <v>83810982</v>
      </c>
    </row>
    <row r="1100" spans="1:16" ht="14.25" x14ac:dyDescent="0.2">
      <c r="A1100">
        <v>40</v>
      </c>
      <c r="B1100" t="s">
        <v>22</v>
      </c>
      <c r="C1100" t="s">
        <v>23</v>
      </c>
      <c r="D1100">
        <v>8</v>
      </c>
      <c r="E1100">
        <v>2</v>
      </c>
      <c r="F1100" t="s">
        <v>18</v>
      </c>
      <c r="G1100">
        <v>4</v>
      </c>
      <c r="H1100">
        <v>4</v>
      </c>
      <c r="I1100" t="s">
        <v>30</v>
      </c>
      <c r="J1100">
        <v>4069</v>
      </c>
      <c r="K1100">
        <v>3</v>
      </c>
      <c r="L1100">
        <v>3</v>
      </c>
      <c r="M1100">
        <v>2</v>
      </c>
      <c r="N1100" t="s">
        <v>25</v>
      </c>
      <c r="O1100" t="s">
        <v>32</v>
      </c>
      <c r="P1100">
        <v>75259665</v>
      </c>
    </row>
    <row r="1101" spans="1:16" ht="14.25" x14ac:dyDescent="0.2">
      <c r="A1101">
        <v>45</v>
      </c>
      <c r="B1101" t="s">
        <v>22</v>
      </c>
      <c r="C1101" t="s">
        <v>23</v>
      </c>
      <c r="D1101">
        <v>1</v>
      </c>
      <c r="E1101">
        <v>4</v>
      </c>
      <c r="F1101" t="s">
        <v>37</v>
      </c>
      <c r="G1101">
        <v>1</v>
      </c>
      <c r="H1101">
        <v>2</v>
      </c>
      <c r="I1101" t="s">
        <v>30</v>
      </c>
      <c r="J1101">
        <v>7441</v>
      </c>
      <c r="K1101">
        <v>1</v>
      </c>
      <c r="L1101">
        <v>3</v>
      </c>
      <c r="M1101">
        <v>10</v>
      </c>
      <c r="N1101" t="s">
        <v>25</v>
      </c>
      <c r="O1101" t="s">
        <v>32</v>
      </c>
      <c r="P1101">
        <v>32420733</v>
      </c>
    </row>
    <row r="1102" spans="1:16" ht="14.25" x14ac:dyDescent="0.2">
      <c r="A1102">
        <v>35</v>
      </c>
      <c r="B1102" t="s">
        <v>22</v>
      </c>
      <c r="C1102" t="s">
        <v>17</v>
      </c>
      <c r="D1102">
        <v>28</v>
      </c>
      <c r="E1102">
        <v>4</v>
      </c>
      <c r="F1102" t="s">
        <v>18</v>
      </c>
      <c r="G1102">
        <v>2</v>
      </c>
      <c r="H1102">
        <v>3</v>
      </c>
      <c r="I1102" t="s">
        <v>24</v>
      </c>
      <c r="J1102">
        <v>2430</v>
      </c>
      <c r="K1102">
        <v>0</v>
      </c>
      <c r="L1102">
        <v>3</v>
      </c>
      <c r="M1102">
        <v>5</v>
      </c>
      <c r="N1102" t="s">
        <v>20</v>
      </c>
      <c r="O1102" t="s">
        <v>34</v>
      </c>
      <c r="P1102">
        <v>64316957</v>
      </c>
    </row>
    <row r="1103" spans="1:16" ht="14.25" x14ac:dyDescent="0.2">
      <c r="A1103">
        <v>32</v>
      </c>
      <c r="B1103" t="s">
        <v>22</v>
      </c>
      <c r="C1103" t="s">
        <v>23</v>
      </c>
      <c r="D1103">
        <v>5</v>
      </c>
      <c r="E1103">
        <v>2</v>
      </c>
      <c r="F1103" t="s">
        <v>18</v>
      </c>
      <c r="G1103">
        <v>4</v>
      </c>
      <c r="H1103">
        <v>2</v>
      </c>
      <c r="I1103" t="s">
        <v>24</v>
      </c>
      <c r="J1103">
        <v>5878</v>
      </c>
      <c r="K1103">
        <v>3</v>
      </c>
      <c r="L1103">
        <v>3</v>
      </c>
      <c r="M1103">
        <v>7</v>
      </c>
      <c r="N1103" t="s">
        <v>20</v>
      </c>
      <c r="O1103" t="s">
        <v>26</v>
      </c>
      <c r="P1103">
        <v>72070122</v>
      </c>
    </row>
    <row r="1104" spans="1:16" ht="14.25" x14ac:dyDescent="0.2">
      <c r="A1104">
        <v>36</v>
      </c>
      <c r="B1104" t="s">
        <v>22</v>
      </c>
      <c r="C1104" t="s">
        <v>17</v>
      </c>
      <c r="D1104">
        <v>2</v>
      </c>
      <c r="E1104">
        <v>4</v>
      </c>
      <c r="F1104" t="s">
        <v>18</v>
      </c>
      <c r="G1104">
        <v>3</v>
      </c>
      <c r="H1104">
        <v>4</v>
      </c>
      <c r="I1104" t="s">
        <v>19</v>
      </c>
      <c r="J1104">
        <v>2644</v>
      </c>
      <c r="K1104">
        <v>3</v>
      </c>
      <c r="L1104">
        <v>2</v>
      </c>
      <c r="M1104">
        <v>3</v>
      </c>
      <c r="N1104" t="s">
        <v>25</v>
      </c>
      <c r="O1104" t="s">
        <v>34</v>
      </c>
      <c r="P1104">
        <v>54539402</v>
      </c>
    </row>
    <row r="1105" spans="1:16" ht="14.25" x14ac:dyDescent="0.2">
      <c r="A1105">
        <v>48</v>
      </c>
      <c r="B1105" t="s">
        <v>22</v>
      </c>
      <c r="C1105" t="s">
        <v>17</v>
      </c>
      <c r="D1105">
        <v>16</v>
      </c>
      <c r="E1105">
        <v>4</v>
      </c>
      <c r="F1105" t="s">
        <v>18</v>
      </c>
      <c r="G1105">
        <v>3</v>
      </c>
      <c r="H1105">
        <v>3</v>
      </c>
      <c r="I1105" t="s">
        <v>30</v>
      </c>
      <c r="J1105">
        <v>6439</v>
      </c>
      <c r="K1105">
        <v>8</v>
      </c>
      <c r="L1105">
        <v>3</v>
      </c>
      <c r="M1105">
        <v>8</v>
      </c>
      <c r="N1105" t="s">
        <v>20</v>
      </c>
      <c r="O1105" t="s">
        <v>21</v>
      </c>
      <c r="P1105">
        <v>42817398</v>
      </c>
    </row>
    <row r="1106" spans="1:16" ht="14.25" x14ac:dyDescent="0.2">
      <c r="A1106">
        <v>29</v>
      </c>
      <c r="B1106" t="s">
        <v>22</v>
      </c>
      <c r="C1106" t="s">
        <v>23</v>
      </c>
      <c r="D1106">
        <v>9</v>
      </c>
      <c r="E1106">
        <v>3</v>
      </c>
      <c r="F1106" t="s">
        <v>18</v>
      </c>
      <c r="G1106">
        <v>3</v>
      </c>
      <c r="H1106">
        <v>3</v>
      </c>
      <c r="I1106" t="s">
        <v>24</v>
      </c>
      <c r="J1106">
        <v>2451</v>
      </c>
      <c r="K1106">
        <v>6</v>
      </c>
      <c r="L1106">
        <v>2</v>
      </c>
      <c r="M1106">
        <v>1</v>
      </c>
      <c r="N1106" t="s">
        <v>25</v>
      </c>
      <c r="O1106" t="s">
        <v>26</v>
      </c>
      <c r="P1106">
        <v>56155596</v>
      </c>
    </row>
    <row r="1107" spans="1:16" ht="14.25" x14ac:dyDescent="0.2">
      <c r="A1107">
        <v>33</v>
      </c>
      <c r="B1107" t="s">
        <v>22</v>
      </c>
      <c r="C1107" t="s">
        <v>17</v>
      </c>
      <c r="D1107">
        <v>8</v>
      </c>
      <c r="E1107">
        <v>4</v>
      </c>
      <c r="F1107" t="s">
        <v>18</v>
      </c>
      <c r="G1107">
        <v>1</v>
      </c>
      <c r="H1107">
        <v>1</v>
      </c>
      <c r="I1107" t="s">
        <v>24</v>
      </c>
      <c r="J1107">
        <v>6392</v>
      </c>
      <c r="K1107">
        <v>2</v>
      </c>
      <c r="L1107">
        <v>1</v>
      </c>
      <c r="M1107">
        <v>2</v>
      </c>
      <c r="N1107" t="s">
        <v>25</v>
      </c>
      <c r="O1107" t="s">
        <v>21</v>
      </c>
      <c r="P1107">
        <v>45638393</v>
      </c>
    </row>
    <row r="1108" spans="1:16" ht="14.25" x14ac:dyDescent="0.2">
      <c r="A1108">
        <v>30</v>
      </c>
      <c r="B1108" t="s">
        <v>16</v>
      </c>
      <c r="C1108" t="s">
        <v>17</v>
      </c>
      <c r="D1108">
        <v>1</v>
      </c>
      <c r="E1108">
        <v>3</v>
      </c>
      <c r="F1108" t="s">
        <v>18</v>
      </c>
      <c r="G1108">
        <v>2</v>
      </c>
      <c r="H1108">
        <v>1</v>
      </c>
      <c r="I1108" t="s">
        <v>24</v>
      </c>
      <c r="J1108">
        <v>9714</v>
      </c>
      <c r="K1108">
        <v>1</v>
      </c>
      <c r="L1108">
        <v>3</v>
      </c>
      <c r="M1108">
        <v>10</v>
      </c>
      <c r="N1108" t="s">
        <v>25</v>
      </c>
      <c r="O1108" t="s">
        <v>21</v>
      </c>
      <c r="P1108">
        <v>14554203</v>
      </c>
    </row>
    <row r="1109" spans="1:16" ht="14.25" x14ac:dyDescent="0.2">
      <c r="A1109">
        <v>38</v>
      </c>
      <c r="B1109" t="s">
        <v>22</v>
      </c>
      <c r="C1109" t="s">
        <v>38</v>
      </c>
      <c r="D1109">
        <v>10</v>
      </c>
      <c r="E1109">
        <v>4</v>
      </c>
      <c r="F1109" t="s">
        <v>38</v>
      </c>
      <c r="G1109">
        <v>3</v>
      </c>
      <c r="H1109">
        <v>3</v>
      </c>
      <c r="I1109" t="s">
        <v>24</v>
      </c>
      <c r="J1109">
        <v>6077</v>
      </c>
      <c r="K1109">
        <v>3</v>
      </c>
      <c r="L1109">
        <v>3</v>
      </c>
      <c r="M1109">
        <v>6</v>
      </c>
      <c r="N1109" t="s">
        <v>25</v>
      </c>
      <c r="O1109" t="s">
        <v>38</v>
      </c>
      <c r="P1109">
        <v>40457838</v>
      </c>
    </row>
    <row r="1110" spans="1:16" ht="14.25" x14ac:dyDescent="0.2">
      <c r="A1110">
        <v>35</v>
      </c>
      <c r="B1110" t="s">
        <v>22</v>
      </c>
      <c r="C1110" t="s">
        <v>23</v>
      </c>
      <c r="D1110">
        <v>1</v>
      </c>
      <c r="E1110">
        <v>3</v>
      </c>
      <c r="F1110" t="s">
        <v>29</v>
      </c>
      <c r="G1110">
        <v>4</v>
      </c>
      <c r="H1110">
        <v>1</v>
      </c>
      <c r="I1110" t="s">
        <v>19</v>
      </c>
      <c r="J1110">
        <v>2450</v>
      </c>
      <c r="K1110">
        <v>1</v>
      </c>
      <c r="L1110">
        <v>3</v>
      </c>
      <c r="M1110">
        <v>3</v>
      </c>
      <c r="N1110" t="s">
        <v>25</v>
      </c>
      <c r="O1110" t="s">
        <v>28</v>
      </c>
      <c r="P1110">
        <v>40634578</v>
      </c>
    </row>
    <row r="1111" spans="1:16" ht="14.25" x14ac:dyDescent="0.2">
      <c r="A1111">
        <v>30</v>
      </c>
      <c r="B1111" t="s">
        <v>22</v>
      </c>
      <c r="C1111" t="s">
        <v>17</v>
      </c>
      <c r="D1111">
        <v>29</v>
      </c>
      <c r="E1111">
        <v>4</v>
      </c>
      <c r="F1111" t="s">
        <v>37</v>
      </c>
      <c r="G1111">
        <v>3</v>
      </c>
      <c r="H1111">
        <v>2</v>
      </c>
      <c r="I1111" t="s">
        <v>24</v>
      </c>
      <c r="J1111">
        <v>9250</v>
      </c>
      <c r="K1111">
        <v>3</v>
      </c>
      <c r="L1111">
        <v>3</v>
      </c>
      <c r="M1111">
        <v>4</v>
      </c>
      <c r="N1111" t="s">
        <v>25</v>
      </c>
      <c r="O1111" t="s">
        <v>21</v>
      </c>
      <c r="P1111">
        <v>89596295</v>
      </c>
    </row>
    <row r="1112" spans="1:16" ht="14.25" x14ac:dyDescent="0.2">
      <c r="A1112">
        <v>35</v>
      </c>
      <c r="B1112" t="s">
        <v>16</v>
      </c>
      <c r="C1112" t="s">
        <v>23</v>
      </c>
      <c r="D1112">
        <v>2</v>
      </c>
      <c r="E1112">
        <v>3</v>
      </c>
      <c r="F1112" t="s">
        <v>18</v>
      </c>
      <c r="G1112">
        <v>1</v>
      </c>
      <c r="H1112">
        <v>1</v>
      </c>
      <c r="I1112" t="s">
        <v>30</v>
      </c>
      <c r="J1112">
        <v>2074</v>
      </c>
      <c r="K1112">
        <v>1</v>
      </c>
      <c r="L1112">
        <v>3</v>
      </c>
      <c r="M1112">
        <v>1</v>
      </c>
      <c r="N1112" t="s">
        <v>20</v>
      </c>
      <c r="O1112" t="s">
        <v>28</v>
      </c>
      <c r="P1112">
        <v>21531311</v>
      </c>
    </row>
    <row r="1113" spans="1:16" ht="14.25" x14ac:dyDescent="0.2">
      <c r="A1113">
        <v>53</v>
      </c>
      <c r="B1113" t="s">
        <v>16</v>
      </c>
      <c r="C1113" t="s">
        <v>23</v>
      </c>
      <c r="D1113">
        <v>2</v>
      </c>
      <c r="E1113">
        <v>5</v>
      </c>
      <c r="F1113" t="s">
        <v>37</v>
      </c>
      <c r="G1113">
        <v>3</v>
      </c>
      <c r="H1113">
        <v>4</v>
      </c>
      <c r="I1113" t="s">
        <v>24</v>
      </c>
      <c r="J1113">
        <v>10169</v>
      </c>
      <c r="K1113">
        <v>0</v>
      </c>
      <c r="L1113">
        <v>3</v>
      </c>
      <c r="M1113">
        <v>33</v>
      </c>
      <c r="N1113" t="s">
        <v>20</v>
      </c>
      <c r="O1113" t="s">
        <v>31</v>
      </c>
      <c r="P1113">
        <v>82955736</v>
      </c>
    </row>
    <row r="1114" spans="1:16" ht="14.25" x14ac:dyDescent="0.2">
      <c r="A1114">
        <v>38</v>
      </c>
      <c r="B1114" t="s">
        <v>16</v>
      </c>
      <c r="C1114" t="s">
        <v>23</v>
      </c>
      <c r="D1114">
        <v>2</v>
      </c>
      <c r="E1114">
        <v>3</v>
      </c>
      <c r="F1114" t="s">
        <v>29</v>
      </c>
      <c r="G1114">
        <v>3</v>
      </c>
      <c r="H1114">
        <v>2</v>
      </c>
      <c r="I1114" t="s">
        <v>24</v>
      </c>
      <c r="J1114">
        <v>4855</v>
      </c>
      <c r="K1114">
        <v>4</v>
      </c>
      <c r="L1114">
        <v>3</v>
      </c>
      <c r="M1114">
        <v>5</v>
      </c>
      <c r="N1114" t="s">
        <v>25</v>
      </c>
      <c r="O1114" t="s">
        <v>31</v>
      </c>
      <c r="P1114">
        <v>88274803</v>
      </c>
    </row>
    <row r="1115" spans="1:16" ht="14.25" x14ac:dyDescent="0.2">
      <c r="A1115">
        <v>32</v>
      </c>
      <c r="B1115" t="s">
        <v>22</v>
      </c>
      <c r="C1115" t="s">
        <v>23</v>
      </c>
      <c r="D1115">
        <v>1</v>
      </c>
      <c r="E1115">
        <v>4</v>
      </c>
      <c r="F1115" t="s">
        <v>37</v>
      </c>
      <c r="G1115">
        <v>4</v>
      </c>
      <c r="H1115">
        <v>1</v>
      </c>
      <c r="I1115" t="s">
        <v>24</v>
      </c>
      <c r="J1115">
        <v>4087</v>
      </c>
      <c r="K1115">
        <v>4</v>
      </c>
      <c r="L1115">
        <v>2</v>
      </c>
      <c r="M1115">
        <v>6</v>
      </c>
      <c r="N1115" t="s">
        <v>25</v>
      </c>
      <c r="O1115" t="s">
        <v>26</v>
      </c>
      <c r="P1115">
        <v>25410263</v>
      </c>
    </row>
    <row r="1116" spans="1:16" ht="14.25" x14ac:dyDescent="0.2">
      <c r="A1116">
        <v>48</v>
      </c>
      <c r="B1116" t="s">
        <v>22</v>
      </c>
      <c r="C1116" t="s">
        <v>23</v>
      </c>
      <c r="D1116">
        <v>15</v>
      </c>
      <c r="E1116">
        <v>4</v>
      </c>
      <c r="F1116" t="s">
        <v>27</v>
      </c>
      <c r="G1116">
        <v>3</v>
      </c>
      <c r="H1116">
        <v>1</v>
      </c>
      <c r="I1116" t="s">
        <v>24</v>
      </c>
      <c r="J1116">
        <v>2367</v>
      </c>
      <c r="K1116">
        <v>8</v>
      </c>
      <c r="L1116">
        <v>2</v>
      </c>
      <c r="M1116">
        <v>8</v>
      </c>
      <c r="N1116" t="s">
        <v>20</v>
      </c>
      <c r="O1116" t="s">
        <v>26</v>
      </c>
      <c r="P1116">
        <v>68934825</v>
      </c>
    </row>
    <row r="1117" spans="1:16" ht="14.25" x14ac:dyDescent="0.2">
      <c r="A1117">
        <v>34</v>
      </c>
      <c r="B1117" t="s">
        <v>22</v>
      </c>
      <c r="C1117" t="s">
        <v>23</v>
      </c>
      <c r="D1117">
        <v>7</v>
      </c>
      <c r="E1117">
        <v>4</v>
      </c>
      <c r="F1117" t="s">
        <v>29</v>
      </c>
      <c r="G1117">
        <v>1</v>
      </c>
      <c r="H1117">
        <v>4</v>
      </c>
      <c r="I1117" t="s">
        <v>19</v>
      </c>
      <c r="J1117">
        <v>2972</v>
      </c>
      <c r="K1117">
        <v>1</v>
      </c>
      <c r="L1117">
        <v>1</v>
      </c>
      <c r="M1117">
        <v>1</v>
      </c>
      <c r="N1117" t="s">
        <v>25</v>
      </c>
      <c r="O1117" t="s">
        <v>26</v>
      </c>
      <c r="P1117">
        <v>54111061</v>
      </c>
    </row>
    <row r="1118" spans="1:16" ht="14.25" x14ac:dyDescent="0.2">
      <c r="A1118">
        <v>55</v>
      </c>
      <c r="B1118" t="s">
        <v>22</v>
      </c>
      <c r="C1118" t="s">
        <v>17</v>
      </c>
      <c r="D1118">
        <v>26</v>
      </c>
      <c r="E1118">
        <v>5</v>
      </c>
      <c r="F1118" t="s">
        <v>36</v>
      </c>
      <c r="G1118">
        <v>3</v>
      </c>
      <c r="H1118">
        <v>4</v>
      </c>
      <c r="I1118" t="s">
        <v>24</v>
      </c>
      <c r="J1118">
        <v>19586</v>
      </c>
      <c r="K1118">
        <v>1</v>
      </c>
      <c r="L1118">
        <v>3</v>
      </c>
      <c r="M1118">
        <v>36</v>
      </c>
      <c r="N1118" t="s">
        <v>25</v>
      </c>
      <c r="O1118" t="s">
        <v>33</v>
      </c>
      <c r="P1118">
        <v>69559284</v>
      </c>
    </row>
    <row r="1119" spans="1:16" ht="14.25" x14ac:dyDescent="0.2">
      <c r="A1119">
        <v>34</v>
      </c>
      <c r="B1119" t="s">
        <v>22</v>
      </c>
      <c r="C1119" t="s">
        <v>23</v>
      </c>
      <c r="D1119">
        <v>1</v>
      </c>
      <c r="E1119">
        <v>4</v>
      </c>
      <c r="F1119" t="s">
        <v>18</v>
      </c>
      <c r="G1119">
        <v>2</v>
      </c>
      <c r="H1119">
        <v>4</v>
      </c>
      <c r="I1119" t="s">
        <v>24</v>
      </c>
      <c r="J1119">
        <v>5484</v>
      </c>
      <c r="K1119">
        <v>9</v>
      </c>
      <c r="L1119">
        <v>2</v>
      </c>
      <c r="M1119">
        <v>2</v>
      </c>
      <c r="N1119" t="s">
        <v>25</v>
      </c>
      <c r="O1119" t="s">
        <v>26</v>
      </c>
      <c r="P1119">
        <v>48840319</v>
      </c>
    </row>
    <row r="1120" spans="1:16" ht="14.25" x14ac:dyDescent="0.2">
      <c r="A1120">
        <v>26</v>
      </c>
      <c r="B1120" t="s">
        <v>22</v>
      </c>
      <c r="C1120" t="s">
        <v>23</v>
      </c>
      <c r="D1120">
        <v>3</v>
      </c>
      <c r="E1120">
        <v>3</v>
      </c>
      <c r="F1120" t="s">
        <v>18</v>
      </c>
      <c r="G1120">
        <v>1</v>
      </c>
      <c r="H1120">
        <v>4</v>
      </c>
      <c r="I1120" t="s">
        <v>24</v>
      </c>
      <c r="J1120">
        <v>2061</v>
      </c>
      <c r="K1120">
        <v>1</v>
      </c>
      <c r="L1120">
        <v>3</v>
      </c>
      <c r="M1120">
        <v>1</v>
      </c>
      <c r="N1120" t="s">
        <v>20</v>
      </c>
      <c r="O1120" t="s">
        <v>26</v>
      </c>
      <c r="P1120">
        <v>80209853</v>
      </c>
    </row>
    <row r="1121" spans="1:16" ht="14.25" x14ac:dyDescent="0.2">
      <c r="A1121">
        <v>38</v>
      </c>
      <c r="B1121" t="s">
        <v>22</v>
      </c>
      <c r="C1121" t="s">
        <v>17</v>
      </c>
      <c r="D1121">
        <v>14</v>
      </c>
      <c r="E1121">
        <v>3</v>
      </c>
      <c r="F1121" t="s">
        <v>18</v>
      </c>
      <c r="G1121">
        <v>3</v>
      </c>
      <c r="H1121">
        <v>2</v>
      </c>
      <c r="I1121" t="s">
        <v>24</v>
      </c>
      <c r="J1121">
        <v>9924</v>
      </c>
      <c r="K1121">
        <v>0</v>
      </c>
      <c r="L1121">
        <v>3</v>
      </c>
      <c r="M1121">
        <v>9</v>
      </c>
      <c r="N1121" t="s">
        <v>25</v>
      </c>
      <c r="O1121" t="s">
        <v>21</v>
      </c>
      <c r="P1121">
        <v>83227175</v>
      </c>
    </row>
    <row r="1122" spans="1:16" ht="14.25" x14ac:dyDescent="0.2">
      <c r="A1122">
        <v>38</v>
      </c>
      <c r="B1122" t="s">
        <v>22</v>
      </c>
      <c r="C1122" t="s">
        <v>17</v>
      </c>
      <c r="D1122">
        <v>16</v>
      </c>
      <c r="E1122">
        <v>3</v>
      </c>
      <c r="F1122" t="s">
        <v>18</v>
      </c>
      <c r="G1122">
        <v>2</v>
      </c>
      <c r="H1122">
        <v>2</v>
      </c>
      <c r="I1122" t="s">
        <v>19</v>
      </c>
      <c r="J1122">
        <v>4198</v>
      </c>
      <c r="K1122">
        <v>2</v>
      </c>
      <c r="L1122">
        <v>4</v>
      </c>
      <c r="M1122">
        <v>3</v>
      </c>
      <c r="N1122" t="s">
        <v>20</v>
      </c>
      <c r="O1122" t="s">
        <v>21</v>
      </c>
      <c r="P1122">
        <v>29040566</v>
      </c>
    </row>
    <row r="1123" spans="1:16" ht="14.25" x14ac:dyDescent="0.2">
      <c r="A1123">
        <v>36</v>
      </c>
      <c r="B1123" t="s">
        <v>22</v>
      </c>
      <c r="C1123" t="s">
        <v>17</v>
      </c>
      <c r="D1123">
        <v>1</v>
      </c>
      <c r="E1123">
        <v>4</v>
      </c>
      <c r="F1123" t="s">
        <v>18</v>
      </c>
      <c r="G1123">
        <v>2</v>
      </c>
      <c r="H1123">
        <v>3</v>
      </c>
      <c r="I1123" t="s">
        <v>19</v>
      </c>
      <c r="J1123">
        <v>6815</v>
      </c>
      <c r="K1123">
        <v>6</v>
      </c>
      <c r="L1123">
        <v>3</v>
      </c>
      <c r="M1123">
        <v>1</v>
      </c>
      <c r="N1123" t="s">
        <v>20</v>
      </c>
      <c r="O1123" t="s">
        <v>21</v>
      </c>
      <c r="P1123">
        <v>33632633</v>
      </c>
    </row>
    <row r="1124" spans="1:16" ht="14.25" x14ac:dyDescent="0.2">
      <c r="A1124">
        <v>29</v>
      </c>
      <c r="B1124" t="s">
        <v>22</v>
      </c>
      <c r="C1124" t="s">
        <v>23</v>
      </c>
      <c r="D1124">
        <v>3</v>
      </c>
      <c r="E1124">
        <v>1</v>
      </c>
      <c r="F1124" t="s">
        <v>29</v>
      </c>
      <c r="G1124">
        <v>2</v>
      </c>
      <c r="H1124">
        <v>1</v>
      </c>
      <c r="I1124" t="s">
        <v>19</v>
      </c>
      <c r="J1124">
        <v>4723</v>
      </c>
      <c r="K1124">
        <v>1</v>
      </c>
      <c r="L1124">
        <v>3</v>
      </c>
      <c r="M1124">
        <v>10</v>
      </c>
      <c r="N1124" t="s">
        <v>25</v>
      </c>
      <c r="O1124" t="s">
        <v>28</v>
      </c>
      <c r="P1124">
        <v>20159717</v>
      </c>
    </row>
    <row r="1125" spans="1:16" ht="14.25" x14ac:dyDescent="0.2">
      <c r="A1125">
        <v>35</v>
      </c>
      <c r="B1125" t="s">
        <v>22</v>
      </c>
      <c r="C1125" t="s">
        <v>23</v>
      </c>
      <c r="D1125">
        <v>10</v>
      </c>
      <c r="E1125">
        <v>4</v>
      </c>
      <c r="F1125" t="s">
        <v>29</v>
      </c>
      <c r="G1125">
        <v>1</v>
      </c>
      <c r="H1125">
        <v>3</v>
      </c>
      <c r="I1125" t="s">
        <v>19</v>
      </c>
      <c r="J1125">
        <v>6142</v>
      </c>
      <c r="K1125">
        <v>3</v>
      </c>
      <c r="L1125">
        <v>3</v>
      </c>
      <c r="M1125">
        <v>5</v>
      </c>
      <c r="N1125" t="s">
        <v>20</v>
      </c>
      <c r="O1125" t="s">
        <v>32</v>
      </c>
      <c r="P1125">
        <v>41299446</v>
      </c>
    </row>
    <row r="1126" spans="1:16" ht="14.25" x14ac:dyDescent="0.2">
      <c r="A1126">
        <v>39</v>
      </c>
      <c r="B1126" t="s">
        <v>22</v>
      </c>
      <c r="C1126" t="s">
        <v>17</v>
      </c>
      <c r="D1126">
        <v>6</v>
      </c>
      <c r="E1126">
        <v>3</v>
      </c>
      <c r="F1126" t="s">
        <v>29</v>
      </c>
      <c r="G1126">
        <v>4</v>
      </c>
      <c r="H1126">
        <v>3</v>
      </c>
      <c r="I1126" t="s">
        <v>24</v>
      </c>
      <c r="J1126">
        <v>8237</v>
      </c>
      <c r="K1126">
        <v>2</v>
      </c>
      <c r="L1126">
        <v>3</v>
      </c>
      <c r="M1126">
        <v>7</v>
      </c>
      <c r="N1126" t="s">
        <v>25</v>
      </c>
      <c r="O1126" t="s">
        <v>21</v>
      </c>
      <c r="P1126">
        <v>57009087</v>
      </c>
    </row>
    <row r="1127" spans="1:16" ht="14.25" x14ac:dyDescent="0.2">
      <c r="A1127">
        <v>29</v>
      </c>
      <c r="B1127" t="s">
        <v>22</v>
      </c>
      <c r="C1127" t="s">
        <v>23</v>
      </c>
      <c r="D1127">
        <v>2</v>
      </c>
      <c r="E1127">
        <v>1</v>
      </c>
      <c r="F1127" t="s">
        <v>18</v>
      </c>
      <c r="G1127">
        <v>1</v>
      </c>
      <c r="H1127">
        <v>4</v>
      </c>
      <c r="I1127" t="s">
        <v>30</v>
      </c>
      <c r="J1127">
        <v>8853</v>
      </c>
      <c r="K1127">
        <v>1</v>
      </c>
      <c r="L1127">
        <v>4</v>
      </c>
      <c r="M1127">
        <v>6</v>
      </c>
      <c r="N1127" t="s">
        <v>25</v>
      </c>
      <c r="O1127" t="s">
        <v>32</v>
      </c>
      <c r="P1127">
        <v>59496288</v>
      </c>
    </row>
    <row r="1128" spans="1:16" ht="14.25" x14ac:dyDescent="0.2">
      <c r="A1128">
        <v>50</v>
      </c>
      <c r="B1128" t="s">
        <v>22</v>
      </c>
      <c r="C1128" t="s">
        <v>17</v>
      </c>
      <c r="D1128">
        <v>9</v>
      </c>
      <c r="E1128">
        <v>3</v>
      </c>
      <c r="F1128" t="s">
        <v>36</v>
      </c>
      <c r="G1128">
        <v>3</v>
      </c>
      <c r="H1128">
        <v>3</v>
      </c>
      <c r="I1128" t="s">
        <v>24</v>
      </c>
      <c r="J1128">
        <v>19331</v>
      </c>
      <c r="K1128">
        <v>4</v>
      </c>
      <c r="L1128">
        <v>3</v>
      </c>
      <c r="M1128">
        <v>1</v>
      </c>
      <c r="N1128" t="s">
        <v>25</v>
      </c>
      <c r="O1128" t="s">
        <v>33</v>
      </c>
      <c r="P1128">
        <v>30499286</v>
      </c>
    </row>
    <row r="1129" spans="1:16" ht="14.25" x14ac:dyDescent="0.2">
      <c r="A1129">
        <v>23</v>
      </c>
      <c r="B1129" t="s">
        <v>22</v>
      </c>
      <c r="C1129" t="s">
        <v>23</v>
      </c>
      <c r="D1129">
        <v>10</v>
      </c>
      <c r="E1129">
        <v>3</v>
      </c>
      <c r="F1129" t="s">
        <v>37</v>
      </c>
      <c r="G1129">
        <v>4</v>
      </c>
      <c r="H1129">
        <v>3</v>
      </c>
      <c r="I1129" t="s">
        <v>24</v>
      </c>
      <c r="J1129">
        <v>2073</v>
      </c>
      <c r="K1129">
        <v>2</v>
      </c>
      <c r="L1129">
        <v>3</v>
      </c>
      <c r="M1129">
        <v>2</v>
      </c>
      <c r="N1129" t="s">
        <v>25</v>
      </c>
      <c r="O1129" t="s">
        <v>26</v>
      </c>
      <c r="P1129">
        <v>44730459</v>
      </c>
    </row>
    <row r="1130" spans="1:16" ht="14.25" x14ac:dyDescent="0.2">
      <c r="A1130">
        <v>36</v>
      </c>
      <c r="B1130" t="s">
        <v>22</v>
      </c>
      <c r="C1130" t="s">
        <v>23</v>
      </c>
      <c r="D1130">
        <v>6</v>
      </c>
      <c r="E1130">
        <v>4</v>
      </c>
      <c r="F1130" t="s">
        <v>18</v>
      </c>
      <c r="G1130">
        <v>1</v>
      </c>
      <c r="H1130">
        <v>1</v>
      </c>
      <c r="I1130" t="s">
        <v>24</v>
      </c>
      <c r="J1130">
        <v>5562</v>
      </c>
      <c r="K1130">
        <v>3</v>
      </c>
      <c r="L1130">
        <v>3</v>
      </c>
      <c r="M1130">
        <v>3</v>
      </c>
      <c r="N1130" t="s">
        <v>25</v>
      </c>
      <c r="O1130" t="s">
        <v>28</v>
      </c>
      <c r="P1130">
        <v>11792083</v>
      </c>
    </row>
    <row r="1131" spans="1:16" ht="14.25" x14ac:dyDescent="0.2">
      <c r="A1131">
        <v>42</v>
      </c>
      <c r="B1131" t="s">
        <v>22</v>
      </c>
      <c r="C1131" t="s">
        <v>23</v>
      </c>
      <c r="D1131">
        <v>9</v>
      </c>
      <c r="E1131">
        <v>2</v>
      </c>
      <c r="F1131" t="s">
        <v>27</v>
      </c>
      <c r="G1131">
        <v>4</v>
      </c>
      <c r="H1131">
        <v>4</v>
      </c>
      <c r="I1131" t="s">
        <v>19</v>
      </c>
      <c r="J1131">
        <v>19613</v>
      </c>
      <c r="K1131">
        <v>8</v>
      </c>
      <c r="L1131">
        <v>3</v>
      </c>
      <c r="M1131">
        <v>1</v>
      </c>
      <c r="N1131" t="s">
        <v>25</v>
      </c>
      <c r="O1131" t="s">
        <v>33</v>
      </c>
      <c r="P1131">
        <v>19966376</v>
      </c>
    </row>
    <row r="1132" spans="1:16" ht="14.25" x14ac:dyDescent="0.2">
      <c r="A1132">
        <v>35</v>
      </c>
      <c r="B1132" t="s">
        <v>22</v>
      </c>
      <c r="C1132" t="s">
        <v>23</v>
      </c>
      <c r="D1132">
        <v>28</v>
      </c>
      <c r="E1132">
        <v>3</v>
      </c>
      <c r="F1132" t="s">
        <v>18</v>
      </c>
      <c r="G1132">
        <v>2</v>
      </c>
      <c r="H1132">
        <v>3</v>
      </c>
      <c r="I1132" t="s">
        <v>24</v>
      </c>
      <c r="J1132">
        <v>3407</v>
      </c>
      <c r="K1132">
        <v>1</v>
      </c>
      <c r="L1132">
        <v>2</v>
      </c>
      <c r="M1132">
        <v>10</v>
      </c>
      <c r="N1132" t="s">
        <v>25</v>
      </c>
      <c r="O1132" t="s">
        <v>28</v>
      </c>
      <c r="P1132">
        <v>58725299</v>
      </c>
    </row>
    <row r="1133" spans="1:16" ht="14.25" x14ac:dyDescent="0.2">
      <c r="A1133">
        <v>34</v>
      </c>
      <c r="B1133" t="s">
        <v>22</v>
      </c>
      <c r="C1133" t="s">
        <v>23</v>
      </c>
      <c r="D1133">
        <v>10</v>
      </c>
      <c r="E1133">
        <v>4</v>
      </c>
      <c r="F1133" t="s">
        <v>37</v>
      </c>
      <c r="G1133">
        <v>4</v>
      </c>
      <c r="H1133">
        <v>3</v>
      </c>
      <c r="I1133" t="s">
        <v>24</v>
      </c>
      <c r="J1133">
        <v>5063</v>
      </c>
      <c r="K1133">
        <v>1</v>
      </c>
      <c r="L1133">
        <v>2</v>
      </c>
      <c r="M1133">
        <v>8</v>
      </c>
      <c r="N1133" t="s">
        <v>25</v>
      </c>
      <c r="O1133" t="s">
        <v>32</v>
      </c>
      <c r="P1133">
        <v>10847793</v>
      </c>
    </row>
    <row r="1134" spans="1:16" ht="14.25" x14ac:dyDescent="0.2">
      <c r="A1134">
        <v>40</v>
      </c>
      <c r="B1134" t="s">
        <v>22</v>
      </c>
      <c r="C1134" t="s">
        <v>17</v>
      </c>
      <c r="D1134">
        <v>14</v>
      </c>
      <c r="E1134">
        <v>2</v>
      </c>
      <c r="F1134" t="s">
        <v>18</v>
      </c>
      <c r="G1134">
        <v>4</v>
      </c>
      <c r="H1134">
        <v>1</v>
      </c>
      <c r="I1134" t="s">
        <v>24</v>
      </c>
      <c r="J1134">
        <v>4639</v>
      </c>
      <c r="K1134">
        <v>1</v>
      </c>
      <c r="L1134">
        <v>3</v>
      </c>
      <c r="M1134">
        <v>5</v>
      </c>
      <c r="N1134" t="s">
        <v>20</v>
      </c>
      <c r="O1134" t="s">
        <v>21</v>
      </c>
      <c r="P1134">
        <v>77936818</v>
      </c>
    </row>
    <row r="1135" spans="1:16" ht="14.25" x14ac:dyDescent="0.2">
      <c r="A1135">
        <v>43</v>
      </c>
      <c r="B1135" t="s">
        <v>22</v>
      </c>
      <c r="C1135" t="s">
        <v>23</v>
      </c>
      <c r="D1135">
        <v>27</v>
      </c>
      <c r="E1135">
        <v>3</v>
      </c>
      <c r="F1135" t="s">
        <v>37</v>
      </c>
      <c r="G1135">
        <v>4</v>
      </c>
      <c r="H1135">
        <v>2</v>
      </c>
      <c r="I1135" t="s">
        <v>30</v>
      </c>
      <c r="J1135">
        <v>4876</v>
      </c>
      <c r="K1135">
        <v>5</v>
      </c>
      <c r="L1135">
        <v>3</v>
      </c>
      <c r="M1135">
        <v>6</v>
      </c>
      <c r="N1135" t="s">
        <v>25</v>
      </c>
      <c r="O1135" t="s">
        <v>28</v>
      </c>
      <c r="P1135">
        <v>76825529</v>
      </c>
    </row>
    <row r="1136" spans="1:16" ht="14.25" x14ac:dyDescent="0.2">
      <c r="A1136">
        <v>35</v>
      </c>
      <c r="B1136" t="s">
        <v>22</v>
      </c>
      <c r="C1136" t="s">
        <v>23</v>
      </c>
      <c r="D1136">
        <v>7</v>
      </c>
      <c r="E1136">
        <v>2</v>
      </c>
      <c r="F1136" t="s">
        <v>18</v>
      </c>
      <c r="G1136">
        <v>3</v>
      </c>
      <c r="H1136">
        <v>4</v>
      </c>
      <c r="I1136" t="s">
        <v>24</v>
      </c>
      <c r="J1136">
        <v>2690</v>
      </c>
      <c r="K1136">
        <v>1</v>
      </c>
      <c r="L1136">
        <v>2</v>
      </c>
      <c r="M1136">
        <v>1</v>
      </c>
      <c r="N1136" t="s">
        <v>25</v>
      </c>
      <c r="O1136" t="s">
        <v>28</v>
      </c>
      <c r="P1136">
        <v>52583437</v>
      </c>
    </row>
    <row r="1137" spans="1:16" ht="14.25" x14ac:dyDescent="0.2">
      <c r="A1137">
        <v>46</v>
      </c>
      <c r="B1137" t="s">
        <v>22</v>
      </c>
      <c r="C1137" t="s">
        <v>17</v>
      </c>
      <c r="D1137">
        <v>1</v>
      </c>
      <c r="E1137">
        <v>4</v>
      </c>
      <c r="F1137" t="s">
        <v>18</v>
      </c>
      <c r="G1137">
        <v>4</v>
      </c>
      <c r="H1137">
        <v>1</v>
      </c>
      <c r="I1137" t="s">
        <v>19</v>
      </c>
      <c r="J1137">
        <v>17567</v>
      </c>
      <c r="K1137">
        <v>1</v>
      </c>
      <c r="L1137">
        <v>1</v>
      </c>
      <c r="M1137">
        <v>26</v>
      </c>
      <c r="N1137" t="s">
        <v>25</v>
      </c>
      <c r="O1137" t="s">
        <v>33</v>
      </c>
      <c r="P1137">
        <v>65849083</v>
      </c>
    </row>
    <row r="1138" spans="1:16" ht="14.25" x14ac:dyDescent="0.2">
      <c r="A1138">
        <v>28</v>
      </c>
      <c r="B1138" t="s">
        <v>16</v>
      </c>
      <c r="C1138" t="s">
        <v>23</v>
      </c>
      <c r="D1138">
        <v>24</v>
      </c>
      <c r="E1138">
        <v>3</v>
      </c>
      <c r="F1138" t="s">
        <v>29</v>
      </c>
      <c r="G1138">
        <v>3</v>
      </c>
      <c r="H1138">
        <v>2</v>
      </c>
      <c r="I1138" t="s">
        <v>24</v>
      </c>
      <c r="J1138">
        <v>2408</v>
      </c>
      <c r="K1138">
        <v>1</v>
      </c>
      <c r="L1138">
        <v>3</v>
      </c>
      <c r="M1138">
        <v>1</v>
      </c>
      <c r="N1138" t="s">
        <v>25</v>
      </c>
      <c r="O1138" t="s">
        <v>28</v>
      </c>
      <c r="P1138">
        <v>14895492</v>
      </c>
    </row>
    <row r="1139" spans="1:16" ht="14.25" x14ac:dyDescent="0.2">
      <c r="A1139">
        <v>22</v>
      </c>
      <c r="B1139" t="s">
        <v>22</v>
      </c>
      <c r="C1139" t="s">
        <v>23</v>
      </c>
      <c r="D1139">
        <v>26</v>
      </c>
      <c r="E1139">
        <v>2</v>
      </c>
      <c r="F1139" t="s">
        <v>27</v>
      </c>
      <c r="G1139">
        <v>2</v>
      </c>
      <c r="H1139">
        <v>3</v>
      </c>
      <c r="I1139" t="s">
        <v>24</v>
      </c>
      <c r="J1139">
        <v>2814</v>
      </c>
      <c r="K1139">
        <v>1</v>
      </c>
      <c r="L1139">
        <v>2</v>
      </c>
      <c r="M1139">
        <v>4</v>
      </c>
      <c r="N1139" t="s">
        <v>20</v>
      </c>
      <c r="O1139" t="s">
        <v>26</v>
      </c>
      <c r="P1139">
        <v>43663182</v>
      </c>
    </row>
    <row r="1140" spans="1:16" ht="14.25" x14ac:dyDescent="0.2">
      <c r="A1140">
        <v>50</v>
      </c>
      <c r="B1140" t="s">
        <v>22</v>
      </c>
      <c r="C1140" t="s">
        <v>23</v>
      </c>
      <c r="D1140">
        <v>20</v>
      </c>
      <c r="E1140">
        <v>5</v>
      </c>
      <c r="F1140" t="s">
        <v>29</v>
      </c>
      <c r="G1140">
        <v>2</v>
      </c>
      <c r="H1140">
        <v>3</v>
      </c>
      <c r="I1140" t="s">
        <v>24</v>
      </c>
      <c r="J1140">
        <v>11245</v>
      </c>
      <c r="K1140">
        <v>2</v>
      </c>
      <c r="L1140">
        <v>3</v>
      </c>
      <c r="M1140">
        <v>30</v>
      </c>
      <c r="N1140" t="s">
        <v>25</v>
      </c>
      <c r="O1140" t="s">
        <v>32</v>
      </c>
      <c r="P1140">
        <v>13282069</v>
      </c>
    </row>
    <row r="1141" spans="1:16" ht="14.25" x14ac:dyDescent="0.2">
      <c r="A1141">
        <v>32</v>
      </c>
      <c r="B1141" t="s">
        <v>22</v>
      </c>
      <c r="C1141" t="s">
        <v>23</v>
      </c>
      <c r="D1141">
        <v>5</v>
      </c>
      <c r="E1141">
        <v>4</v>
      </c>
      <c r="F1141" t="s">
        <v>27</v>
      </c>
      <c r="G1141">
        <v>2</v>
      </c>
      <c r="H1141">
        <v>4</v>
      </c>
      <c r="I1141" t="s">
        <v>24</v>
      </c>
      <c r="J1141">
        <v>3312</v>
      </c>
      <c r="K1141">
        <v>3</v>
      </c>
      <c r="L1141">
        <v>3</v>
      </c>
      <c r="M1141">
        <v>3</v>
      </c>
      <c r="N1141" t="s">
        <v>20</v>
      </c>
      <c r="O1141" t="s">
        <v>26</v>
      </c>
      <c r="P1141">
        <v>34111639</v>
      </c>
    </row>
    <row r="1142" spans="1:16" ht="14.25" x14ac:dyDescent="0.2">
      <c r="A1142">
        <v>44</v>
      </c>
      <c r="B1142" t="s">
        <v>22</v>
      </c>
      <c r="C1142" t="s">
        <v>23</v>
      </c>
      <c r="D1142">
        <v>7</v>
      </c>
      <c r="E1142">
        <v>3</v>
      </c>
      <c r="F1142" t="s">
        <v>29</v>
      </c>
      <c r="G1142">
        <v>2</v>
      </c>
      <c r="H1142">
        <v>4</v>
      </c>
      <c r="I1142" t="s">
        <v>30</v>
      </c>
      <c r="J1142">
        <v>19049</v>
      </c>
      <c r="K1142">
        <v>0</v>
      </c>
      <c r="L1142">
        <v>2</v>
      </c>
      <c r="M1142">
        <v>22</v>
      </c>
      <c r="N1142" t="s">
        <v>20</v>
      </c>
      <c r="O1142" t="s">
        <v>35</v>
      </c>
      <c r="P1142">
        <v>76967753</v>
      </c>
    </row>
    <row r="1143" spans="1:16" ht="14.25" x14ac:dyDescent="0.2">
      <c r="A1143">
        <v>30</v>
      </c>
      <c r="B1143" t="s">
        <v>22</v>
      </c>
      <c r="C1143" t="s">
        <v>23</v>
      </c>
      <c r="D1143">
        <v>7</v>
      </c>
      <c r="E1143">
        <v>3</v>
      </c>
      <c r="F1143" t="s">
        <v>29</v>
      </c>
      <c r="G1143">
        <v>2</v>
      </c>
      <c r="H1143">
        <v>2</v>
      </c>
      <c r="I1143" t="s">
        <v>24</v>
      </c>
      <c r="J1143">
        <v>2141</v>
      </c>
      <c r="K1143">
        <v>1</v>
      </c>
      <c r="L1143">
        <v>2</v>
      </c>
      <c r="M1143">
        <v>6</v>
      </c>
      <c r="N1143" t="s">
        <v>25</v>
      </c>
      <c r="O1143" t="s">
        <v>26</v>
      </c>
      <c r="P1143">
        <v>42873754</v>
      </c>
    </row>
    <row r="1144" spans="1:16" ht="14.25" x14ac:dyDescent="0.2">
      <c r="A1144">
        <v>45</v>
      </c>
      <c r="B1144" t="s">
        <v>22</v>
      </c>
      <c r="C1144" t="s">
        <v>23</v>
      </c>
      <c r="D1144">
        <v>5</v>
      </c>
      <c r="E1144">
        <v>5</v>
      </c>
      <c r="F1144" t="s">
        <v>29</v>
      </c>
      <c r="G1144">
        <v>3</v>
      </c>
      <c r="H1144">
        <v>1</v>
      </c>
      <c r="I1144" t="s">
        <v>19</v>
      </c>
      <c r="J1144">
        <v>5769</v>
      </c>
      <c r="K1144">
        <v>1</v>
      </c>
      <c r="L1144">
        <v>3</v>
      </c>
      <c r="M1144">
        <v>10</v>
      </c>
      <c r="N1144" t="s">
        <v>20</v>
      </c>
      <c r="O1144" t="s">
        <v>28</v>
      </c>
      <c r="P1144">
        <v>25959108</v>
      </c>
    </row>
    <row r="1145" spans="1:16" ht="14.25" x14ac:dyDescent="0.2">
      <c r="A1145">
        <v>45</v>
      </c>
      <c r="B1145" t="s">
        <v>22</v>
      </c>
      <c r="C1145" t="s">
        <v>17</v>
      </c>
      <c r="D1145">
        <v>26</v>
      </c>
      <c r="E1145">
        <v>3</v>
      </c>
      <c r="F1145" t="s">
        <v>36</v>
      </c>
      <c r="G1145">
        <v>1</v>
      </c>
      <c r="H1145">
        <v>1</v>
      </c>
      <c r="I1145" t="s">
        <v>24</v>
      </c>
      <c r="J1145">
        <v>4385</v>
      </c>
      <c r="K1145">
        <v>1</v>
      </c>
      <c r="L1145">
        <v>3</v>
      </c>
      <c r="M1145">
        <v>10</v>
      </c>
      <c r="N1145" t="s">
        <v>25</v>
      </c>
      <c r="O1145" t="s">
        <v>21</v>
      </c>
      <c r="P1145">
        <v>75016992</v>
      </c>
    </row>
    <row r="1146" spans="1:16" ht="14.25" x14ac:dyDescent="0.2">
      <c r="A1146">
        <v>31</v>
      </c>
      <c r="B1146" t="s">
        <v>22</v>
      </c>
      <c r="C1146" t="s">
        <v>17</v>
      </c>
      <c r="D1146">
        <v>2</v>
      </c>
      <c r="E1146">
        <v>4</v>
      </c>
      <c r="F1146" t="s">
        <v>27</v>
      </c>
      <c r="G1146">
        <v>4</v>
      </c>
      <c r="H1146">
        <v>1</v>
      </c>
      <c r="I1146" t="s">
        <v>19</v>
      </c>
      <c r="J1146">
        <v>5332</v>
      </c>
      <c r="K1146">
        <v>7</v>
      </c>
      <c r="L1146">
        <v>3</v>
      </c>
      <c r="M1146">
        <v>5</v>
      </c>
      <c r="N1146" t="s">
        <v>25</v>
      </c>
      <c r="O1146" t="s">
        <v>21</v>
      </c>
      <c r="P1146">
        <v>10684474</v>
      </c>
    </row>
    <row r="1147" spans="1:16" ht="14.25" x14ac:dyDescent="0.2">
      <c r="A1147">
        <v>36</v>
      </c>
      <c r="B1147" t="s">
        <v>22</v>
      </c>
      <c r="C1147" t="s">
        <v>23</v>
      </c>
      <c r="D1147">
        <v>12</v>
      </c>
      <c r="E1147">
        <v>4</v>
      </c>
      <c r="F1147" t="s">
        <v>18</v>
      </c>
      <c r="G1147">
        <v>3</v>
      </c>
      <c r="H1147">
        <v>3</v>
      </c>
      <c r="I1147" t="s">
        <v>24</v>
      </c>
      <c r="J1147">
        <v>4663</v>
      </c>
      <c r="K1147">
        <v>9</v>
      </c>
      <c r="L1147">
        <v>3</v>
      </c>
      <c r="M1147">
        <v>3</v>
      </c>
      <c r="N1147" t="s">
        <v>20</v>
      </c>
      <c r="O1147" t="s">
        <v>31</v>
      </c>
      <c r="P1147">
        <v>69996011</v>
      </c>
    </row>
    <row r="1148" spans="1:16" ht="14.25" x14ac:dyDescent="0.2">
      <c r="A1148">
        <v>34</v>
      </c>
      <c r="B1148" t="s">
        <v>22</v>
      </c>
      <c r="C1148" t="s">
        <v>23</v>
      </c>
      <c r="D1148">
        <v>10</v>
      </c>
      <c r="E1148">
        <v>4</v>
      </c>
      <c r="F1148" t="s">
        <v>18</v>
      </c>
      <c r="G1148">
        <v>3</v>
      </c>
      <c r="H1148">
        <v>4</v>
      </c>
      <c r="I1148" t="s">
        <v>30</v>
      </c>
      <c r="J1148">
        <v>4724</v>
      </c>
      <c r="K1148">
        <v>1</v>
      </c>
      <c r="L1148">
        <v>3</v>
      </c>
      <c r="M1148">
        <v>9</v>
      </c>
      <c r="N1148" t="s">
        <v>25</v>
      </c>
      <c r="O1148" t="s">
        <v>31</v>
      </c>
      <c r="P1148">
        <v>77931779</v>
      </c>
    </row>
    <row r="1149" spans="1:16" ht="14.25" x14ac:dyDescent="0.2">
      <c r="A1149">
        <v>49</v>
      </c>
      <c r="B1149" t="s">
        <v>22</v>
      </c>
      <c r="C1149" t="s">
        <v>23</v>
      </c>
      <c r="D1149">
        <v>25</v>
      </c>
      <c r="E1149">
        <v>4</v>
      </c>
      <c r="F1149" t="s">
        <v>18</v>
      </c>
      <c r="G1149">
        <v>3</v>
      </c>
      <c r="H1149">
        <v>1</v>
      </c>
      <c r="I1149" t="s">
        <v>24</v>
      </c>
      <c r="J1149">
        <v>3211</v>
      </c>
      <c r="K1149">
        <v>1</v>
      </c>
      <c r="L1149">
        <v>2</v>
      </c>
      <c r="M1149">
        <v>9</v>
      </c>
      <c r="N1149" t="s">
        <v>20</v>
      </c>
      <c r="O1149" t="s">
        <v>28</v>
      </c>
      <c r="P1149">
        <v>61724879</v>
      </c>
    </row>
    <row r="1150" spans="1:16" ht="14.25" x14ac:dyDescent="0.2">
      <c r="A1150">
        <v>39</v>
      </c>
      <c r="B1150" t="s">
        <v>22</v>
      </c>
      <c r="C1150" t="s">
        <v>23</v>
      </c>
      <c r="D1150">
        <v>10</v>
      </c>
      <c r="E1150">
        <v>5</v>
      </c>
      <c r="F1150" t="s">
        <v>29</v>
      </c>
      <c r="G1150">
        <v>2</v>
      </c>
      <c r="H1150">
        <v>1</v>
      </c>
      <c r="I1150" t="s">
        <v>24</v>
      </c>
      <c r="J1150">
        <v>5377</v>
      </c>
      <c r="K1150">
        <v>2</v>
      </c>
      <c r="L1150">
        <v>3</v>
      </c>
      <c r="M1150">
        <v>7</v>
      </c>
      <c r="N1150" t="s">
        <v>25</v>
      </c>
      <c r="O1150" t="s">
        <v>31</v>
      </c>
      <c r="P1150">
        <v>76469410</v>
      </c>
    </row>
    <row r="1151" spans="1:16" ht="14.25" x14ac:dyDescent="0.2">
      <c r="A1151">
        <v>27</v>
      </c>
      <c r="B1151" t="s">
        <v>22</v>
      </c>
      <c r="C1151" t="s">
        <v>23</v>
      </c>
      <c r="D1151">
        <v>19</v>
      </c>
      <c r="E1151">
        <v>3</v>
      </c>
      <c r="F1151" t="s">
        <v>27</v>
      </c>
      <c r="G1151">
        <v>4</v>
      </c>
      <c r="H1151">
        <v>1</v>
      </c>
      <c r="I1151" t="s">
        <v>30</v>
      </c>
      <c r="J1151">
        <v>4066</v>
      </c>
      <c r="K1151">
        <v>1</v>
      </c>
      <c r="L1151">
        <v>3</v>
      </c>
      <c r="M1151">
        <v>7</v>
      </c>
      <c r="N1151" t="s">
        <v>25</v>
      </c>
      <c r="O1151" t="s">
        <v>28</v>
      </c>
      <c r="P1151">
        <v>69417234</v>
      </c>
    </row>
    <row r="1152" spans="1:16" ht="14.25" x14ac:dyDescent="0.2">
      <c r="A1152">
        <v>35</v>
      </c>
      <c r="B1152" t="s">
        <v>22</v>
      </c>
      <c r="C1152" t="s">
        <v>23</v>
      </c>
      <c r="D1152">
        <v>18</v>
      </c>
      <c r="E1152">
        <v>5</v>
      </c>
      <c r="F1152" t="s">
        <v>18</v>
      </c>
      <c r="G1152">
        <v>2</v>
      </c>
      <c r="H1152">
        <v>1</v>
      </c>
      <c r="I1152" t="s">
        <v>24</v>
      </c>
      <c r="J1152">
        <v>5208</v>
      </c>
      <c r="K1152">
        <v>1</v>
      </c>
      <c r="L1152">
        <v>3</v>
      </c>
      <c r="M1152">
        <v>16</v>
      </c>
      <c r="N1152" t="s">
        <v>25</v>
      </c>
      <c r="O1152" t="s">
        <v>26</v>
      </c>
      <c r="P1152">
        <v>16128813</v>
      </c>
    </row>
    <row r="1153" spans="1:16" ht="14.25" x14ac:dyDescent="0.2">
      <c r="A1153">
        <v>28</v>
      </c>
      <c r="B1153" t="s">
        <v>22</v>
      </c>
      <c r="C1153" t="s">
        <v>23</v>
      </c>
      <c r="D1153">
        <v>27</v>
      </c>
      <c r="E1153">
        <v>3</v>
      </c>
      <c r="F1153" t="s">
        <v>29</v>
      </c>
      <c r="G1153">
        <v>2</v>
      </c>
      <c r="H1153">
        <v>1</v>
      </c>
      <c r="I1153" t="s">
        <v>30</v>
      </c>
      <c r="J1153">
        <v>4877</v>
      </c>
      <c r="K1153">
        <v>0</v>
      </c>
      <c r="L1153">
        <v>2</v>
      </c>
      <c r="M1153">
        <v>5</v>
      </c>
      <c r="N1153" t="s">
        <v>20</v>
      </c>
      <c r="O1153" t="s">
        <v>31</v>
      </c>
      <c r="P1153">
        <v>20724088</v>
      </c>
    </row>
    <row r="1154" spans="1:16" ht="14.25" x14ac:dyDescent="0.2">
      <c r="A1154">
        <v>21</v>
      </c>
      <c r="B1154" t="s">
        <v>22</v>
      </c>
      <c r="C1154" t="s">
        <v>23</v>
      </c>
      <c r="D1154">
        <v>5</v>
      </c>
      <c r="E1154">
        <v>1</v>
      </c>
      <c r="F1154" t="s">
        <v>29</v>
      </c>
      <c r="G1154">
        <v>3</v>
      </c>
      <c r="H1154">
        <v>4</v>
      </c>
      <c r="I1154" t="s">
        <v>19</v>
      </c>
      <c r="J1154">
        <v>3117</v>
      </c>
      <c r="K1154">
        <v>1</v>
      </c>
      <c r="L1154">
        <v>3</v>
      </c>
      <c r="M1154">
        <v>2</v>
      </c>
      <c r="N1154" t="s">
        <v>25</v>
      </c>
      <c r="O1154" t="s">
        <v>26</v>
      </c>
      <c r="P1154">
        <v>55951995</v>
      </c>
    </row>
    <row r="1155" spans="1:16" ht="14.25" x14ac:dyDescent="0.2">
      <c r="A1155">
        <v>18</v>
      </c>
      <c r="B1155" t="s">
        <v>16</v>
      </c>
      <c r="C1155" t="s">
        <v>17</v>
      </c>
      <c r="D1155">
        <v>3</v>
      </c>
      <c r="E1155">
        <v>2</v>
      </c>
      <c r="F1155" t="s">
        <v>29</v>
      </c>
      <c r="G1155">
        <v>2</v>
      </c>
      <c r="H1155">
        <v>4</v>
      </c>
      <c r="I1155" t="s">
        <v>19</v>
      </c>
      <c r="J1155">
        <v>1569</v>
      </c>
      <c r="K1155">
        <v>1</v>
      </c>
      <c r="L1155">
        <v>4</v>
      </c>
      <c r="M1155">
        <v>0</v>
      </c>
      <c r="N1155" t="s">
        <v>20</v>
      </c>
      <c r="O1155" t="s">
        <v>34</v>
      </c>
      <c r="P1155">
        <v>55058697</v>
      </c>
    </row>
    <row r="1156" spans="1:16" ht="14.25" x14ac:dyDescent="0.2">
      <c r="A1156">
        <v>47</v>
      </c>
      <c r="B1156" t="s">
        <v>22</v>
      </c>
      <c r="C1156" t="s">
        <v>38</v>
      </c>
      <c r="D1156">
        <v>26</v>
      </c>
      <c r="E1156">
        <v>4</v>
      </c>
      <c r="F1156" t="s">
        <v>18</v>
      </c>
      <c r="G1156">
        <v>4</v>
      </c>
      <c r="H1156">
        <v>3</v>
      </c>
      <c r="I1156" t="s">
        <v>24</v>
      </c>
      <c r="J1156">
        <v>19658</v>
      </c>
      <c r="K1156">
        <v>3</v>
      </c>
      <c r="L1156">
        <v>3</v>
      </c>
      <c r="M1156">
        <v>5</v>
      </c>
      <c r="N1156" t="s">
        <v>20</v>
      </c>
      <c r="O1156" t="s">
        <v>33</v>
      </c>
      <c r="P1156">
        <v>78654867</v>
      </c>
    </row>
    <row r="1157" spans="1:16" ht="14.25" x14ac:dyDescent="0.2">
      <c r="A1157">
        <v>39</v>
      </c>
      <c r="B1157" t="s">
        <v>22</v>
      </c>
      <c r="C1157" t="s">
        <v>23</v>
      </c>
      <c r="D1157">
        <v>3</v>
      </c>
      <c r="E1157">
        <v>2</v>
      </c>
      <c r="F1157" t="s">
        <v>29</v>
      </c>
      <c r="G1157">
        <v>3</v>
      </c>
      <c r="H1157">
        <v>3</v>
      </c>
      <c r="I1157" t="s">
        <v>30</v>
      </c>
      <c r="J1157">
        <v>3069</v>
      </c>
      <c r="K1157">
        <v>0</v>
      </c>
      <c r="L1157">
        <v>3</v>
      </c>
      <c r="M1157">
        <v>10</v>
      </c>
      <c r="N1157" t="s">
        <v>25</v>
      </c>
      <c r="O1157" t="s">
        <v>28</v>
      </c>
      <c r="P1157">
        <v>71634759</v>
      </c>
    </row>
    <row r="1158" spans="1:16" ht="14.25" x14ac:dyDescent="0.2">
      <c r="A1158">
        <v>40</v>
      </c>
      <c r="B1158" t="s">
        <v>22</v>
      </c>
      <c r="C1158" t="s">
        <v>23</v>
      </c>
      <c r="D1158">
        <v>15</v>
      </c>
      <c r="E1158">
        <v>3</v>
      </c>
      <c r="F1158" t="s">
        <v>18</v>
      </c>
      <c r="G1158">
        <v>1</v>
      </c>
      <c r="H1158">
        <v>3</v>
      </c>
      <c r="I1158" t="s">
        <v>24</v>
      </c>
      <c r="J1158">
        <v>10435</v>
      </c>
      <c r="K1158">
        <v>1</v>
      </c>
      <c r="L1158">
        <v>3</v>
      </c>
      <c r="M1158">
        <v>18</v>
      </c>
      <c r="N1158" t="s">
        <v>20</v>
      </c>
      <c r="O1158" t="s">
        <v>31</v>
      </c>
      <c r="P1158">
        <v>17537949</v>
      </c>
    </row>
    <row r="1159" spans="1:16" ht="14.25" x14ac:dyDescent="0.2">
      <c r="A1159">
        <v>35</v>
      </c>
      <c r="B1159" t="s">
        <v>22</v>
      </c>
      <c r="C1159" t="s">
        <v>23</v>
      </c>
      <c r="D1159">
        <v>8</v>
      </c>
      <c r="E1159">
        <v>4</v>
      </c>
      <c r="F1159" t="s">
        <v>18</v>
      </c>
      <c r="G1159">
        <v>3</v>
      </c>
      <c r="H1159">
        <v>3</v>
      </c>
      <c r="I1159" t="s">
        <v>24</v>
      </c>
      <c r="J1159">
        <v>4148</v>
      </c>
      <c r="K1159">
        <v>1</v>
      </c>
      <c r="L1159">
        <v>3</v>
      </c>
      <c r="M1159">
        <v>14</v>
      </c>
      <c r="N1159" t="s">
        <v>20</v>
      </c>
      <c r="O1159" t="s">
        <v>32</v>
      </c>
      <c r="P1159">
        <v>42727600</v>
      </c>
    </row>
    <row r="1160" spans="1:16" ht="14.25" x14ac:dyDescent="0.2">
      <c r="A1160">
        <v>37</v>
      </c>
      <c r="B1160" t="s">
        <v>22</v>
      </c>
      <c r="C1160" t="s">
        <v>23</v>
      </c>
      <c r="D1160">
        <v>19</v>
      </c>
      <c r="E1160">
        <v>3</v>
      </c>
      <c r="F1160" t="s">
        <v>18</v>
      </c>
      <c r="G1160">
        <v>3</v>
      </c>
      <c r="H1160">
        <v>3</v>
      </c>
      <c r="I1160" t="s">
        <v>24</v>
      </c>
      <c r="J1160">
        <v>5768</v>
      </c>
      <c r="K1160">
        <v>3</v>
      </c>
      <c r="L1160">
        <v>2</v>
      </c>
      <c r="M1160">
        <v>4</v>
      </c>
      <c r="N1160" t="s">
        <v>25</v>
      </c>
      <c r="O1160" t="s">
        <v>31</v>
      </c>
      <c r="P1160">
        <v>31035517</v>
      </c>
    </row>
    <row r="1161" spans="1:16" ht="14.25" x14ac:dyDescent="0.2">
      <c r="A1161">
        <v>39</v>
      </c>
      <c r="B1161" t="s">
        <v>22</v>
      </c>
      <c r="C1161" t="s">
        <v>23</v>
      </c>
      <c r="D1161">
        <v>4</v>
      </c>
      <c r="E1161">
        <v>3</v>
      </c>
      <c r="F1161" t="s">
        <v>29</v>
      </c>
      <c r="G1161">
        <v>1</v>
      </c>
      <c r="H1161">
        <v>3</v>
      </c>
      <c r="I1161" t="s">
        <v>19</v>
      </c>
      <c r="J1161">
        <v>5042</v>
      </c>
      <c r="K1161">
        <v>0</v>
      </c>
      <c r="L1161">
        <v>1</v>
      </c>
      <c r="M1161">
        <v>9</v>
      </c>
      <c r="N1161" t="s">
        <v>20</v>
      </c>
      <c r="O1161" t="s">
        <v>31</v>
      </c>
      <c r="P1161">
        <v>44700158</v>
      </c>
    </row>
    <row r="1162" spans="1:16" ht="14.25" x14ac:dyDescent="0.2">
      <c r="A1162">
        <v>45</v>
      </c>
      <c r="B1162" t="s">
        <v>22</v>
      </c>
      <c r="C1162" t="s">
        <v>23</v>
      </c>
      <c r="D1162">
        <v>2</v>
      </c>
      <c r="E1162">
        <v>2</v>
      </c>
      <c r="F1162" t="s">
        <v>27</v>
      </c>
      <c r="G1162">
        <v>4</v>
      </c>
      <c r="H1162">
        <v>4</v>
      </c>
      <c r="I1162" t="s">
        <v>30</v>
      </c>
      <c r="J1162">
        <v>5770</v>
      </c>
      <c r="K1162">
        <v>1</v>
      </c>
      <c r="L1162">
        <v>3</v>
      </c>
      <c r="M1162">
        <v>10</v>
      </c>
      <c r="N1162" t="s">
        <v>20</v>
      </c>
      <c r="O1162" t="s">
        <v>31</v>
      </c>
      <c r="P1162">
        <v>86494841</v>
      </c>
    </row>
    <row r="1163" spans="1:16" ht="14.25" x14ac:dyDescent="0.2">
      <c r="A1163">
        <v>38</v>
      </c>
      <c r="B1163" t="s">
        <v>22</v>
      </c>
      <c r="C1163" t="s">
        <v>23</v>
      </c>
      <c r="D1163">
        <v>2</v>
      </c>
      <c r="E1163">
        <v>2</v>
      </c>
      <c r="F1163" t="s">
        <v>29</v>
      </c>
      <c r="G1163">
        <v>4</v>
      </c>
      <c r="H1163">
        <v>3</v>
      </c>
      <c r="I1163" t="s">
        <v>24</v>
      </c>
      <c r="J1163">
        <v>7756</v>
      </c>
      <c r="K1163">
        <v>3</v>
      </c>
      <c r="L1163">
        <v>4</v>
      </c>
      <c r="M1163">
        <v>5</v>
      </c>
      <c r="N1163" t="s">
        <v>20</v>
      </c>
      <c r="O1163" t="s">
        <v>31</v>
      </c>
      <c r="P1163">
        <v>57664135</v>
      </c>
    </row>
    <row r="1164" spans="1:16" ht="14.25" x14ac:dyDescent="0.2">
      <c r="A1164">
        <v>35</v>
      </c>
      <c r="B1164" t="s">
        <v>16</v>
      </c>
      <c r="C1164" t="s">
        <v>17</v>
      </c>
      <c r="D1164">
        <v>10</v>
      </c>
      <c r="E1164">
        <v>3</v>
      </c>
      <c r="F1164" t="s">
        <v>29</v>
      </c>
      <c r="G1164">
        <v>4</v>
      </c>
      <c r="H1164">
        <v>1</v>
      </c>
      <c r="I1164" t="s">
        <v>24</v>
      </c>
      <c r="J1164">
        <v>10306</v>
      </c>
      <c r="K1164">
        <v>9</v>
      </c>
      <c r="L1164">
        <v>3</v>
      </c>
      <c r="M1164">
        <v>13</v>
      </c>
      <c r="N1164" t="s">
        <v>25</v>
      </c>
      <c r="O1164" t="s">
        <v>21</v>
      </c>
      <c r="P1164">
        <v>73583504</v>
      </c>
    </row>
    <row r="1165" spans="1:16" ht="14.25" x14ac:dyDescent="0.2">
      <c r="A1165">
        <v>37</v>
      </c>
      <c r="B1165" t="s">
        <v>22</v>
      </c>
      <c r="C1165" t="s">
        <v>23</v>
      </c>
      <c r="D1165">
        <v>10</v>
      </c>
      <c r="E1165">
        <v>3</v>
      </c>
      <c r="F1165" t="s">
        <v>29</v>
      </c>
      <c r="G1165">
        <v>2</v>
      </c>
      <c r="H1165">
        <v>2</v>
      </c>
      <c r="I1165" t="s">
        <v>24</v>
      </c>
      <c r="J1165">
        <v>3936</v>
      </c>
      <c r="K1165">
        <v>1</v>
      </c>
      <c r="L1165">
        <v>1</v>
      </c>
      <c r="M1165">
        <v>8</v>
      </c>
      <c r="N1165" t="s">
        <v>20</v>
      </c>
      <c r="O1165" t="s">
        <v>26</v>
      </c>
      <c r="P1165">
        <v>12942409</v>
      </c>
    </row>
    <row r="1166" spans="1:16" ht="14.25" x14ac:dyDescent="0.2">
      <c r="A1166">
        <v>40</v>
      </c>
      <c r="B1166" t="s">
        <v>22</v>
      </c>
      <c r="C1166" t="s">
        <v>23</v>
      </c>
      <c r="D1166">
        <v>16</v>
      </c>
      <c r="E1166">
        <v>3</v>
      </c>
      <c r="F1166" t="s">
        <v>18</v>
      </c>
      <c r="G1166">
        <v>3</v>
      </c>
      <c r="H1166">
        <v>4</v>
      </c>
      <c r="I1166" t="s">
        <v>19</v>
      </c>
      <c r="J1166">
        <v>7945</v>
      </c>
      <c r="K1166">
        <v>6</v>
      </c>
      <c r="L1166">
        <v>2</v>
      </c>
      <c r="M1166">
        <v>4</v>
      </c>
      <c r="N1166" t="s">
        <v>20</v>
      </c>
      <c r="O1166" t="s">
        <v>31</v>
      </c>
      <c r="P1166">
        <v>41943507</v>
      </c>
    </row>
    <row r="1167" spans="1:16" ht="14.25" x14ac:dyDescent="0.2">
      <c r="A1167">
        <v>44</v>
      </c>
      <c r="B1167" t="s">
        <v>22</v>
      </c>
      <c r="C1167" t="s">
        <v>38</v>
      </c>
      <c r="D1167">
        <v>1</v>
      </c>
      <c r="E1167">
        <v>5</v>
      </c>
      <c r="F1167" t="s">
        <v>38</v>
      </c>
      <c r="G1167">
        <v>1</v>
      </c>
      <c r="H1167">
        <v>4</v>
      </c>
      <c r="I1167" t="s">
        <v>24</v>
      </c>
      <c r="J1167">
        <v>5743</v>
      </c>
      <c r="K1167">
        <v>4</v>
      </c>
      <c r="L1167">
        <v>3</v>
      </c>
      <c r="M1167">
        <v>10</v>
      </c>
      <c r="N1167" t="s">
        <v>25</v>
      </c>
      <c r="O1167" t="s">
        <v>38</v>
      </c>
      <c r="P1167">
        <v>18820294</v>
      </c>
    </row>
    <row r="1168" spans="1:16" ht="14.25" x14ac:dyDescent="0.2">
      <c r="A1168">
        <v>48</v>
      </c>
      <c r="B1168" t="s">
        <v>22</v>
      </c>
      <c r="C1168" t="s">
        <v>23</v>
      </c>
      <c r="D1168">
        <v>4</v>
      </c>
      <c r="E1168">
        <v>5</v>
      </c>
      <c r="F1168" t="s">
        <v>29</v>
      </c>
      <c r="G1168">
        <v>3</v>
      </c>
      <c r="H1168">
        <v>4</v>
      </c>
      <c r="I1168" t="s">
        <v>24</v>
      </c>
      <c r="J1168">
        <v>15202</v>
      </c>
      <c r="K1168">
        <v>2</v>
      </c>
      <c r="L1168">
        <v>3</v>
      </c>
      <c r="M1168">
        <v>2</v>
      </c>
      <c r="N1168" t="s">
        <v>25</v>
      </c>
      <c r="O1168" t="s">
        <v>33</v>
      </c>
      <c r="P1168">
        <v>77248517</v>
      </c>
    </row>
    <row r="1169" spans="1:16" ht="14.25" x14ac:dyDescent="0.2">
      <c r="A1169">
        <v>35</v>
      </c>
      <c r="B1169" t="s">
        <v>16</v>
      </c>
      <c r="C1169" t="s">
        <v>17</v>
      </c>
      <c r="D1169">
        <v>15</v>
      </c>
      <c r="E1169">
        <v>2</v>
      </c>
      <c r="F1169" t="s">
        <v>29</v>
      </c>
      <c r="G1169">
        <v>1</v>
      </c>
      <c r="H1169">
        <v>4</v>
      </c>
      <c r="I1169" t="s">
        <v>30</v>
      </c>
      <c r="J1169">
        <v>5440</v>
      </c>
      <c r="K1169">
        <v>6</v>
      </c>
      <c r="L1169">
        <v>2</v>
      </c>
      <c r="M1169">
        <v>2</v>
      </c>
      <c r="N1169" t="s">
        <v>25</v>
      </c>
      <c r="O1169" t="s">
        <v>21</v>
      </c>
      <c r="P1169">
        <v>36698993</v>
      </c>
    </row>
    <row r="1170" spans="1:16" ht="14.25" x14ac:dyDescent="0.2">
      <c r="A1170">
        <v>24</v>
      </c>
      <c r="B1170" t="s">
        <v>22</v>
      </c>
      <c r="C1170" t="s">
        <v>23</v>
      </c>
      <c r="D1170">
        <v>2</v>
      </c>
      <c r="E1170">
        <v>1</v>
      </c>
      <c r="F1170" t="s">
        <v>37</v>
      </c>
      <c r="G1170">
        <v>1</v>
      </c>
      <c r="H1170">
        <v>4</v>
      </c>
      <c r="I1170" t="s">
        <v>19</v>
      </c>
      <c r="J1170">
        <v>3760</v>
      </c>
      <c r="K1170">
        <v>1</v>
      </c>
      <c r="L1170">
        <v>3</v>
      </c>
      <c r="M1170">
        <v>6</v>
      </c>
      <c r="N1170" t="s">
        <v>20</v>
      </c>
      <c r="O1170" t="s">
        <v>26</v>
      </c>
      <c r="P1170">
        <v>62368230</v>
      </c>
    </row>
    <row r="1171" spans="1:16" ht="14.25" x14ac:dyDescent="0.2">
      <c r="A1171">
        <v>27</v>
      </c>
      <c r="B1171" t="s">
        <v>22</v>
      </c>
      <c r="C1171" t="s">
        <v>23</v>
      </c>
      <c r="D1171">
        <v>8</v>
      </c>
      <c r="E1171">
        <v>3</v>
      </c>
      <c r="F1171" t="s">
        <v>29</v>
      </c>
      <c r="G1171">
        <v>2</v>
      </c>
      <c r="H1171">
        <v>3</v>
      </c>
      <c r="I1171" t="s">
        <v>24</v>
      </c>
      <c r="J1171">
        <v>3517</v>
      </c>
      <c r="K1171">
        <v>7</v>
      </c>
      <c r="L1171">
        <v>3</v>
      </c>
      <c r="M1171">
        <v>3</v>
      </c>
      <c r="N1171" t="s">
        <v>20</v>
      </c>
      <c r="O1171" t="s">
        <v>26</v>
      </c>
      <c r="P1171">
        <v>21384918</v>
      </c>
    </row>
    <row r="1172" spans="1:16" ht="14.25" x14ac:dyDescent="0.2">
      <c r="A1172">
        <v>27</v>
      </c>
      <c r="B1172" t="s">
        <v>22</v>
      </c>
      <c r="C1172" t="s">
        <v>23</v>
      </c>
      <c r="D1172">
        <v>2</v>
      </c>
      <c r="E1172">
        <v>3</v>
      </c>
      <c r="F1172" t="s">
        <v>29</v>
      </c>
      <c r="G1172">
        <v>4</v>
      </c>
      <c r="H1172">
        <v>4</v>
      </c>
      <c r="I1172" t="s">
        <v>19</v>
      </c>
      <c r="J1172">
        <v>2580</v>
      </c>
      <c r="K1172">
        <v>2</v>
      </c>
      <c r="L1172">
        <v>2</v>
      </c>
      <c r="M1172">
        <v>4</v>
      </c>
      <c r="N1172" t="s">
        <v>25</v>
      </c>
      <c r="O1172" t="s">
        <v>26</v>
      </c>
      <c r="P1172">
        <v>87782535</v>
      </c>
    </row>
    <row r="1173" spans="1:16" ht="14.25" x14ac:dyDescent="0.2">
      <c r="A1173">
        <v>40</v>
      </c>
      <c r="B1173" t="s">
        <v>16</v>
      </c>
      <c r="C1173" t="s">
        <v>23</v>
      </c>
      <c r="D1173">
        <v>7</v>
      </c>
      <c r="E1173">
        <v>3</v>
      </c>
      <c r="F1173" t="s">
        <v>18</v>
      </c>
      <c r="G1173">
        <v>1</v>
      </c>
      <c r="H1173">
        <v>1</v>
      </c>
      <c r="I1173" t="s">
        <v>19</v>
      </c>
      <c r="J1173">
        <v>2166</v>
      </c>
      <c r="K1173">
        <v>3</v>
      </c>
      <c r="L1173">
        <v>1</v>
      </c>
      <c r="M1173">
        <v>4</v>
      </c>
      <c r="N1173" t="s">
        <v>25</v>
      </c>
      <c r="O1173" t="s">
        <v>28</v>
      </c>
      <c r="P1173">
        <v>47600541</v>
      </c>
    </row>
    <row r="1174" spans="1:16" ht="14.25" x14ac:dyDescent="0.2">
      <c r="A1174">
        <v>29</v>
      </c>
      <c r="B1174" t="s">
        <v>22</v>
      </c>
      <c r="C1174" t="s">
        <v>17</v>
      </c>
      <c r="D1174">
        <v>10</v>
      </c>
      <c r="E1174">
        <v>3</v>
      </c>
      <c r="F1174" t="s">
        <v>29</v>
      </c>
      <c r="G1174">
        <v>3</v>
      </c>
      <c r="H1174">
        <v>3</v>
      </c>
      <c r="I1174" t="s">
        <v>19</v>
      </c>
      <c r="J1174">
        <v>5869</v>
      </c>
      <c r="K1174">
        <v>9</v>
      </c>
      <c r="L1174">
        <v>3</v>
      </c>
      <c r="M1174">
        <v>5</v>
      </c>
      <c r="N1174" t="s">
        <v>25</v>
      </c>
      <c r="O1174" t="s">
        <v>21</v>
      </c>
      <c r="P1174">
        <v>26744093</v>
      </c>
    </row>
    <row r="1175" spans="1:16" ht="14.25" x14ac:dyDescent="0.2">
      <c r="A1175">
        <v>36</v>
      </c>
      <c r="B1175" t="s">
        <v>22</v>
      </c>
      <c r="C1175" t="s">
        <v>23</v>
      </c>
      <c r="D1175">
        <v>5</v>
      </c>
      <c r="E1175">
        <v>4</v>
      </c>
      <c r="F1175" t="s">
        <v>18</v>
      </c>
      <c r="G1175">
        <v>2</v>
      </c>
      <c r="H1175">
        <v>1</v>
      </c>
      <c r="I1175" t="s">
        <v>24</v>
      </c>
      <c r="J1175">
        <v>8008</v>
      </c>
      <c r="K1175">
        <v>4</v>
      </c>
      <c r="L1175">
        <v>3</v>
      </c>
      <c r="M1175">
        <v>3</v>
      </c>
      <c r="N1175" t="s">
        <v>20</v>
      </c>
      <c r="O1175" t="s">
        <v>32</v>
      </c>
      <c r="P1175">
        <v>55113495</v>
      </c>
    </row>
    <row r="1176" spans="1:16" ht="14.25" x14ac:dyDescent="0.2">
      <c r="A1176">
        <v>25</v>
      </c>
      <c r="B1176" t="s">
        <v>22</v>
      </c>
      <c r="C1176" t="s">
        <v>23</v>
      </c>
      <c r="D1176">
        <v>2</v>
      </c>
      <c r="E1176">
        <v>1</v>
      </c>
      <c r="F1176" t="s">
        <v>18</v>
      </c>
      <c r="G1176">
        <v>4</v>
      </c>
      <c r="H1176">
        <v>3</v>
      </c>
      <c r="I1176" t="s">
        <v>30</v>
      </c>
      <c r="J1176">
        <v>5206</v>
      </c>
      <c r="K1176">
        <v>1</v>
      </c>
      <c r="L1176">
        <v>3</v>
      </c>
      <c r="M1176">
        <v>7</v>
      </c>
      <c r="N1176" t="s">
        <v>25</v>
      </c>
      <c r="O1176" t="s">
        <v>31</v>
      </c>
      <c r="P1176">
        <v>66881320</v>
      </c>
    </row>
    <row r="1177" spans="1:16" ht="14.25" x14ac:dyDescent="0.2">
      <c r="A1177">
        <v>39</v>
      </c>
      <c r="B1177" t="s">
        <v>22</v>
      </c>
      <c r="C1177" t="s">
        <v>23</v>
      </c>
      <c r="D1177">
        <v>12</v>
      </c>
      <c r="E1177">
        <v>3</v>
      </c>
      <c r="F1177" t="s">
        <v>29</v>
      </c>
      <c r="G1177">
        <v>4</v>
      </c>
      <c r="H1177">
        <v>2</v>
      </c>
      <c r="I1177" t="s">
        <v>24</v>
      </c>
      <c r="J1177">
        <v>5295</v>
      </c>
      <c r="K1177">
        <v>4</v>
      </c>
      <c r="L1177">
        <v>3</v>
      </c>
      <c r="M1177">
        <v>5</v>
      </c>
      <c r="N1177" t="s">
        <v>25</v>
      </c>
      <c r="O1177" t="s">
        <v>31</v>
      </c>
      <c r="P1177">
        <v>72465504</v>
      </c>
    </row>
    <row r="1178" spans="1:16" ht="14.25" x14ac:dyDescent="0.2">
      <c r="A1178">
        <v>49</v>
      </c>
      <c r="B1178" t="s">
        <v>22</v>
      </c>
      <c r="C1178" t="s">
        <v>23</v>
      </c>
      <c r="D1178">
        <v>22</v>
      </c>
      <c r="E1178">
        <v>4</v>
      </c>
      <c r="F1178" t="s">
        <v>27</v>
      </c>
      <c r="G1178">
        <v>1</v>
      </c>
      <c r="H1178">
        <v>2</v>
      </c>
      <c r="I1178" t="s">
        <v>24</v>
      </c>
      <c r="J1178">
        <v>16413</v>
      </c>
      <c r="K1178">
        <v>3</v>
      </c>
      <c r="L1178">
        <v>3</v>
      </c>
      <c r="M1178">
        <v>4</v>
      </c>
      <c r="N1178" t="s">
        <v>20</v>
      </c>
      <c r="O1178" t="s">
        <v>35</v>
      </c>
      <c r="P1178">
        <v>17238813</v>
      </c>
    </row>
    <row r="1179" spans="1:16" ht="14.25" x14ac:dyDescent="0.2">
      <c r="A1179">
        <v>50</v>
      </c>
      <c r="B1179" t="s">
        <v>22</v>
      </c>
      <c r="C1179" t="s">
        <v>23</v>
      </c>
      <c r="D1179">
        <v>17</v>
      </c>
      <c r="E1179">
        <v>5</v>
      </c>
      <c r="F1179" t="s">
        <v>18</v>
      </c>
      <c r="G1179">
        <v>4</v>
      </c>
      <c r="H1179">
        <v>1</v>
      </c>
      <c r="I1179" t="s">
        <v>30</v>
      </c>
      <c r="J1179">
        <v>13269</v>
      </c>
      <c r="K1179">
        <v>5</v>
      </c>
      <c r="L1179">
        <v>3</v>
      </c>
      <c r="M1179">
        <v>14</v>
      </c>
      <c r="N1179" t="s">
        <v>20</v>
      </c>
      <c r="O1179" t="s">
        <v>35</v>
      </c>
      <c r="P1179">
        <v>23016003</v>
      </c>
    </row>
    <row r="1180" spans="1:16" ht="14.25" x14ac:dyDescent="0.2">
      <c r="A1180">
        <v>20</v>
      </c>
      <c r="B1180" t="s">
        <v>22</v>
      </c>
      <c r="C1180" t="s">
        <v>17</v>
      </c>
      <c r="D1180">
        <v>2</v>
      </c>
      <c r="E1180">
        <v>3</v>
      </c>
      <c r="F1180" t="s">
        <v>29</v>
      </c>
      <c r="G1180">
        <v>3</v>
      </c>
      <c r="H1180">
        <v>3</v>
      </c>
      <c r="I1180" t="s">
        <v>19</v>
      </c>
      <c r="J1180">
        <v>2783</v>
      </c>
      <c r="K1180">
        <v>1</v>
      </c>
      <c r="L1180">
        <v>3</v>
      </c>
      <c r="M1180">
        <v>2</v>
      </c>
      <c r="N1180" t="s">
        <v>20</v>
      </c>
      <c r="O1180" t="s">
        <v>34</v>
      </c>
      <c r="P1180">
        <v>44579368</v>
      </c>
    </row>
    <row r="1181" spans="1:16" ht="14.25" x14ac:dyDescent="0.2">
      <c r="A1181">
        <v>34</v>
      </c>
      <c r="B1181" t="s">
        <v>22</v>
      </c>
      <c r="C1181" t="s">
        <v>23</v>
      </c>
      <c r="D1181">
        <v>3</v>
      </c>
      <c r="E1181">
        <v>3</v>
      </c>
      <c r="F1181" t="s">
        <v>18</v>
      </c>
      <c r="G1181">
        <v>4</v>
      </c>
      <c r="H1181">
        <v>2</v>
      </c>
      <c r="I1181" t="s">
        <v>30</v>
      </c>
      <c r="J1181">
        <v>5433</v>
      </c>
      <c r="K1181">
        <v>1</v>
      </c>
      <c r="L1181">
        <v>3</v>
      </c>
      <c r="M1181">
        <v>11</v>
      </c>
      <c r="N1181" t="s">
        <v>20</v>
      </c>
      <c r="O1181" t="s">
        <v>26</v>
      </c>
      <c r="P1181">
        <v>32540357</v>
      </c>
    </row>
    <row r="1182" spans="1:16" ht="14.25" x14ac:dyDescent="0.2">
      <c r="A1182">
        <v>36</v>
      </c>
      <c r="B1182" t="s">
        <v>22</v>
      </c>
      <c r="C1182" t="s">
        <v>23</v>
      </c>
      <c r="D1182">
        <v>7</v>
      </c>
      <c r="E1182">
        <v>3</v>
      </c>
      <c r="F1182" t="s">
        <v>18</v>
      </c>
      <c r="G1182">
        <v>1</v>
      </c>
      <c r="H1182">
        <v>2</v>
      </c>
      <c r="I1182" t="s">
        <v>19</v>
      </c>
      <c r="J1182">
        <v>2013</v>
      </c>
      <c r="K1182">
        <v>2</v>
      </c>
      <c r="L1182">
        <v>3</v>
      </c>
      <c r="M1182">
        <v>4</v>
      </c>
      <c r="N1182" t="s">
        <v>25</v>
      </c>
      <c r="O1182" t="s">
        <v>28</v>
      </c>
      <c r="P1182">
        <v>32117617</v>
      </c>
    </row>
    <row r="1183" spans="1:16" ht="14.25" x14ac:dyDescent="0.2">
      <c r="A1183">
        <v>49</v>
      </c>
      <c r="B1183" t="s">
        <v>22</v>
      </c>
      <c r="C1183" t="s">
        <v>23</v>
      </c>
      <c r="D1183">
        <v>6</v>
      </c>
      <c r="E1183">
        <v>1</v>
      </c>
      <c r="F1183" t="s">
        <v>18</v>
      </c>
      <c r="G1183">
        <v>3</v>
      </c>
      <c r="H1183">
        <v>3</v>
      </c>
      <c r="I1183" t="s">
        <v>24</v>
      </c>
      <c r="J1183">
        <v>13966</v>
      </c>
      <c r="K1183">
        <v>2</v>
      </c>
      <c r="L1183">
        <v>3</v>
      </c>
      <c r="M1183">
        <v>15</v>
      </c>
      <c r="N1183" t="s">
        <v>20</v>
      </c>
      <c r="O1183" t="s">
        <v>32</v>
      </c>
      <c r="P1183">
        <v>83995052</v>
      </c>
    </row>
    <row r="1184" spans="1:16" ht="14.25" x14ac:dyDescent="0.2">
      <c r="A1184">
        <v>36</v>
      </c>
      <c r="B1184" t="s">
        <v>22</v>
      </c>
      <c r="C1184" t="s">
        <v>23</v>
      </c>
      <c r="D1184">
        <v>1</v>
      </c>
      <c r="E1184">
        <v>4</v>
      </c>
      <c r="F1184" t="s">
        <v>29</v>
      </c>
      <c r="G1184">
        <v>4</v>
      </c>
      <c r="H1184">
        <v>3</v>
      </c>
      <c r="I1184" t="s">
        <v>24</v>
      </c>
      <c r="J1184">
        <v>4374</v>
      </c>
      <c r="K1184">
        <v>0</v>
      </c>
      <c r="L1184">
        <v>3</v>
      </c>
      <c r="M1184">
        <v>3</v>
      </c>
      <c r="N1184" t="s">
        <v>20</v>
      </c>
      <c r="O1184" t="s">
        <v>31</v>
      </c>
      <c r="P1184">
        <v>24106549</v>
      </c>
    </row>
    <row r="1185" spans="1:16" ht="14.25" x14ac:dyDescent="0.2">
      <c r="A1185">
        <v>36</v>
      </c>
      <c r="B1185" t="s">
        <v>22</v>
      </c>
      <c r="C1185" t="s">
        <v>23</v>
      </c>
      <c r="D1185">
        <v>3</v>
      </c>
      <c r="E1185">
        <v>2</v>
      </c>
      <c r="F1185" t="s">
        <v>18</v>
      </c>
      <c r="G1185">
        <v>4</v>
      </c>
      <c r="H1185">
        <v>1</v>
      </c>
      <c r="I1185" t="s">
        <v>30</v>
      </c>
      <c r="J1185">
        <v>6842</v>
      </c>
      <c r="K1185">
        <v>6</v>
      </c>
      <c r="L1185">
        <v>3</v>
      </c>
      <c r="M1185">
        <v>5</v>
      </c>
      <c r="N1185" t="s">
        <v>25</v>
      </c>
      <c r="O1185" t="s">
        <v>32</v>
      </c>
      <c r="P1185">
        <v>89747054</v>
      </c>
    </row>
    <row r="1186" spans="1:16" ht="14.25" x14ac:dyDescent="0.2">
      <c r="A1186">
        <v>54</v>
      </c>
      <c r="B1186" t="s">
        <v>22</v>
      </c>
      <c r="C1186" t="s">
        <v>23</v>
      </c>
      <c r="D1186">
        <v>22</v>
      </c>
      <c r="E1186">
        <v>5</v>
      </c>
      <c r="F1186" t="s">
        <v>29</v>
      </c>
      <c r="G1186">
        <v>2</v>
      </c>
      <c r="H1186">
        <v>3</v>
      </c>
      <c r="I1186" t="s">
        <v>24</v>
      </c>
      <c r="J1186">
        <v>17426</v>
      </c>
      <c r="K1186">
        <v>3</v>
      </c>
      <c r="L1186">
        <v>3</v>
      </c>
      <c r="M1186">
        <v>10</v>
      </c>
      <c r="N1186" t="s">
        <v>20</v>
      </c>
      <c r="O1186" t="s">
        <v>33</v>
      </c>
      <c r="P1186">
        <v>40073869</v>
      </c>
    </row>
    <row r="1187" spans="1:16" ht="14.25" x14ac:dyDescent="0.2">
      <c r="A1187">
        <v>43</v>
      </c>
      <c r="B1187" t="s">
        <v>22</v>
      </c>
      <c r="C1187" t="s">
        <v>23</v>
      </c>
      <c r="D1187">
        <v>15</v>
      </c>
      <c r="E1187">
        <v>2</v>
      </c>
      <c r="F1187" t="s">
        <v>18</v>
      </c>
      <c r="G1187">
        <v>3</v>
      </c>
      <c r="H1187">
        <v>3</v>
      </c>
      <c r="I1187" t="s">
        <v>24</v>
      </c>
      <c r="J1187">
        <v>17603</v>
      </c>
      <c r="K1187">
        <v>1</v>
      </c>
      <c r="L1187">
        <v>3</v>
      </c>
      <c r="M1187">
        <v>14</v>
      </c>
      <c r="N1187" t="s">
        <v>25</v>
      </c>
      <c r="O1187" t="s">
        <v>35</v>
      </c>
      <c r="P1187">
        <v>15554111</v>
      </c>
    </row>
    <row r="1188" spans="1:16" ht="14.25" x14ac:dyDescent="0.2">
      <c r="A1188">
        <v>35</v>
      </c>
      <c r="B1188" t="s">
        <v>16</v>
      </c>
      <c r="C1188" t="s">
        <v>17</v>
      </c>
      <c r="D1188">
        <v>12</v>
      </c>
      <c r="E1188">
        <v>4</v>
      </c>
      <c r="F1188" t="s">
        <v>27</v>
      </c>
      <c r="G1188">
        <v>4</v>
      </c>
      <c r="H1188">
        <v>4</v>
      </c>
      <c r="I1188" t="s">
        <v>19</v>
      </c>
      <c r="J1188">
        <v>4581</v>
      </c>
      <c r="K1188">
        <v>3</v>
      </c>
      <c r="L1188">
        <v>4</v>
      </c>
      <c r="M1188">
        <v>11</v>
      </c>
      <c r="N1188" t="s">
        <v>25</v>
      </c>
      <c r="O1188" t="s">
        <v>21</v>
      </c>
      <c r="P1188">
        <v>82733754</v>
      </c>
    </row>
    <row r="1189" spans="1:16" ht="14.25" x14ac:dyDescent="0.2">
      <c r="A1189">
        <v>38</v>
      </c>
      <c r="B1189" t="s">
        <v>22</v>
      </c>
      <c r="C1189" t="s">
        <v>23</v>
      </c>
      <c r="D1189">
        <v>1</v>
      </c>
      <c r="E1189">
        <v>3</v>
      </c>
      <c r="F1189" t="s">
        <v>18</v>
      </c>
      <c r="G1189">
        <v>4</v>
      </c>
      <c r="H1189">
        <v>4</v>
      </c>
      <c r="I1189" t="s">
        <v>24</v>
      </c>
      <c r="J1189">
        <v>4735</v>
      </c>
      <c r="K1189">
        <v>7</v>
      </c>
      <c r="L1189">
        <v>4</v>
      </c>
      <c r="M1189">
        <v>13</v>
      </c>
      <c r="N1189" t="s">
        <v>25</v>
      </c>
      <c r="O1189" t="s">
        <v>26</v>
      </c>
      <c r="P1189">
        <v>67174144</v>
      </c>
    </row>
    <row r="1190" spans="1:16" ht="14.25" x14ac:dyDescent="0.2">
      <c r="A1190">
        <v>29</v>
      </c>
      <c r="B1190" t="s">
        <v>22</v>
      </c>
      <c r="C1190" t="s">
        <v>17</v>
      </c>
      <c r="D1190">
        <v>5</v>
      </c>
      <c r="E1190">
        <v>3</v>
      </c>
      <c r="F1190" t="s">
        <v>29</v>
      </c>
      <c r="G1190">
        <v>1</v>
      </c>
      <c r="H1190">
        <v>2</v>
      </c>
      <c r="I1190" t="s">
        <v>30</v>
      </c>
      <c r="J1190">
        <v>4187</v>
      </c>
      <c r="K1190">
        <v>1</v>
      </c>
      <c r="L1190">
        <v>2</v>
      </c>
      <c r="M1190">
        <v>10</v>
      </c>
      <c r="N1190" t="s">
        <v>25</v>
      </c>
      <c r="O1190" t="s">
        <v>21</v>
      </c>
      <c r="P1190">
        <v>21976776</v>
      </c>
    </row>
    <row r="1191" spans="1:16" ht="14.25" x14ac:dyDescent="0.2">
      <c r="A1191">
        <v>33</v>
      </c>
      <c r="B1191" t="s">
        <v>22</v>
      </c>
      <c r="C1191" t="s">
        <v>17</v>
      </c>
      <c r="D1191">
        <v>2</v>
      </c>
      <c r="E1191">
        <v>4</v>
      </c>
      <c r="F1191" t="s">
        <v>29</v>
      </c>
      <c r="G1191">
        <v>4</v>
      </c>
      <c r="H1191">
        <v>4</v>
      </c>
      <c r="I1191" t="s">
        <v>30</v>
      </c>
      <c r="J1191">
        <v>5505</v>
      </c>
      <c r="K1191">
        <v>1</v>
      </c>
      <c r="L1191">
        <v>3</v>
      </c>
      <c r="M1191">
        <v>6</v>
      </c>
      <c r="N1191" t="s">
        <v>25</v>
      </c>
      <c r="O1191" t="s">
        <v>21</v>
      </c>
      <c r="P1191">
        <v>74335325</v>
      </c>
    </row>
    <row r="1192" spans="1:16" ht="14.25" x14ac:dyDescent="0.2">
      <c r="A1192">
        <v>32</v>
      </c>
      <c r="B1192" t="s">
        <v>22</v>
      </c>
      <c r="C1192" t="s">
        <v>23</v>
      </c>
      <c r="D1192">
        <v>2</v>
      </c>
      <c r="E1192">
        <v>3</v>
      </c>
      <c r="F1192" t="s">
        <v>29</v>
      </c>
      <c r="G1192">
        <v>4</v>
      </c>
      <c r="H1192">
        <v>2</v>
      </c>
      <c r="I1192" t="s">
        <v>30</v>
      </c>
      <c r="J1192">
        <v>5470</v>
      </c>
      <c r="K1192">
        <v>0</v>
      </c>
      <c r="L1192">
        <v>2</v>
      </c>
      <c r="M1192">
        <v>9</v>
      </c>
      <c r="N1192" t="s">
        <v>25</v>
      </c>
      <c r="O1192" t="s">
        <v>26</v>
      </c>
      <c r="P1192">
        <v>58803058</v>
      </c>
    </row>
    <row r="1193" spans="1:16" ht="14.25" x14ac:dyDescent="0.2">
      <c r="A1193">
        <v>31</v>
      </c>
      <c r="B1193" t="s">
        <v>22</v>
      </c>
      <c r="C1193" t="s">
        <v>17</v>
      </c>
      <c r="D1193">
        <v>5</v>
      </c>
      <c r="E1193">
        <v>4</v>
      </c>
      <c r="F1193" t="s">
        <v>18</v>
      </c>
      <c r="G1193">
        <v>1</v>
      </c>
      <c r="H1193">
        <v>4</v>
      </c>
      <c r="I1193" t="s">
        <v>24</v>
      </c>
      <c r="J1193">
        <v>5476</v>
      </c>
      <c r="K1193">
        <v>1</v>
      </c>
      <c r="L1193">
        <v>3</v>
      </c>
      <c r="M1193">
        <v>10</v>
      </c>
      <c r="N1193" t="s">
        <v>20</v>
      </c>
      <c r="O1193" t="s">
        <v>21</v>
      </c>
      <c r="P1193">
        <v>52141669</v>
      </c>
    </row>
    <row r="1194" spans="1:16" ht="14.25" x14ac:dyDescent="0.2">
      <c r="A1194">
        <v>49</v>
      </c>
      <c r="B1194" t="s">
        <v>22</v>
      </c>
      <c r="C1194" t="s">
        <v>23</v>
      </c>
      <c r="D1194">
        <v>16</v>
      </c>
      <c r="E1194">
        <v>3</v>
      </c>
      <c r="F1194" t="s">
        <v>29</v>
      </c>
      <c r="G1194">
        <v>4</v>
      </c>
      <c r="H1194">
        <v>1</v>
      </c>
      <c r="I1194" t="s">
        <v>30</v>
      </c>
      <c r="J1194">
        <v>2587</v>
      </c>
      <c r="K1194">
        <v>4</v>
      </c>
      <c r="L1194">
        <v>2</v>
      </c>
      <c r="M1194">
        <v>2</v>
      </c>
      <c r="N1194" t="s">
        <v>20</v>
      </c>
      <c r="O1194" t="s">
        <v>28</v>
      </c>
      <c r="P1194">
        <v>84898696</v>
      </c>
    </row>
    <row r="1195" spans="1:16" ht="14.25" x14ac:dyDescent="0.2">
      <c r="A1195">
        <v>38</v>
      </c>
      <c r="B1195" t="s">
        <v>22</v>
      </c>
      <c r="C1195" t="s">
        <v>23</v>
      </c>
      <c r="D1195">
        <v>2</v>
      </c>
      <c r="E1195">
        <v>3</v>
      </c>
      <c r="F1195" t="s">
        <v>29</v>
      </c>
      <c r="G1195">
        <v>4</v>
      </c>
      <c r="H1195">
        <v>2</v>
      </c>
      <c r="I1195" t="s">
        <v>19</v>
      </c>
      <c r="J1195">
        <v>2440</v>
      </c>
      <c r="K1195">
        <v>1</v>
      </c>
      <c r="L1195">
        <v>3</v>
      </c>
      <c r="M1195">
        <v>4</v>
      </c>
      <c r="N1195" t="s">
        <v>20</v>
      </c>
      <c r="O1195" t="s">
        <v>28</v>
      </c>
      <c r="P1195">
        <v>77122209</v>
      </c>
    </row>
    <row r="1196" spans="1:16" ht="14.25" x14ac:dyDescent="0.2">
      <c r="A1196">
        <v>47</v>
      </c>
      <c r="B1196" t="s">
        <v>22</v>
      </c>
      <c r="C1196" t="s">
        <v>17</v>
      </c>
      <c r="D1196">
        <v>2</v>
      </c>
      <c r="E1196">
        <v>4</v>
      </c>
      <c r="F1196" t="s">
        <v>18</v>
      </c>
      <c r="G1196">
        <v>2</v>
      </c>
      <c r="H1196">
        <v>2</v>
      </c>
      <c r="I1196" t="s">
        <v>30</v>
      </c>
      <c r="J1196">
        <v>15972</v>
      </c>
      <c r="K1196">
        <v>6</v>
      </c>
      <c r="L1196">
        <v>3</v>
      </c>
      <c r="M1196">
        <v>3</v>
      </c>
      <c r="N1196" t="s">
        <v>20</v>
      </c>
      <c r="O1196" t="s">
        <v>33</v>
      </c>
      <c r="P1196">
        <v>70568573</v>
      </c>
    </row>
    <row r="1197" spans="1:16" ht="14.25" x14ac:dyDescent="0.2">
      <c r="A1197">
        <v>49</v>
      </c>
      <c r="B1197" t="s">
        <v>22</v>
      </c>
      <c r="C1197" t="s">
        <v>23</v>
      </c>
      <c r="D1197">
        <v>1</v>
      </c>
      <c r="E1197">
        <v>3</v>
      </c>
      <c r="F1197" t="s">
        <v>18</v>
      </c>
      <c r="G1197">
        <v>3</v>
      </c>
      <c r="H1197">
        <v>3</v>
      </c>
      <c r="I1197" t="s">
        <v>19</v>
      </c>
      <c r="J1197">
        <v>15379</v>
      </c>
      <c r="K1197">
        <v>4</v>
      </c>
      <c r="L1197">
        <v>3</v>
      </c>
      <c r="M1197">
        <v>8</v>
      </c>
      <c r="N1197" t="s">
        <v>25</v>
      </c>
      <c r="O1197" t="s">
        <v>33</v>
      </c>
      <c r="P1197">
        <v>63361015</v>
      </c>
    </row>
    <row r="1198" spans="1:16" ht="14.25" x14ac:dyDescent="0.2">
      <c r="A1198">
        <v>41</v>
      </c>
      <c r="B1198" t="s">
        <v>22</v>
      </c>
      <c r="C1198" t="s">
        <v>17</v>
      </c>
      <c r="D1198">
        <v>23</v>
      </c>
      <c r="E1198">
        <v>2</v>
      </c>
      <c r="F1198" t="s">
        <v>18</v>
      </c>
      <c r="G1198">
        <v>4</v>
      </c>
      <c r="H1198">
        <v>3</v>
      </c>
      <c r="I1198" t="s">
        <v>19</v>
      </c>
      <c r="J1198">
        <v>7082</v>
      </c>
      <c r="K1198">
        <v>3</v>
      </c>
      <c r="L1198">
        <v>3</v>
      </c>
      <c r="M1198">
        <v>2</v>
      </c>
      <c r="N1198" t="s">
        <v>25</v>
      </c>
      <c r="O1198" t="s">
        <v>21</v>
      </c>
      <c r="P1198">
        <v>82638834</v>
      </c>
    </row>
    <row r="1199" spans="1:16" ht="14.25" x14ac:dyDescent="0.2">
      <c r="A1199">
        <v>20</v>
      </c>
      <c r="B1199" t="s">
        <v>22</v>
      </c>
      <c r="C1199" t="s">
        <v>17</v>
      </c>
      <c r="D1199">
        <v>9</v>
      </c>
      <c r="E1199">
        <v>1</v>
      </c>
      <c r="F1199" t="s">
        <v>18</v>
      </c>
      <c r="G1199">
        <v>4</v>
      </c>
      <c r="H1199">
        <v>1</v>
      </c>
      <c r="I1199" t="s">
        <v>19</v>
      </c>
      <c r="J1199">
        <v>2728</v>
      </c>
      <c r="K1199">
        <v>1</v>
      </c>
      <c r="L1199">
        <v>3</v>
      </c>
      <c r="M1199">
        <v>2</v>
      </c>
      <c r="N1199" t="s">
        <v>25</v>
      </c>
      <c r="O1199" t="s">
        <v>34</v>
      </c>
      <c r="P1199">
        <v>44473018</v>
      </c>
    </row>
    <row r="1200" spans="1:16" ht="14.25" x14ac:dyDescent="0.2">
      <c r="A1200">
        <v>33</v>
      </c>
      <c r="B1200" t="s">
        <v>22</v>
      </c>
      <c r="C1200" t="s">
        <v>17</v>
      </c>
      <c r="D1200">
        <v>16</v>
      </c>
      <c r="E1200">
        <v>3</v>
      </c>
      <c r="F1200" t="s">
        <v>18</v>
      </c>
      <c r="G1200">
        <v>3</v>
      </c>
      <c r="H1200">
        <v>4</v>
      </c>
      <c r="I1200" t="s">
        <v>30</v>
      </c>
      <c r="J1200">
        <v>5368</v>
      </c>
      <c r="K1200">
        <v>1</v>
      </c>
      <c r="L1200">
        <v>3</v>
      </c>
      <c r="M1200">
        <v>6</v>
      </c>
      <c r="N1200" t="s">
        <v>20</v>
      </c>
      <c r="O1200" t="s">
        <v>21</v>
      </c>
      <c r="P1200">
        <v>38452887</v>
      </c>
    </row>
    <row r="1201" spans="1:16" ht="14.25" x14ac:dyDescent="0.2">
      <c r="A1201">
        <v>36</v>
      </c>
      <c r="B1201" t="s">
        <v>22</v>
      </c>
      <c r="C1201" t="s">
        <v>23</v>
      </c>
      <c r="D1201">
        <v>26</v>
      </c>
      <c r="E1201">
        <v>4</v>
      </c>
      <c r="F1201" t="s">
        <v>18</v>
      </c>
      <c r="G1201">
        <v>1</v>
      </c>
      <c r="H1201">
        <v>3</v>
      </c>
      <c r="I1201" t="s">
        <v>24</v>
      </c>
      <c r="J1201">
        <v>5347</v>
      </c>
      <c r="K1201">
        <v>6</v>
      </c>
      <c r="L1201">
        <v>2</v>
      </c>
      <c r="M1201">
        <v>3</v>
      </c>
      <c r="N1201" t="s">
        <v>25</v>
      </c>
      <c r="O1201" t="s">
        <v>32</v>
      </c>
      <c r="P1201">
        <v>50086558</v>
      </c>
    </row>
    <row r="1202" spans="1:16" ht="14.25" x14ac:dyDescent="0.2">
      <c r="A1202">
        <v>44</v>
      </c>
      <c r="B1202" t="s">
        <v>22</v>
      </c>
      <c r="C1202" t="s">
        <v>38</v>
      </c>
      <c r="D1202">
        <v>1</v>
      </c>
      <c r="E1202">
        <v>3</v>
      </c>
      <c r="F1202" t="s">
        <v>18</v>
      </c>
      <c r="G1202">
        <v>3</v>
      </c>
      <c r="H1202">
        <v>4</v>
      </c>
      <c r="I1202" t="s">
        <v>30</v>
      </c>
      <c r="J1202">
        <v>3195</v>
      </c>
      <c r="K1202">
        <v>4</v>
      </c>
      <c r="L1202">
        <v>3</v>
      </c>
      <c r="M1202">
        <v>2</v>
      </c>
      <c r="N1202" t="s">
        <v>20</v>
      </c>
      <c r="O1202" t="s">
        <v>38</v>
      </c>
      <c r="P1202">
        <v>81418791</v>
      </c>
    </row>
    <row r="1203" spans="1:16" ht="14.25" x14ac:dyDescent="0.2">
      <c r="A1203">
        <v>23</v>
      </c>
      <c r="B1203" t="s">
        <v>16</v>
      </c>
      <c r="C1203" t="s">
        <v>23</v>
      </c>
      <c r="D1203">
        <v>8</v>
      </c>
      <c r="E1203">
        <v>1</v>
      </c>
      <c r="F1203" t="s">
        <v>29</v>
      </c>
      <c r="G1203">
        <v>4</v>
      </c>
      <c r="H1203">
        <v>3</v>
      </c>
      <c r="I1203" t="s">
        <v>19</v>
      </c>
      <c r="J1203">
        <v>3989</v>
      </c>
      <c r="K1203">
        <v>1</v>
      </c>
      <c r="L1203">
        <v>3</v>
      </c>
      <c r="M1203">
        <v>5</v>
      </c>
      <c r="N1203" t="s">
        <v>25</v>
      </c>
      <c r="O1203" t="s">
        <v>28</v>
      </c>
      <c r="P1203">
        <v>23195007</v>
      </c>
    </row>
    <row r="1204" spans="1:16" ht="14.25" x14ac:dyDescent="0.2">
      <c r="A1204">
        <v>38</v>
      </c>
      <c r="B1204" t="s">
        <v>22</v>
      </c>
      <c r="C1204" t="s">
        <v>23</v>
      </c>
      <c r="D1204">
        <v>4</v>
      </c>
      <c r="E1204">
        <v>2</v>
      </c>
      <c r="F1204" t="s">
        <v>29</v>
      </c>
      <c r="G1204">
        <v>4</v>
      </c>
      <c r="H1204">
        <v>3</v>
      </c>
      <c r="I1204" t="s">
        <v>24</v>
      </c>
      <c r="J1204">
        <v>3306</v>
      </c>
      <c r="K1204">
        <v>7</v>
      </c>
      <c r="L1204">
        <v>2</v>
      </c>
      <c r="M1204">
        <v>0</v>
      </c>
      <c r="N1204" t="s">
        <v>20</v>
      </c>
      <c r="O1204" t="s">
        <v>28</v>
      </c>
      <c r="P1204">
        <v>34522899</v>
      </c>
    </row>
    <row r="1205" spans="1:16" ht="14.25" x14ac:dyDescent="0.2">
      <c r="A1205">
        <v>53</v>
      </c>
      <c r="B1205" t="s">
        <v>22</v>
      </c>
      <c r="C1205" t="s">
        <v>23</v>
      </c>
      <c r="D1205">
        <v>24</v>
      </c>
      <c r="E1205">
        <v>4</v>
      </c>
      <c r="F1205" t="s">
        <v>29</v>
      </c>
      <c r="G1205">
        <v>2</v>
      </c>
      <c r="H1205">
        <v>4</v>
      </c>
      <c r="I1205" t="s">
        <v>24</v>
      </c>
      <c r="J1205">
        <v>7005</v>
      </c>
      <c r="K1205">
        <v>3</v>
      </c>
      <c r="L1205">
        <v>3</v>
      </c>
      <c r="M1205">
        <v>4</v>
      </c>
      <c r="N1205" t="s">
        <v>25</v>
      </c>
      <c r="O1205" t="s">
        <v>32</v>
      </c>
      <c r="P1205">
        <v>57355680</v>
      </c>
    </row>
    <row r="1206" spans="1:16" ht="14.25" x14ac:dyDescent="0.2">
      <c r="A1206">
        <v>48</v>
      </c>
      <c r="B1206" t="s">
        <v>16</v>
      </c>
      <c r="C1206" t="s">
        <v>17</v>
      </c>
      <c r="D1206">
        <v>7</v>
      </c>
      <c r="E1206">
        <v>2</v>
      </c>
      <c r="F1206" t="s">
        <v>29</v>
      </c>
      <c r="G1206">
        <v>4</v>
      </c>
      <c r="H1206">
        <v>3</v>
      </c>
      <c r="I1206" t="s">
        <v>24</v>
      </c>
      <c r="J1206">
        <v>2655</v>
      </c>
      <c r="K1206">
        <v>2</v>
      </c>
      <c r="L1206">
        <v>3</v>
      </c>
      <c r="M1206">
        <v>9</v>
      </c>
      <c r="N1206" t="s">
        <v>20</v>
      </c>
      <c r="O1206" t="s">
        <v>34</v>
      </c>
      <c r="P1206">
        <v>27007460</v>
      </c>
    </row>
    <row r="1207" spans="1:16" ht="14.25" x14ac:dyDescent="0.2">
      <c r="A1207">
        <v>32</v>
      </c>
      <c r="B1207" t="s">
        <v>16</v>
      </c>
      <c r="C1207" t="s">
        <v>23</v>
      </c>
      <c r="D1207">
        <v>2</v>
      </c>
      <c r="E1207">
        <v>4</v>
      </c>
      <c r="F1207" t="s">
        <v>18</v>
      </c>
      <c r="G1207">
        <v>4</v>
      </c>
      <c r="H1207">
        <v>2</v>
      </c>
      <c r="I1207" t="s">
        <v>19</v>
      </c>
      <c r="J1207">
        <v>1393</v>
      </c>
      <c r="K1207">
        <v>1</v>
      </c>
      <c r="L1207">
        <v>3</v>
      </c>
      <c r="M1207">
        <v>1</v>
      </c>
      <c r="N1207" t="s">
        <v>25</v>
      </c>
      <c r="O1207" t="s">
        <v>28</v>
      </c>
      <c r="P1207">
        <v>51455504</v>
      </c>
    </row>
    <row r="1208" spans="1:16" ht="14.25" x14ac:dyDescent="0.2">
      <c r="A1208">
        <v>26</v>
      </c>
      <c r="B1208" t="s">
        <v>22</v>
      </c>
      <c r="C1208" t="s">
        <v>23</v>
      </c>
      <c r="D1208">
        <v>7</v>
      </c>
      <c r="E1208">
        <v>3</v>
      </c>
      <c r="F1208" t="s">
        <v>29</v>
      </c>
      <c r="G1208">
        <v>4</v>
      </c>
      <c r="H1208">
        <v>4</v>
      </c>
      <c r="I1208" t="s">
        <v>19</v>
      </c>
      <c r="J1208">
        <v>2570</v>
      </c>
      <c r="K1208">
        <v>1</v>
      </c>
      <c r="L1208">
        <v>3</v>
      </c>
      <c r="M1208">
        <v>7</v>
      </c>
      <c r="N1208" t="s">
        <v>25</v>
      </c>
      <c r="O1208" t="s">
        <v>28</v>
      </c>
      <c r="P1208">
        <v>75729004</v>
      </c>
    </row>
    <row r="1209" spans="1:16" ht="14.25" x14ac:dyDescent="0.2">
      <c r="A1209">
        <v>55</v>
      </c>
      <c r="B1209" t="s">
        <v>22</v>
      </c>
      <c r="C1209" t="s">
        <v>23</v>
      </c>
      <c r="D1209">
        <v>22</v>
      </c>
      <c r="E1209">
        <v>3</v>
      </c>
      <c r="F1209" t="s">
        <v>37</v>
      </c>
      <c r="G1209">
        <v>1</v>
      </c>
      <c r="H1209">
        <v>2</v>
      </c>
      <c r="I1209" t="s">
        <v>30</v>
      </c>
      <c r="J1209">
        <v>3537</v>
      </c>
      <c r="K1209">
        <v>5</v>
      </c>
      <c r="L1209">
        <v>3</v>
      </c>
      <c r="M1209">
        <v>4</v>
      </c>
      <c r="N1209" t="s">
        <v>25</v>
      </c>
      <c r="O1209" t="s">
        <v>26</v>
      </c>
      <c r="P1209">
        <v>49439375</v>
      </c>
    </row>
    <row r="1210" spans="1:16" ht="14.25" x14ac:dyDescent="0.2">
      <c r="A1210">
        <v>34</v>
      </c>
      <c r="B1210" t="s">
        <v>22</v>
      </c>
      <c r="C1210" t="s">
        <v>23</v>
      </c>
      <c r="D1210">
        <v>5</v>
      </c>
      <c r="E1210">
        <v>2</v>
      </c>
      <c r="F1210" t="s">
        <v>29</v>
      </c>
      <c r="G1210">
        <v>2</v>
      </c>
      <c r="H1210">
        <v>4</v>
      </c>
      <c r="I1210" t="s">
        <v>24</v>
      </c>
      <c r="J1210">
        <v>3986</v>
      </c>
      <c r="K1210">
        <v>1</v>
      </c>
      <c r="L1210">
        <v>4</v>
      </c>
      <c r="M1210">
        <v>15</v>
      </c>
      <c r="N1210" t="s">
        <v>25</v>
      </c>
      <c r="O1210" t="s">
        <v>28</v>
      </c>
      <c r="P1210">
        <v>59983964</v>
      </c>
    </row>
    <row r="1211" spans="1:16" ht="14.25" x14ac:dyDescent="0.2">
      <c r="A1211">
        <v>60</v>
      </c>
      <c r="B1211" t="s">
        <v>22</v>
      </c>
      <c r="C1211" t="s">
        <v>23</v>
      </c>
      <c r="D1211">
        <v>1</v>
      </c>
      <c r="E1211">
        <v>4</v>
      </c>
      <c r="F1211" t="s">
        <v>29</v>
      </c>
      <c r="G1211">
        <v>3</v>
      </c>
      <c r="H1211">
        <v>4</v>
      </c>
      <c r="I1211" t="s">
        <v>30</v>
      </c>
      <c r="J1211">
        <v>10883</v>
      </c>
      <c r="K1211">
        <v>3</v>
      </c>
      <c r="L1211">
        <v>4</v>
      </c>
      <c r="M1211">
        <v>1</v>
      </c>
      <c r="N1211" t="s">
        <v>25</v>
      </c>
      <c r="O1211" t="s">
        <v>32</v>
      </c>
      <c r="P1211">
        <v>51679989</v>
      </c>
    </row>
    <row r="1212" spans="1:16" ht="14.25" x14ac:dyDescent="0.2">
      <c r="A1212">
        <v>33</v>
      </c>
      <c r="B1212" t="s">
        <v>22</v>
      </c>
      <c r="C1212" t="s">
        <v>23</v>
      </c>
      <c r="D1212">
        <v>21</v>
      </c>
      <c r="E1212">
        <v>3</v>
      </c>
      <c r="F1212" t="s">
        <v>29</v>
      </c>
      <c r="G1212">
        <v>2</v>
      </c>
      <c r="H1212">
        <v>2</v>
      </c>
      <c r="I1212" t="s">
        <v>24</v>
      </c>
      <c r="J1212">
        <v>2028</v>
      </c>
      <c r="K1212">
        <v>1</v>
      </c>
      <c r="L1212">
        <v>3</v>
      </c>
      <c r="M1212">
        <v>14</v>
      </c>
      <c r="N1212" t="s">
        <v>25</v>
      </c>
      <c r="O1212" t="s">
        <v>28</v>
      </c>
      <c r="P1212">
        <v>10275434</v>
      </c>
    </row>
    <row r="1213" spans="1:16" ht="14.25" x14ac:dyDescent="0.2">
      <c r="A1213">
        <v>37</v>
      </c>
      <c r="B1213" t="s">
        <v>22</v>
      </c>
      <c r="C1213" t="s">
        <v>17</v>
      </c>
      <c r="D1213">
        <v>1</v>
      </c>
      <c r="E1213">
        <v>4</v>
      </c>
      <c r="F1213" t="s">
        <v>29</v>
      </c>
      <c r="G1213">
        <v>3</v>
      </c>
      <c r="H1213">
        <v>4</v>
      </c>
      <c r="I1213" t="s">
        <v>30</v>
      </c>
      <c r="J1213">
        <v>9525</v>
      </c>
      <c r="K1213">
        <v>1</v>
      </c>
      <c r="L1213">
        <v>2</v>
      </c>
      <c r="M1213">
        <v>6</v>
      </c>
      <c r="N1213" t="s">
        <v>25</v>
      </c>
      <c r="O1213" t="s">
        <v>21</v>
      </c>
      <c r="P1213">
        <v>17778780</v>
      </c>
    </row>
    <row r="1214" spans="1:16" ht="14.25" x14ac:dyDescent="0.2">
      <c r="A1214">
        <v>34</v>
      </c>
      <c r="B1214" t="s">
        <v>22</v>
      </c>
      <c r="C1214" t="s">
        <v>23</v>
      </c>
      <c r="D1214">
        <v>19</v>
      </c>
      <c r="E1214">
        <v>3</v>
      </c>
      <c r="F1214" t="s">
        <v>18</v>
      </c>
      <c r="G1214">
        <v>2</v>
      </c>
      <c r="H1214">
        <v>4</v>
      </c>
      <c r="I1214" t="s">
        <v>24</v>
      </c>
      <c r="J1214">
        <v>2929</v>
      </c>
      <c r="K1214">
        <v>1</v>
      </c>
      <c r="L1214">
        <v>3</v>
      </c>
      <c r="M1214">
        <v>10</v>
      </c>
      <c r="N1214" t="s">
        <v>20</v>
      </c>
      <c r="O1214" t="s">
        <v>26</v>
      </c>
      <c r="P1214">
        <v>65866576</v>
      </c>
    </row>
    <row r="1215" spans="1:16" ht="14.25" x14ac:dyDescent="0.2">
      <c r="A1215">
        <v>23</v>
      </c>
      <c r="B1215" t="s">
        <v>16</v>
      </c>
      <c r="C1215" t="s">
        <v>17</v>
      </c>
      <c r="D1215">
        <v>7</v>
      </c>
      <c r="E1215">
        <v>3</v>
      </c>
      <c r="F1215" t="s">
        <v>18</v>
      </c>
      <c r="G1215">
        <v>3</v>
      </c>
      <c r="H1215">
        <v>4</v>
      </c>
      <c r="I1215" t="s">
        <v>30</v>
      </c>
      <c r="J1215">
        <v>2275</v>
      </c>
      <c r="K1215">
        <v>1</v>
      </c>
      <c r="L1215">
        <v>3</v>
      </c>
      <c r="M1215">
        <v>3</v>
      </c>
      <c r="N1215" t="s">
        <v>25</v>
      </c>
      <c r="O1215" t="s">
        <v>34</v>
      </c>
      <c r="P1215">
        <v>26706440</v>
      </c>
    </row>
    <row r="1216" spans="1:16" ht="14.25" x14ac:dyDescent="0.2">
      <c r="A1216">
        <v>44</v>
      </c>
      <c r="B1216" t="s">
        <v>22</v>
      </c>
      <c r="C1216" t="s">
        <v>23</v>
      </c>
      <c r="D1216">
        <v>2</v>
      </c>
      <c r="E1216">
        <v>3</v>
      </c>
      <c r="F1216" t="s">
        <v>18</v>
      </c>
      <c r="G1216">
        <v>3</v>
      </c>
      <c r="H1216">
        <v>4</v>
      </c>
      <c r="I1216" t="s">
        <v>24</v>
      </c>
      <c r="J1216">
        <v>7879</v>
      </c>
      <c r="K1216">
        <v>1</v>
      </c>
      <c r="L1216">
        <v>3</v>
      </c>
      <c r="M1216">
        <v>8</v>
      </c>
      <c r="N1216" t="s">
        <v>20</v>
      </c>
      <c r="O1216" t="s">
        <v>32</v>
      </c>
      <c r="P1216">
        <v>72577699</v>
      </c>
    </row>
    <row r="1217" spans="1:16" ht="14.25" x14ac:dyDescent="0.2">
      <c r="A1217">
        <v>35</v>
      </c>
      <c r="B1217" t="s">
        <v>22</v>
      </c>
      <c r="C1217" t="s">
        <v>23</v>
      </c>
      <c r="D1217">
        <v>2</v>
      </c>
      <c r="E1217">
        <v>4</v>
      </c>
      <c r="F1217" t="s">
        <v>29</v>
      </c>
      <c r="G1217">
        <v>1</v>
      </c>
      <c r="H1217">
        <v>4</v>
      </c>
      <c r="I1217" t="s">
        <v>19</v>
      </c>
      <c r="J1217">
        <v>4930</v>
      </c>
      <c r="K1217">
        <v>0</v>
      </c>
      <c r="L1217">
        <v>4</v>
      </c>
      <c r="M1217">
        <v>5</v>
      </c>
      <c r="N1217" t="s">
        <v>25</v>
      </c>
      <c r="O1217" t="s">
        <v>26</v>
      </c>
      <c r="P1217">
        <v>86927284</v>
      </c>
    </row>
    <row r="1218" spans="1:16" ht="14.25" x14ac:dyDescent="0.2">
      <c r="A1218">
        <v>43</v>
      </c>
      <c r="B1218" t="s">
        <v>22</v>
      </c>
      <c r="C1218" t="s">
        <v>17</v>
      </c>
      <c r="D1218">
        <v>2</v>
      </c>
      <c r="E1218">
        <v>3</v>
      </c>
      <c r="F1218" t="s">
        <v>29</v>
      </c>
      <c r="G1218">
        <v>4</v>
      </c>
      <c r="H1218">
        <v>4</v>
      </c>
      <c r="I1218" t="s">
        <v>24</v>
      </c>
      <c r="J1218">
        <v>7847</v>
      </c>
      <c r="K1218">
        <v>1</v>
      </c>
      <c r="L1218">
        <v>3</v>
      </c>
      <c r="M1218">
        <v>10</v>
      </c>
      <c r="N1218" t="s">
        <v>25</v>
      </c>
      <c r="O1218" t="s">
        <v>21</v>
      </c>
      <c r="P1218">
        <v>46541321</v>
      </c>
    </row>
    <row r="1219" spans="1:16" ht="14.25" x14ac:dyDescent="0.2">
      <c r="A1219">
        <v>24</v>
      </c>
      <c r="B1219" t="s">
        <v>22</v>
      </c>
      <c r="C1219" t="s">
        <v>23</v>
      </c>
      <c r="D1219">
        <v>9</v>
      </c>
      <c r="E1219">
        <v>3</v>
      </c>
      <c r="F1219" t="s">
        <v>29</v>
      </c>
      <c r="G1219">
        <v>3</v>
      </c>
      <c r="H1219">
        <v>3</v>
      </c>
      <c r="I1219" t="s">
        <v>24</v>
      </c>
      <c r="J1219">
        <v>4401</v>
      </c>
      <c r="K1219">
        <v>1</v>
      </c>
      <c r="L1219">
        <v>3</v>
      </c>
      <c r="M1219">
        <v>5</v>
      </c>
      <c r="N1219" t="s">
        <v>25</v>
      </c>
      <c r="O1219" t="s">
        <v>26</v>
      </c>
      <c r="P1219">
        <v>30696756</v>
      </c>
    </row>
    <row r="1220" spans="1:16" ht="14.25" x14ac:dyDescent="0.2">
      <c r="A1220">
        <v>41</v>
      </c>
      <c r="B1220" t="s">
        <v>22</v>
      </c>
      <c r="C1220" t="s">
        <v>17</v>
      </c>
      <c r="D1220">
        <v>6</v>
      </c>
      <c r="E1220">
        <v>3</v>
      </c>
      <c r="F1220" t="s">
        <v>36</v>
      </c>
      <c r="G1220">
        <v>4</v>
      </c>
      <c r="H1220">
        <v>3</v>
      </c>
      <c r="I1220" t="s">
        <v>19</v>
      </c>
      <c r="J1220">
        <v>9241</v>
      </c>
      <c r="K1220">
        <v>1</v>
      </c>
      <c r="L1220">
        <v>3</v>
      </c>
      <c r="M1220">
        <v>10</v>
      </c>
      <c r="N1220" t="s">
        <v>25</v>
      </c>
      <c r="O1220" t="s">
        <v>21</v>
      </c>
      <c r="P1220">
        <v>12281953</v>
      </c>
    </row>
    <row r="1221" spans="1:16" ht="14.25" x14ac:dyDescent="0.2">
      <c r="A1221">
        <v>29</v>
      </c>
      <c r="B1221" t="s">
        <v>22</v>
      </c>
      <c r="C1221" t="s">
        <v>23</v>
      </c>
      <c r="D1221">
        <v>9</v>
      </c>
      <c r="E1221">
        <v>4</v>
      </c>
      <c r="F1221" t="s">
        <v>29</v>
      </c>
      <c r="G1221">
        <v>4</v>
      </c>
      <c r="H1221">
        <v>3</v>
      </c>
      <c r="I1221" t="s">
        <v>24</v>
      </c>
      <c r="J1221">
        <v>2974</v>
      </c>
      <c r="K1221">
        <v>9</v>
      </c>
      <c r="L1221">
        <v>3</v>
      </c>
      <c r="M1221">
        <v>5</v>
      </c>
      <c r="N1221" t="s">
        <v>20</v>
      </c>
      <c r="O1221" t="s">
        <v>28</v>
      </c>
      <c r="P1221">
        <v>86281214</v>
      </c>
    </row>
    <row r="1222" spans="1:16" ht="14.25" x14ac:dyDescent="0.2">
      <c r="A1222">
        <v>36</v>
      </c>
      <c r="B1222" t="s">
        <v>22</v>
      </c>
      <c r="C1222" t="s">
        <v>17</v>
      </c>
      <c r="D1222">
        <v>2</v>
      </c>
      <c r="E1222">
        <v>4</v>
      </c>
      <c r="F1222" t="s">
        <v>18</v>
      </c>
      <c r="G1222">
        <v>3</v>
      </c>
      <c r="H1222">
        <v>4</v>
      </c>
      <c r="I1222" t="s">
        <v>19</v>
      </c>
      <c r="J1222">
        <v>4502</v>
      </c>
      <c r="K1222">
        <v>3</v>
      </c>
      <c r="L1222">
        <v>2</v>
      </c>
      <c r="M1222">
        <v>13</v>
      </c>
      <c r="N1222" t="s">
        <v>20</v>
      </c>
      <c r="O1222" t="s">
        <v>34</v>
      </c>
      <c r="P1222">
        <v>60428429</v>
      </c>
    </row>
    <row r="1223" spans="1:16" ht="14.25" x14ac:dyDescent="0.2">
      <c r="A1223">
        <v>45</v>
      </c>
      <c r="B1223" t="s">
        <v>22</v>
      </c>
      <c r="C1223" t="s">
        <v>23</v>
      </c>
      <c r="D1223">
        <v>1</v>
      </c>
      <c r="E1223">
        <v>1</v>
      </c>
      <c r="F1223" t="s">
        <v>18</v>
      </c>
      <c r="G1223">
        <v>3</v>
      </c>
      <c r="H1223">
        <v>3</v>
      </c>
      <c r="I1223" t="s">
        <v>24</v>
      </c>
      <c r="J1223">
        <v>10748</v>
      </c>
      <c r="K1223">
        <v>3</v>
      </c>
      <c r="L1223">
        <v>2</v>
      </c>
      <c r="M1223">
        <v>23</v>
      </c>
      <c r="N1223" t="s">
        <v>25</v>
      </c>
      <c r="O1223" t="s">
        <v>32</v>
      </c>
      <c r="P1223">
        <v>37230566</v>
      </c>
    </row>
    <row r="1224" spans="1:16" ht="14.25" x14ac:dyDescent="0.2">
      <c r="A1224">
        <v>24</v>
      </c>
      <c r="B1224" t="s">
        <v>16</v>
      </c>
      <c r="C1224" t="s">
        <v>38</v>
      </c>
      <c r="D1224">
        <v>22</v>
      </c>
      <c r="E1224">
        <v>1</v>
      </c>
      <c r="F1224" t="s">
        <v>38</v>
      </c>
      <c r="G1224">
        <v>4</v>
      </c>
      <c r="H1224">
        <v>3</v>
      </c>
      <c r="I1224" t="s">
        <v>24</v>
      </c>
      <c r="J1224">
        <v>1555</v>
      </c>
      <c r="K1224">
        <v>1</v>
      </c>
      <c r="L1224">
        <v>3</v>
      </c>
      <c r="M1224">
        <v>1</v>
      </c>
      <c r="N1224" t="s">
        <v>25</v>
      </c>
      <c r="O1224" t="s">
        <v>38</v>
      </c>
      <c r="P1224">
        <v>73968184</v>
      </c>
    </row>
    <row r="1225" spans="1:16" ht="14.25" x14ac:dyDescent="0.2">
      <c r="A1225">
        <v>47</v>
      </c>
      <c r="B1225" t="s">
        <v>16</v>
      </c>
      <c r="C1225" t="s">
        <v>17</v>
      </c>
      <c r="D1225">
        <v>9</v>
      </c>
      <c r="E1225">
        <v>3</v>
      </c>
      <c r="F1225" t="s">
        <v>18</v>
      </c>
      <c r="G1225">
        <v>3</v>
      </c>
      <c r="H1225">
        <v>3</v>
      </c>
      <c r="I1225" t="s">
        <v>24</v>
      </c>
      <c r="J1225">
        <v>12936</v>
      </c>
      <c r="K1225">
        <v>7</v>
      </c>
      <c r="L1225">
        <v>1</v>
      </c>
      <c r="M1225">
        <v>23</v>
      </c>
      <c r="N1225" t="s">
        <v>25</v>
      </c>
      <c r="O1225" t="s">
        <v>21</v>
      </c>
      <c r="P1225">
        <v>43907913</v>
      </c>
    </row>
    <row r="1226" spans="1:16" ht="14.25" x14ac:dyDescent="0.2">
      <c r="A1226">
        <v>26</v>
      </c>
      <c r="B1226" t="s">
        <v>22</v>
      </c>
      <c r="C1226" t="s">
        <v>23</v>
      </c>
      <c r="D1226">
        <v>17</v>
      </c>
      <c r="E1226">
        <v>4</v>
      </c>
      <c r="F1226" t="s">
        <v>29</v>
      </c>
      <c r="G1226">
        <v>4</v>
      </c>
      <c r="H1226">
        <v>3</v>
      </c>
      <c r="I1226" t="s">
        <v>24</v>
      </c>
      <c r="J1226">
        <v>2305</v>
      </c>
      <c r="K1226">
        <v>1</v>
      </c>
      <c r="L1226">
        <v>4</v>
      </c>
      <c r="M1226">
        <v>3</v>
      </c>
      <c r="N1226" t="s">
        <v>25</v>
      </c>
      <c r="O1226" t="s">
        <v>28</v>
      </c>
      <c r="P1226">
        <v>17277496</v>
      </c>
    </row>
    <row r="1227" spans="1:16" ht="14.25" x14ac:dyDescent="0.2">
      <c r="A1227">
        <v>45</v>
      </c>
      <c r="B1227" t="s">
        <v>22</v>
      </c>
      <c r="C1227" t="s">
        <v>23</v>
      </c>
      <c r="D1227">
        <v>28</v>
      </c>
      <c r="E1227">
        <v>2</v>
      </c>
      <c r="F1227" t="s">
        <v>37</v>
      </c>
      <c r="G1227">
        <v>4</v>
      </c>
      <c r="H1227">
        <v>2</v>
      </c>
      <c r="I1227" t="s">
        <v>19</v>
      </c>
      <c r="J1227">
        <v>16704</v>
      </c>
      <c r="K1227">
        <v>1</v>
      </c>
      <c r="L1227">
        <v>3</v>
      </c>
      <c r="M1227">
        <v>21</v>
      </c>
      <c r="N1227" t="s">
        <v>20</v>
      </c>
      <c r="O1227" t="s">
        <v>35</v>
      </c>
      <c r="P1227">
        <v>12938710</v>
      </c>
    </row>
    <row r="1228" spans="1:16" ht="14.25" x14ac:dyDescent="0.2">
      <c r="A1228">
        <v>32</v>
      </c>
      <c r="B1228" t="s">
        <v>22</v>
      </c>
      <c r="C1228" t="s">
        <v>23</v>
      </c>
      <c r="D1228">
        <v>10</v>
      </c>
      <c r="E1228">
        <v>3</v>
      </c>
      <c r="F1228" t="s">
        <v>18</v>
      </c>
      <c r="G1228">
        <v>1</v>
      </c>
      <c r="H1228">
        <v>3</v>
      </c>
      <c r="I1228" t="s">
        <v>24</v>
      </c>
      <c r="J1228">
        <v>3433</v>
      </c>
      <c r="K1228">
        <v>6</v>
      </c>
      <c r="L1228">
        <v>2</v>
      </c>
      <c r="M1228">
        <v>5</v>
      </c>
      <c r="N1228" t="s">
        <v>25</v>
      </c>
      <c r="O1228" t="s">
        <v>26</v>
      </c>
      <c r="P1228">
        <v>80671851</v>
      </c>
    </row>
    <row r="1229" spans="1:16" ht="14.25" x14ac:dyDescent="0.2">
      <c r="A1229">
        <v>31</v>
      </c>
      <c r="B1229" t="s">
        <v>22</v>
      </c>
      <c r="C1229" t="s">
        <v>23</v>
      </c>
      <c r="D1229">
        <v>2</v>
      </c>
      <c r="E1229">
        <v>4</v>
      </c>
      <c r="F1229" t="s">
        <v>18</v>
      </c>
      <c r="G1229">
        <v>2</v>
      </c>
      <c r="H1229">
        <v>3</v>
      </c>
      <c r="I1229" t="s">
        <v>24</v>
      </c>
      <c r="J1229">
        <v>3477</v>
      </c>
      <c r="K1229">
        <v>1</v>
      </c>
      <c r="L1229">
        <v>4</v>
      </c>
      <c r="M1229">
        <v>5</v>
      </c>
      <c r="N1229" t="s">
        <v>25</v>
      </c>
      <c r="O1229" t="s">
        <v>28</v>
      </c>
      <c r="P1229">
        <v>69763581</v>
      </c>
    </row>
    <row r="1230" spans="1:16" ht="14.25" x14ac:dyDescent="0.2">
      <c r="A1230">
        <v>41</v>
      </c>
      <c r="B1230" t="s">
        <v>22</v>
      </c>
      <c r="C1230" t="s">
        <v>38</v>
      </c>
      <c r="D1230">
        <v>4</v>
      </c>
      <c r="E1230">
        <v>3</v>
      </c>
      <c r="F1230" t="s">
        <v>38</v>
      </c>
      <c r="G1230">
        <v>3</v>
      </c>
      <c r="H1230">
        <v>2</v>
      </c>
      <c r="I1230" t="s">
        <v>24</v>
      </c>
      <c r="J1230">
        <v>6430</v>
      </c>
      <c r="K1230">
        <v>6</v>
      </c>
      <c r="L1230">
        <v>3</v>
      </c>
      <c r="M1230">
        <v>3</v>
      </c>
      <c r="N1230" t="s">
        <v>25</v>
      </c>
      <c r="O1230" t="s">
        <v>38</v>
      </c>
      <c r="P1230">
        <v>43317897</v>
      </c>
    </row>
    <row r="1231" spans="1:16" ht="14.25" x14ac:dyDescent="0.2">
      <c r="A1231">
        <v>40</v>
      </c>
      <c r="B1231" t="s">
        <v>22</v>
      </c>
      <c r="C1231" t="s">
        <v>23</v>
      </c>
      <c r="D1231">
        <v>8</v>
      </c>
      <c r="E1231">
        <v>2</v>
      </c>
      <c r="F1231" t="s">
        <v>18</v>
      </c>
      <c r="G1231">
        <v>2</v>
      </c>
      <c r="H1231">
        <v>1</v>
      </c>
      <c r="I1231" t="s">
        <v>24</v>
      </c>
      <c r="J1231">
        <v>6516</v>
      </c>
      <c r="K1231">
        <v>2</v>
      </c>
      <c r="L1231">
        <v>3</v>
      </c>
      <c r="M1231">
        <v>1</v>
      </c>
      <c r="N1231" t="s">
        <v>20</v>
      </c>
      <c r="O1231" t="s">
        <v>31</v>
      </c>
      <c r="P1231">
        <v>29341766</v>
      </c>
    </row>
    <row r="1232" spans="1:16" ht="14.25" x14ac:dyDescent="0.2">
      <c r="A1232">
        <v>24</v>
      </c>
      <c r="B1232" t="s">
        <v>22</v>
      </c>
      <c r="C1232" t="s">
        <v>23</v>
      </c>
      <c r="D1232">
        <v>29</v>
      </c>
      <c r="E1232">
        <v>1</v>
      </c>
      <c r="F1232" t="s">
        <v>29</v>
      </c>
      <c r="G1232">
        <v>2</v>
      </c>
      <c r="H1232">
        <v>1</v>
      </c>
      <c r="I1232" t="s">
        <v>30</v>
      </c>
      <c r="J1232">
        <v>3907</v>
      </c>
      <c r="K1232">
        <v>1</v>
      </c>
      <c r="L1232">
        <v>4</v>
      </c>
      <c r="M1232">
        <v>6</v>
      </c>
      <c r="N1232" t="s">
        <v>25</v>
      </c>
      <c r="O1232" t="s">
        <v>28</v>
      </c>
      <c r="P1232">
        <v>51170581</v>
      </c>
    </row>
    <row r="1233" spans="1:16" ht="14.25" x14ac:dyDescent="0.2">
      <c r="A1233">
        <v>46</v>
      </c>
      <c r="B1233" t="s">
        <v>22</v>
      </c>
      <c r="C1233" t="s">
        <v>23</v>
      </c>
      <c r="D1233">
        <v>13</v>
      </c>
      <c r="E1233">
        <v>4</v>
      </c>
      <c r="F1233" t="s">
        <v>18</v>
      </c>
      <c r="G1233">
        <v>3</v>
      </c>
      <c r="H1233">
        <v>2</v>
      </c>
      <c r="I1233" t="s">
        <v>19</v>
      </c>
      <c r="J1233">
        <v>5562</v>
      </c>
      <c r="K1233">
        <v>6</v>
      </c>
      <c r="L1233">
        <v>3</v>
      </c>
      <c r="M1233">
        <v>10</v>
      </c>
      <c r="N1233" t="s">
        <v>25</v>
      </c>
      <c r="O1233" t="s">
        <v>32</v>
      </c>
      <c r="P1233">
        <v>28257227</v>
      </c>
    </row>
    <row r="1234" spans="1:16" ht="14.25" x14ac:dyDescent="0.2">
      <c r="A1234">
        <v>35</v>
      </c>
      <c r="B1234" t="s">
        <v>22</v>
      </c>
      <c r="C1234" t="s">
        <v>23</v>
      </c>
      <c r="D1234">
        <v>27</v>
      </c>
      <c r="E1234">
        <v>4</v>
      </c>
      <c r="F1234" t="s">
        <v>18</v>
      </c>
      <c r="G1234">
        <v>4</v>
      </c>
      <c r="H1234">
        <v>3</v>
      </c>
      <c r="I1234" t="s">
        <v>24</v>
      </c>
      <c r="J1234">
        <v>6883</v>
      </c>
      <c r="K1234">
        <v>2</v>
      </c>
      <c r="L1234">
        <v>3</v>
      </c>
      <c r="M1234">
        <v>7</v>
      </c>
      <c r="N1234" t="s">
        <v>25</v>
      </c>
      <c r="O1234" t="s">
        <v>31</v>
      </c>
      <c r="P1234">
        <v>22832553</v>
      </c>
    </row>
    <row r="1235" spans="1:16" ht="14.25" x14ac:dyDescent="0.2">
      <c r="A1235">
        <v>30</v>
      </c>
      <c r="B1235" t="s">
        <v>22</v>
      </c>
      <c r="C1235" t="s">
        <v>23</v>
      </c>
      <c r="D1235">
        <v>16</v>
      </c>
      <c r="E1235">
        <v>1</v>
      </c>
      <c r="F1235" t="s">
        <v>18</v>
      </c>
      <c r="G1235">
        <v>2</v>
      </c>
      <c r="H1235">
        <v>4</v>
      </c>
      <c r="I1235" t="s">
        <v>24</v>
      </c>
      <c r="J1235">
        <v>2862</v>
      </c>
      <c r="K1235">
        <v>1</v>
      </c>
      <c r="L1235">
        <v>2</v>
      </c>
      <c r="M1235">
        <v>10</v>
      </c>
      <c r="N1235" t="s">
        <v>25</v>
      </c>
      <c r="O1235" t="s">
        <v>26</v>
      </c>
      <c r="P1235">
        <v>73763690</v>
      </c>
    </row>
    <row r="1236" spans="1:16" ht="14.25" x14ac:dyDescent="0.2">
      <c r="A1236">
        <v>47</v>
      </c>
      <c r="B1236" t="s">
        <v>22</v>
      </c>
      <c r="C1236" t="s">
        <v>17</v>
      </c>
      <c r="D1236">
        <v>2</v>
      </c>
      <c r="E1236">
        <v>4</v>
      </c>
      <c r="F1236" t="s">
        <v>36</v>
      </c>
      <c r="G1236">
        <v>3</v>
      </c>
      <c r="H1236">
        <v>2</v>
      </c>
      <c r="I1236" t="s">
        <v>24</v>
      </c>
      <c r="J1236">
        <v>4978</v>
      </c>
      <c r="K1236">
        <v>7</v>
      </c>
      <c r="L1236">
        <v>1</v>
      </c>
      <c r="M1236">
        <v>1</v>
      </c>
      <c r="N1236" t="s">
        <v>25</v>
      </c>
      <c r="O1236" t="s">
        <v>21</v>
      </c>
      <c r="P1236">
        <v>35873819</v>
      </c>
    </row>
    <row r="1237" spans="1:16" ht="14.25" x14ac:dyDescent="0.2">
      <c r="A1237">
        <v>46</v>
      </c>
      <c r="B1237" t="s">
        <v>22</v>
      </c>
      <c r="C1237" t="s">
        <v>17</v>
      </c>
      <c r="D1237">
        <v>2</v>
      </c>
      <c r="E1237">
        <v>3</v>
      </c>
      <c r="F1237" t="s">
        <v>18</v>
      </c>
      <c r="G1237">
        <v>3</v>
      </c>
      <c r="H1237">
        <v>4</v>
      </c>
      <c r="I1237" t="s">
        <v>30</v>
      </c>
      <c r="J1237">
        <v>10368</v>
      </c>
      <c r="K1237">
        <v>4</v>
      </c>
      <c r="L1237">
        <v>2</v>
      </c>
      <c r="M1237">
        <v>10</v>
      </c>
      <c r="N1237" t="s">
        <v>25</v>
      </c>
      <c r="O1237" t="s">
        <v>21</v>
      </c>
      <c r="P1237">
        <v>87228738</v>
      </c>
    </row>
    <row r="1238" spans="1:16" ht="14.25" x14ac:dyDescent="0.2">
      <c r="A1238">
        <v>36</v>
      </c>
      <c r="B1238" t="s">
        <v>16</v>
      </c>
      <c r="C1238" t="s">
        <v>17</v>
      </c>
      <c r="D1238">
        <v>13</v>
      </c>
      <c r="E1238">
        <v>5</v>
      </c>
      <c r="F1238" t="s">
        <v>36</v>
      </c>
      <c r="G1238">
        <v>2</v>
      </c>
      <c r="H1238">
        <v>1</v>
      </c>
      <c r="I1238" t="s">
        <v>30</v>
      </c>
      <c r="J1238">
        <v>6134</v>
      </c>
      <c r="K1238">
        <v>5</v>
      </c>
      <c r="L1238">
        <v>3</v>
      </c>
      <c r="M1238">
        <v>2</v>
      </c>
      <c r="N1238" t="s">
        <v>25</v>
      </c>
      <c r="O1238" t="s">
        <v>21</v>
      </c>
      <c r="P1238">
        <v>24820528</v>
      </c>
    </row>
    <row r="1239" spans="1:16" ht="14.25" x14ac:dyDescent="0.2">
      <c r="A1239">
        <v>32</v>
      </c>
      <c r="B1239" t="s">
        <v>16</v>
      </c>
      <c r="C1239" t="s">
        <v>17</v>
      </c>
      <c r="D1239">
        <v>1</v>
      </c>
      <c r="E1239">
        <v>2</v>
      </c>
      <c r="F1239" t="s">
        <v>18</v>
      </c>
      <c r="G1239">
        <v>1</v>
      </c>
      <c r="H1239">
        <v>2</v>
      </c>
      <c r="I1239" t="s">
        <v>19</v>
      </c>
      <c r="J1239">
        <v>6735</v>
      </c>
      <c r="K1239">
        <v>6</v>
      </c>
      <c r="L1239">
        <v>3</v>
      </c>
      <c r="M1239">
        <v>0</v>
      </c>
      <c r="N1239" t="s">
        <v>25</v>
      </c>
      <c r="O1239" t="s">
        <v>21</v>
      </c>
      <c r="P1239">
        <v>49127499</v>
      </c>
    </row>
    <row r="1240" spans="1:16" ht="14.25" x14ac:dyDescent="0.2">
      <c r="A1240">
        <v>23</v>
      </c>
      <c r="B1240" t="s">
        <v>22</v>
      </c>
      <c r="C1240" t="s">
        <v>23</v>
      </c>
      <c r="D1240">
        <v>4</v>
      </c>
      <c r="E1240">
        <v>1</v>
      </c>
      <c r="F1240" t="s">
        <v>29</v>
      </c>
      <c r="G1240">
        <v>3</v>
      </c>
      <c r="H1240">
        <v>2</v>
      </c>
      <c r="I1240" t="s">
        <v>19</v>
      </c>
      <c r="J1240">
        <v>3295</v>
      </c>
      <c r="K1240">
        <v>1</v>
      </c>
      <c r="L1240">
        <v>1</v>
      </c>
      <c r="M1240">
        <v>3</v>
      </c>
      <c r="N1240" t="s">
        <v>20</v>
      </c>
      <c r="O1240" t="s">
        <v>28</v>
      </c>
      <c r="P1240">
        <v>14364986</v>
      </c>
    </row>
    <row r="1241" spans="1:16" ht="14.25" x14ac:dyDescent="0.2">
      <c r="A1241">
        <v>31</v>
      </c>
      <c r="B1241" t="s">
        <v>22</v>
      </c>
      <c r="C1241" t="s">
        <v>23</v>
      </c>
      <c r="D1241">
        <v>24</v>
      </c>
      <c r="E1241">
        <v>1</v>
      </c>
      <c r="F1241" t="s">
        <v>37</v>
      </c>
      <c r="G1241">
        <v>4</v>
      </c>
      <c r="H1241">
        <v>4</v>
      </c>
      <c r="I1241" t="s">
        <v>19</v>
      </c>
      <c r="J1241">
        <v>5238</v>
      </c>
      <c r="K1241">
        <v>2</v>
      </c>
      <c r="L1241">
        <v>2</v>
      </c>
      <c r="M1241">
        <v>5</v>
      </c>
      <c r="N1241" t="s">
        <v>20</v>
      </c>
      <c r="O1241" t="s">
        <v>31</v>
      </c>
      <c r="P1241">
        <v>73749406</v>
      </c>
    </row>
    <row r="1242" spans="1:16" ht="14.25" x14ac:dyDescent="0.2">
      <c r="A1242">
        <v>39</v>
      </c>
      <c r="B1242" t="s">
        <v>22</v>
      </c>
      <c r="C1242" t="s">
        <v>23</v>
      </c>
      <c r="D1242">
        <v>1</v>
      </c>
      <c r="E1242">
        <v>3</v>
      </c>
      <c r="F1242" t="s">
        <v>18</v>
      </c>
      <c r="G1242">
        <v>4</v>
      </c>
      <c r="H1242">
        <v>4</v>
      </c>
      <c r="I1242" t="s">
        <v>24</v>
      </c>
      <c r="J1242">
        <v>6472</v>
      </c>
      <c r="K1242">
        <v>1</v>
      </c>
      <c r="L1242">
        <v>3</v>
      </c>
      <c r="M1242">
        <v>9</v>
      </c>
      <c r="N1242" t="s">
        <v>25</v>
      </c>
      <c r="O1242" t="s">
        <v>28</v>
      </c>
      <c r="P1242">
        <v>30056059</v>
      </c>
    </row>
    <row r="1243" spans="1:16" ht="14.25" x14ac:dyDescent="0.2">
      <c r="A1243">
        <v>32</v>
      </c>
      <c r="B1243" t="s">
        <v>22</v>
      </c>
      <c r="C1243" t="s">
        <v>17</v>
      </c>
      <c r="D1243">
        <v>19</v>
      </c>
      <c r="E1243">
        <v>3</v>
      </c>
      <c r="F1243" t="s">
        <v>18</v>
      </c>
      <c r="G1243">
        <v>4</v>
      </c>
      <c r="H1243">
        <v>3</v>
      </c>
      <c r="I1243" t="s">
        <v>24</v>
      </c>
      <c r="J1243">
        <v>9610</v>
      </c>
      <c r="K1243">
        <v>3</v>
      </c>
      <c r="L1243">
        <v>1</v>
      </c>
      <c r="M1243">
        <v>4</v>
      </c>
      <c r="N1243" t="s">
        <v>25</v>
      </c>
      <c r="O1243" t="s">
        <v>21</v>
      </c>
      <c r="P1243">
        <v>50634072</v>
      </c>
    </row>
    <row r="1244" spans="1:16" ht="14.25" x14ac:dyDescent="0.2">
      <c r="A1244">
        <v>40</v>
      </c>
      <c r="B1244" t="s">
        <v>22</v>
      </c>
      <c r="C1244" t="s">
        <v>17</v>
      </c>
      <c r="D1244">
        <v>7</v>
      </c>
      <c r="E1244">
        <v>4</v>
      </c>
      <c r="F1244" t="s">
        <v>29</v>
      </c>
      <c r="G1244">
        <v>2</v>
      </c>
      <c r="H1244">
        <v>2</v>
      </c>
      <c r="I1244" t="s">
        <v>19</v>
      </c>
      <c r="J1244">
        <v>19833</v>
      </c>
      <c r="K1244">
        <v>1</v>
      </c>
      <c r="L1244">
        <v>2</v>
      </c>
      <c r="M1244">
        <v>21</v>
      </c>
      <c r="N1244" t="s">
        <v>25</v>
      </c>
      <c r="O1244" t="s">
        <v>33</v>
      </c>
      <c r="P1244">
        <v>71687572</v>
      </c>
    </row>
    <row r="1245" spans="1:16" ht="14.25" x14ac:dyDescent="0.2">
      <c r="A1245">
        <v>45</v>
      </c>
      <c r="B1245" t="s">
        <v>22</v>
      </c>
      <c r="C1245" t="s">
        <v>38</v>
      </c>
      <c r="D1245">
        <v>4</v>
      </c>
      <c r="E1245">
        <v>3</v>
      </c>
      <c r="F1245" t="s">
        <v>18</v>
      </c>
      <c r="G1245">
        <v>3</v>
      </c>
      <c r="H1245">
        <v>3</v>
      </c>
      <c r="I1245" t="s">
        <v>24</v>
      </c>
      <c r="J1245">
        <v>9756</v>
      </c>
      <c r="K1245">
        <v>4</v>
      </c>
      <c r="L1245">
        <v>4</v>
      </c>
      <c r="M1245">
        <v>5</v>
      </c>
      <c r="N1245" t="s">
        <v>20</v>
      </c>
      <c r="O1245" t="s">
        <v>38</v>
      </c>
      <c r="P1245">
        <v>55944495</v>
      </c>
    </row>
    <row r="1246" spans="1:16" ht="14.25" x14ac:dyDescent="0.2">
      <c r="A1246">
        <v>30</v>
      </c>
      <c r="B1246" t="s">
        <v>22</v>
      </c>
      <c r="C1246" t="s">
        <v>23</v>
      </c>
      <c r="D1246">
        <v>2</v>
      </c>
      <c r="E1246">
        <v>4</v>
      </c>
      <c r="F1246" t="s">
        <v>37</v>
      </c>
      <c r="G1246">
        <v>4</v>
      </c>
      <c r="H1246">
        <v>1</v>
      </c>
      <c r="I1246" t="s">
        <v>19</v>
      </c>
      <c r="J1246">
        <v>4968</v>
      </c>
      <c r="K1246">
        <v>0</v>
      </c>
      <c r="L1246">
        <v>3</v>
      </c>
      <c r="M1246">
        <v>9</v>
      </c>
      <c r="N1246" t="s">
        <v>20</v>
      </c>
      <c r="O1246" t="s">
        <v>26</v>
      </c>
      <c r="P1246">
        <v>36706029</v>
      </c>
    </row>
    <row r="1247" spans="1:16" ht="14.25" x14ac:dyDescent="0.2">
      <c r="A1247">
        <v>24</v>
      </c>
      <c r="B1247" t="s">
        <v>22</v>
      </c>
      <c r="C1247" t="s">
        <v>38</v>
      </c>
      <c r="D1247">
        <v>10</v>
      </c>
      <c r="E1247">
        <v>3</v>
      </c>
      <c r="F1247" t="s">
        <v>29</v>
      </c>
      <c r="G1247">
        <v>1</v>
      </c>
      <c r="H1247">
        <v>4</v>
      </c>
      <c r="I1247" t="s">
        <v>24</v>
      </c>
      <c r="J1247">
        <v>2145</v>
      </c>
      <c r="K1247">
        <v>0</v>
      </c>
      <c r="L1247">
        <v>3</v>
      </c>
      <c r="M1247">
        <v>2</v>
      </c>
      <c r="N1247" t="s">
        <v>25</v>
      </c>
      <c r="O1247" t="s">
        <v>38</v>
      </c>
      <c r="P1247">
        <v>85809768</v>
      </c>
    </row>
    <row r="1248" spans="1:16" ht="14.25" x14ac:dyDescent="0.2">
      <c r="A1248">
        <v>30</v>
      </c>
      <c r="B1248" t="s">
        <v>16</v>
      </c>
      <c r="C1248" t="s">
        <v>38</v>
      </c>
      <c r="D1248">
        <v>8</v>
      </c>
      <c r="E1248">
        <v>3</v>
      </c>
      <c r="F1248" t="s">
        <v>38</v>
      </c>
      <c r="G1248">
        <v>3</v>
      </c>
      <c r="H1248">
        <v>4</v>
      </c>
      <c r="I1248" t="s">
        <v>30</v>
      </c>
      <c r="J1248">
        <v>2180</v>
      </c>
      <c r="K1248">
        <v>6</v>
      </c>
      <c r="L1248">
        <v>2</v>
      </c>
      <c r="M1248">
        <v>4</v>
      </c>
      <c r="N1248" t="s">
        <v>20</v>
      </c>
      <c r="O1248" t="s">
        <v>38</v>
      </c>
      <c r="P1248">
        <v>73426228</v>
      </c>
    </row>
    <row r="1249" spans="1:16" ht="14.25" x14ac:dyDescent="0.2">
      <c r="A1249">
        <v>31</v>
      </c>
      <c r="B1249" t="s">
        <v>22</v>
      </c>
      <c r="C1249" t="s">
        <v>17</v>
      </c>
      <c r="D1249">
        <v>5</v>
      </c>
      <c r="E1249">
        <v>3</v>
      </c>
      <c r="F1249" t="s">
        <v>37</v>
      </c>
      <c r="G1249">
        <v>1</v>
      </c>
      <c r="H1249">
        <v>3</v>
      </c>
      <c r="I1249" t="s">
        <v>24</v>
      </c>
      <c r="J1249">
        <v>8346</v>
      </c>
      <c r="K1249">
        <v>1</v>
      </c>
      <c r="L1249">
        <v>3</v>
      </c>
      <c r="M1249">
        <v>5</v>
      </c>
      <c r="N1249" t="s">
        <v>25</v>
      </c>
      <c r="O1249" t="s">
        <v>21</v>
      </c>
      <c r="P1249">
        <v>55685805</v>
      </c>
    </row>
    <row r="1250" spans="1:16" ht="14.25" x14ac:dyDescent="0.2">
      <c r="A1250">
        <v>27</v>
      </c>
      <c r="B1250" t="s">
        <v>22</v>
      </c>
      <c r="C1250" t="s">
        <v>23</v>
      </c>
      <c r="D1250">
        <v>8</v>
      </c>
      <c r="E1250">
        <v>3</v>
      </c>
      <c r="F1250" t="s">
        <v>29</v>
      </c>
      <c r="G1250">
        <v>3</v>
      </c>
      <c r="H1250">
        <v>4</v>
      </c>
      <c r="I1250" t="s">
        <v>19</v>
      </c>
      <c r="J1250">
        <v>3445</v>
      </c>
      <c r="K1250">
        <v>1</v>
      </c>
      <c r="L1250">
        <v>2</v>
      </c>
      <c r="M1250">
        <v>6</v>
      </c>
      <c r="N1250" t="s">
        <v>20</v>
      </c>
      <c r="O1250" t="s">
        <v>26</v>
      </c>
      <c r="P1250">
        <v>11907717</v>
      </c>
    </row>
    <row r="1251" spans="1:16" ht="14.25" x14ac:dyDescent="0.2">
      <c r="A1251">
        <v>29</v>
      </c>
      <c r="B1251" t="s">
        <v>16</v>
      </c>
      <c r="C1251" t="s">
        <v>17</v>
      </c>
      <c r="D1251">
        <v>9</v>
      </c>
      <c r="E1251">
        <v>3</v>
      </c>
      <c r="F1251" t="s">
        <v>36</v>
      </c>
      <c r="G1251">
        <v>2</v>
      </c>
      <c r="H1251">
        <v>2</v>
      </c>
      <c r="I1251" t="s">
        <v>19</v>
      </c>
      <c r="J1251">
        <v>2760</v>
      </c>
      <c r="K1251">
        <v>1</v>
      </c>
      <c r="L1251">
        <v>3</v>
      </c>
      <c r="M1251">
        <v>2</v>
      </c>
      <c r="N1251" t="s">
        <v>20</v>
      </c>
      <c r="O1251" t="s">
        <v>34</v>
      </c>
      <c r="P1251">
        <v>53986582</v>
      </c>
    </row>
    <row r="1252" spans="1:16" ht="14.25" x14ac:dyDescent="0.2">
      <c r="A1252">
        <v>29</v>
      </c>
      <c r="B1252" t="s">
        <v>22</v>
      </c>
      <c r="C1252" t="s">
        <v>23</v>
      </c>
      <c r="D1252">
        <v>1</v>
      </c>
      <c r="E1252">
        <v>3</v>
      </c>
      <c r="F1252" t="s">
        <v>18</v>
      </c>
      <c r="G1252">
        <v>4</v>
      </c>
      <c r="H1252">
        <v>3</v>
      </c>
      <c r="I1252" t="s">
        <v>19</v>
      </c>
      <c r="J1252">
        <v>6294</v>
      </c>
      <c r="K1252">
        <v>8</v>
      </c>
      <c r="L1252">
        <v>4</v>
      </c>
      <c r="M1252">
        <v>3</v>
      </c>
      <c r="N1252" t="s">
        <v>25</v>
      </c>
      <c r="O1252" t="s">
        <v>32</v>
      </c>
      <c r="P1252">
        <v>86980543</v>
      </c>
    </row>
    <row r="1253" spans="1:16" ht="14.25" x14ac:dyDescent="0.2">
      <c r="A1253">
        <v>30</v>
      </c>
      <c r="B1253" t="s">
        <v>22</v>
      </c>
      <c r="C1253" t="s">
        <v>17</v>
      </c>
      <c r="D1253">
        <v>15</v>
      </c>
      <c r="E1253">
        <v>2</v>
      </c>
      <c r="F1253" t="s">
        <v>36</v>
      </c>
      <c r="G1253">
        <v>3</v>
      </c>
      <c r="H1253">
        <v>1</v>
      </c>
      <c r="I1253" t="s">
        <v>30</v>
      </c>
      <c r="J1253">
        <v>7140</v>
      </c>
      <c r="K1253">
        <v>2</v>
      </c>
      <c r="L1253">
        <v>3</v>
      </c>
      <c r="M1253">
        <v>7</v>
      </c>
      <c r="N1253" t="s">
        <v>25</v>
      </c>
      <c r="O1253" t="s">
        <v>21</v>
      </c>
      <c r="P1253">
        <v>13335265</v>
      </c>
    </row>
    <row r="1254" spans="1:16" ht="14.25" x14ac:dyDescent="0.2">
      <c r="A1254">
        <v>34</v>
      </c>
      <c r="B1254" t="s">
        <v>22</v>
      </c>
      <c r="C1254" t="s">
        <v>23</v>
      </c>
      <c r="D1254">
        <v>2</v>
      </c>
      <c r="E1254">
        <v>4</v>
      </c>
      <c r="F1254" t="s">
        <v>29</v>
      </c>
      <c r="G1254">
        <v>4</v>
      </c>
      <c r="H1254">
        <v>4</v>
      </c>
      <c r="I1254" t="s">
        <v>24</v>
      </c>
      <c r="J1254">
        <v>2932</v>
      </c>
      <c r="K1254">
        <v>0</v>
      </c>
      <c r="L1254">
        <v>3</v>
      </c>
      <c r="M1254">
        <v>5</v>
      </c>
      <c r="N1254" t="s">
        <v>25</v>
      </c>
      <c r="O1254" t="s">
        <v>26</v>
      </c>
      <c r="P1254">
        <v>42997510</v>
      </c>
    </row>
    <row r="1255" spans="1:16" ht="14.25" x14ac:dyDescent="0.2">
      <c r="A1255">
        <v>33</v>
      </c>
      <c r="B1255" t="s">
        <v>22</v>
      </c>
      <c r="C1255" t="s">
        <v>17</v>
      </c>
      <c r="D1255">
        <v>2</v>
      </c>
      <c r="E1255">
        <v>3</v>
      </c>
      <c r="F1255" t="s">
        <v>36</v>
      </c>
      <c r="G1255">
        <v>4</v>
      </c>
      <c r="H1255">
        <v>2</v>
      </c>
      <c r="I1255" t="s">
        <v>19</v>
      </c>
      <c r="J1255">
        <v>5147</v>
      </c>
      <c r="K1255">
        <v>8</v>
      </c>
      <c r="L1255">
        <v>2</v>
      </c>
      <c r="M1255">
        <v>11</v>
      </c>
      <c r="N1255" t="s">
        <v>20</v>
      </c>
      <c r="O1255" t="s">
        <v>21</v>
      </c>
      <c r="P1255">
        <v>22123286</v>
      </c>
    </row>
    <row r="1256" spans="1:16" ht="14.25" x14ac:dyDescent="0.2">
      <c r="A1256">
        <v>49</v>
      </c>
      <c r="B1256" t="s">
        <v>22</v>
      </c>
      <c r="C1256" t="s">
        <v>17</v>
      </c>
      <c r="D1256">
        <v>11</v>
      </c>
      <c r="E1256">
        <v>4</v>
      </c>
      <c r="F1256" t="s">
        <v>36</v>
      </c>
      <c r="G1256">
        <v>4</v>
      </c>
      <c r="H1256">
        <v>4</v>
      </c>
      <c r="I1256" t="s">
        <v>19</v>
      </c>
      <c r="J1256">
        <v>4507</v>
      </c>
      <c r="K1256">
        <v>3</v>
      </c>
      <c r="L1256">
        <v>4</v>
      </c>
      <c r="M1256">
        <v>5</v>
      </c>
      <c r="N1256" t="s">
        <v>20</v>
      </c>
      <c r="O1256" t="s">
        <v>21</v>
      </c>
      <c r="P1256">
        <v>14852502</v>
      </c>
    </row>
    <row r="1257" spans="1:16" ht="14.25" x14ac:dyDescent="0.2">
      <c r="A1257">
        <v>33</v>
      </c>
      <c r="B1257" t="s">
        <v>16</v>
      </c>
      <c r="C1257" t="s">
        <v>17</v>
      </c>
      <c r="D1257">
        <v>16</v>
      </c>
      <c r="E1257">
        <v>3</v>
      </c>
      <c r="F1257" t="s">
        <v>18</v>
      </c>
      <c r="G1257">
        <v>1</v>
      </c>
      <c r="H1257">
        <v>1</v>
      </c>
      <c r="I1257" t="s">
        <v>19</v>
      </c>
      <c r="J1257">
        <v>8564</v>
      </c>
      <c r="K1257">
        <v>2</v>
      </c>
      <c r="L1257">
        <v>2</v>
      </c>
      <c r="M1257">
        <v>0</v>
      </c>
      <c r="N1257" t="s">
        <v>20</v>
      </c>
      <c r="O1257" t="s">
        <v>21</v>
      </c>
      <c r="P1257">
        <v>39828297</v>
      </c>
    </row>
    <row r="1258" spans="1:16" ht="14.25" x14ac:dyDescent="0.2">
      <c r="A1258">
        <v>38</v>
      </c>
      <c r="B1258" t="s">
        <v>22</v>
      </c>
      <c r="C1258" t="s">
        <v>23</v>
      </c>
      <c r="D1258">
        <v>2</v>
      </c>
      <c r="E1258">
        <v>2</v>
      </c>
      <c r="F1258" t="s">
        <v>29</v>
      </c>
      <c r="G1258">
        <v>3</v>
      </c>
      <c r="H1258">
        <v>2</v>
      </c>
      <c r="I1258" t="s">
        <v>24</v>
      </c>
      <c r="J1258">
        <v>2468</v>
      </c>
      <c r="K1258">
        <v>4</v>
      </c>
      <c r="L1258">
        <v>2</v>
      </c>
      <c r="M1258">
        <v>6</v>
      </c>
      <c r="N1258" t="s">
        <v>20</v>
      </c>
      <c r="O1258" t="s">
        <v>28</v>
      </c>
      <c r="P1258">
        <v>66436407</v>
      </c>
    </row>
    <row r="1259" spans="1:16" ht="14.25" x14ac:dyDescent="0.2">
      <c r="A1259">
        <v>31</v>
      </c>
      <c r="B1259" t="s">
        <v>16</v>
      </c>
      <c r="C1259" t="s">
        <v>17</v>
      </c>
      <c r="D1259">
        <v>16</v>
      </c>
      <c r="E1259">
        <v>4</v>
      </c>
      <c r="F1259" t="s">
        <v>36</v>
      </c>
      <c r="G1259">
        <v>1</v>
      </c>
      <c r="H1259">
        <v>3</v>
      </c>
      <c r="I1259" t="s">
        <v>24</v>
      </c>
      <c r="J1259">
        <v>8161</v>
      </c>
      <c r="K1259">
        <v>2</v>
      </c>
      <c r="L1259">
        <v>3</v>
      </c>
      <c r="M1259">
        <v>1</v>
      </c>
      <c r="N1259" t="s">
        <v>25</v>
      </c>
      <c r="O1259" t="s">
        <v>21</v>
      </c>
      <c r="P1259">
        <v>12187305</v>
      </c>
    </row>
    <row r="1260" spans="1:16" ht="14.25" x14ac:dyDescent="0.2">
      <c r="A1260">
        <v>29</v>
      </c>
      <c r="B1260" t="s">
        <v>22</v>
      </c>
      <c r="C1260" t="s">
        <v>23</v>
      </c>
      <c r="D1260">
        <v>4</v>
      </c>
      <c r="E1260">
        <v>3</v>
      </c>
      <c r="F1260" t="s">
        <v>37</v>
      </c>
      <c r="G1260">
        <v>4</v>
      </c>
      <c r="H1260">
        <v>1</v>
      </c>
      <c r="I1260" t="s">
        <v>30</v>
      </c>
      <c r="J1260">
        <v>2109</v>
      </c>
      <c r="K1260">
        <v>1</v>
      </c>
      <c r="L1260">
        <v>3</v>
      </c>
      <c r="M1260">
        <v>1</v>
      </c>
      <c r="N1260" t="s">
        <v>20</v>
      </c>
      <c r="O1260" t="s">
        <v>26</v>
      </c>
      <c r="P1260">
        <v>86466364</v>
      </c>
    </row>
    <row r="1261" spans="1:16" ht="14.25" x14ac:dyDescent="0.2">
      <c r="A1261">
        <v>30</v>
      </c>
      <c r="B1261" t="s">
        <v>22</v>
      </c>
      <c r="C1261" t="s">
        <v>23</v>
      </c>
      <c r="D1261">
        <v>16</v>
      </c>
      <c r="E1261">
        <v>3</v>
      </c>
      <c r="F1261" t="s">
        <v>18</v>
      </c>
      <c r="G1261">
        <v>3</v>
      </c>
      <c r="H1261">
        <v>3</v>
      </c>
      <c r="I1261" t="s">
        <v>24</v>
      </c>
      <c r="J1261">
        <v>5294</v>
      </c>
      <c r="K1261">
        <v>3</v>
      </c>
      <c r="L1261">
        <v>3</v>
      </c>
      <c r="M1261">
        <v>7</v>
      </c>
      <c r="N1261" t="s">
        <v>25</v>
      </c>
      <c r="O1261" t="s">
        <v>32</v>
      </c>
      <c r="P1261">
        <v>67158784</v>
      </c>
    </row>
    <row r="1262" spans="1:16" ht="14.25" x14ac:dyDescent="0.2">
      <c r="A1262">
        <v>32</v>
      </c>
      <c r="B1262" t="s">
        <v>22</v>
      </c>
      <c r="C1262" t="s">
        <v>23</v>
      </c>
      <c r="D1262">
        <v>5</v>
      </c>
      <c r="E1262">
        <v>4</v>
      </c>
      <c r="F1262" t="s">
        <v>37</v>
      </c>
      <c r="G1262">
        <v>2</v>
      </c>
      <c r="H1262">
        <v>2</v>
      </c>
      <c r="I1262" t="s">
        <v>19</v>
      </c>
      <c r="J1262">
        <v>2718</v>
      </c>
      <c r="K1262">
        <v>2</v>
      </c>
      <c r="L1262">
        <v>3</v>
      </c>
      <c r="M1262">
        <v>7</v>
      </c>
      <c r="N1262" t="s">
        <v>25</v>
      </c>
      <c r="O1262" t="s">
        <v>26</v>
      </c>
      <c r="P1262">
        <v>19817878</v>
      </c>
    </row>
    <row r="1263" spans="1:16" ht="14.25" x14ac:dyDescent="0.2">
      <c r="A1263">
        <v>38</v>
      </c>
      <c r="B1263" t="s">
        <v>22</v>
      </c>
      <c r="C1263" t="s">
        <v>23</v>
      </c>
      <c r="D1263">
        <v>18</v>
      </c>
      <c r="E1263">
        <v>3</v>
      </c>
      <c r="F1263" t="s">
        <v>29</v>
      </c>
      <c r="G1263">
        <v>2</v>
      </c>
      <c r="H1263">
        <v>4</v>
      </c>
      <c r="I1263" t="s">
        <v>24</v>
      </c>
      <c r="J1263">
        <v>5811</v>
      </c>
      <c r="K1263">
        <v>3</v>
      </c>
      <c r="L1263">
        <v>3</v>
      </c>
      <c r="M1263">
        <v>1</v>
      </c>
      <c r="N1263" t="s">
        <v>25</v>
      </c>
      <c r="O1263" t="s">
        <v>32</v>
      </c>
      <c r="P1263">
        <v>68896715</v>
      </c>
    </row>
    <row r="1264" spans="1:16" ht="14.25" x14ac:dyDescent="0.2">
      <c r="A1264">
        <v>43</v>
      </c>
      <c r="B1264" t="s">
        <v>16</v>
      </c>
      <c r="C1264" t="s">
        <v>23</v>
      </c>
      <c r="D1264">
        <v>17</v>
      </c>
      <c r="E1264">
        <v>3</v>
      </c>
      <c r="F1264" t="s">
        <v>37</v>
      </c>
      <c r="G1264">
        <v>3</v>
      </c>
      <c r="H1264">
        <v>3</v>
      </c>
      <c r="I1264" t="s">
        <v>24</v>
      </c>
      <c r="J1264">
        <v>2437</v>
      </c>
      <c r="K1264">
        <v>9</v>
      </c>
      <c r="L1264">
        <v>3</v>
      </c>
      <c r="M1264">
        <v>1</v>
      </c>
      <c r="N1264" t="s">
        <v>25</v>
      </c>
      <c r="O1264" t="s">
        <v>26</v>
      </c>
      <c r="P1264">
        <v>88243070</v>
      </c>
    </row>
    <row r="1265" spans="1:16" ht="14.25" x14ac:dyDescent="0.2">
      <c r="A1265">
        <v>42</v>
      </c>
      <c r="B1265" t="s">
        <v>22</v>
      </c>
      <c r="C1265" t="s">
        <v>23</v>
      </c>
      <c r="D1265">
        <v>12</v>
      </c>
      <c r="E1265">
        <v>3</v>
      </c>
      <c r="F1265" t="s">
        <v>29</v>
      </c>
      <c r="G1265">
        <v>2</v>
      </c>
      <c r="H1265">
        <v>2</v>
      </c>
      <c r="I1265" t="s">
        <v>30</v>
      </c>
      <c r="J1265">
        <v>2766</v>
      </c>
      <c r="K1265">
        <v>8</v>
      </c>
      <c r="L1265">
        <v>2</v>
      </c>
      <c r="M1265">
        <v>5</v>
      </c>
      <c r="N1265" t="s">
        <v>25</v>
      </c>
      <c r="O1265" t="s">
        <v>28</v>
      </c>
      <c r="P1265">
        <v>84414840</v>
      </c>
    </row>
    <row r="1266" spans="1:16" ht="14.25" x14ac:dyDescent="0.2">
      <c r="A1266">
        <v>55</v>
      </c>
      <c r="B1266" t="s">
        <v>22</v>
      </c>
      <c r="C1266" t="s">
        <v>23</v>
      </c>
      <c r="D1266">
        <v>2</v>
      </c>
      <c r="E1266">
        <v>3</v>
      </c>
      <c r="F1266" t="s">
        <v>29</v>
      </c>
      <c r="G1266">
        <v>3</v>
      </c>
      <c r="H1266">
        <v>1</v>
      </c>
      <c r="I1266" t="s">
        <v>24</v>
      </c>
      <c r="J1266">
        <v>19038</v>
      </c>
      <c r="K1266">
        <v>8</v>
      </c>
      <c r="L1266">
        <v>3</v>
      </c>
      <c r="M1266">
        <v>1</v>
      </c>
      <c r="N1266" t="s">
        <v>25</v>
      </c>
      <c r="O1266" t="s">
        <v>35</v>
      </c>
      <c r="P1266">
        <v>35299743</v>
      </c>
    </row>
    <row r="1267" spans="1:16" ht="14.25" x14ac:dyDescent="0.2">
      <c r="A1267">
        <v>33</v>
      </c>
      <c r="B1267" t="s">
        <v>22</v>
      </c>
      <c r="C1267" t="s">
        <v>23</v>
      </c>
      <c r="D1267">
        <v>4</v>
      </c>
      <c r="E1267">
        <v>3</v>
      </c>
      <c r="F1267" t="s">
        <v>37</v>
      </c>
      <c r="G1267">
        <v>4</v>
      </c>
      <c r="H1267">
        <v>2</v>
      </c>
      <c r="I1267" t="s">
        <v>30</v>
      </c>
      <c r="J1267">
        <v>3055</v>
      </c>
      <c r="K1267">
        <v>5</v>
      </c>
      <c r="L1267">
        <v>2</v>
      </c>
      <c r="M1267">
        <v>9</v>
      </c>
      <c r="N1267" t="s">
        <v>25</v>
      </c>
      <c r="O1267" t="s">
        <v>26</v>
      </c>
      <c r="P1267">
        <v>59864445</v>
      </c>
    </row>
    <row r="1268" spans="1:16" ht="14.25" x14ac:dyDescent="0.2">
      <c r="A1268">
        <v>41</v>
      </c>
      <c r="B1268" t="s">
        <v>22</v>
      </c>
      <c r="C1268" t="s">
        <v>23</v>
      </c>
      <c r="D1268">
        <v>9</v>
      </c>
      <c r="E1268">
        <v>4</v>
      </c>
      <c r="F1268" t="s">
        <v>18</v>
      </c>
      <c r="G1268">
        <v>3</v>
      </c>
      <c r="H1268">
        <v>1</v>
      </c>
      <c r="I1268" t="s">
        <v>30</v>
      </c>
      <c r="J1268">
        <v>2289</v>
      </c>
      <c r="K1268">
        <v>1</v>
      </c>
      <c r="L1268">
        <v>3</v>
      </c>
      <c r="M1268">
        <v>5</v>
      </c>
      <c r="N1268" t="s">
        <v>25</v>
      </c>
      <c r="O1268" t="s">
        <v>28</v>
      </c>
      <c r="P1268">
        <v>72954418</v>
      </c>
    </row>
    <row r="1269" spans="1:16" ht="14.25" x14ac:dyDescent="0.2">
      <c r="A1269">
        <v>34</v>
      </c>
      <c r="B1269" t="s">
        <v>22</v>
      </c>
      <c r="C1269" t="s">
        <v>17</v>
      </c>
      <c r="D1269">
        <v>10</v>
      </c>
      <c r="E1269">
        <v>3</v>
      </c>
      <c r="F1269" t="s">
        <v>18</v>
      </c>
      <c r="G1269">
        <v>4</v>
      </c>
      <c r="H1269">
        <v>3</v>
      </c>
      <c r="I1269" t="s">
        <v>30</v>
      </c>
      <c r="J1269">
        <v>4001</v>
      </c>
      <c r="K1269">
        <v>1</v>
      </c>
      <c r="L1269">
        <v>3</v>
      </c>
      <c r="M1269">
        <v>15</v>
      </c>
      <c r="N1269" t="s">
        <v>25</v>
      </c>
      <c r="O1269" t="s">
        <v>21</v>
      </c>
      <c r="P1269">
        <v>64174302</v>
      </c>
    </row>
    <row r="1270" spans="1:16" ht="14.25" x14ac:dyDescent="0.2">
      <c r="A1270">
        <v>53</v>
      </c>
      <c r="B1270" t="s">
        <v>22</v>
      </c>
      <c r="C1270" t="s">
        <v>23</v>
      </c>
      <c r="D1270">
        <v>1</v>
      </c>
      <c r="E1270">
        <v>4</v>
      </c>
      <c r="F1270" t="s">
        <v>29</v>
      </c>
      <c r="G1270">
        <v>1</v>
      </c>
      <c r="H1270">
        <v>3</v>
      </c>
      <c r="I1270" t="s">
        <v>24</v>
      </c>
      <c r="J1270">
        <v>12965</v>
      </c>
      <c r="K1270">
        <v>4</v>
      </c>
      <c r="L1270">
        <v>2</v>
      </c>
      <c r="M1270">
        <v>3</v>
      </c>
      <c r="N1270" t="s">
        <v>20</v>
      </c>
      <c r="O1270" t="s">
        <v>31</v>
      </c>
      <c r="P1270">
        <v>62075444</v>
      </c>
    </row>
    <row r="1271" spans="1:16" ht="14.25" x14ac:dyDescent="0.2">
      <c r="A1271">
        <v>43</v>
      </c>
      <c r="B1271" t="s">
        <v>22</v>
      </c>
      <c r="C1271" t="s">
        <v>38</v>
      </c>
      <c r="D1271">
        <v>2</v>
      </c>
      <c r="E1271">
        <v>3</v>
      </c>
      <c r="F1271" t="s">
        <v>18</v>
      </c>
      <c r="G1271">
        <v>2</v>
      </c>
      <c r="H1271">
        <v>4</v>
      </c>
      <c r="I1271" t="s">
        <v>19</v>
      </c>
      <c r="J1271">
        <v>3539</v>
      </c>
      <c r="K1271">
        <v>0</v>
      </c>
      <c r="L1271">
        <v>3</v>
      </c>
      <c r="M1271">
        <v>9</v>
      </c>
      <c r="N1271" t="s">
        <v>25</v>
      </c>
      <c r="O1271" t="s">
        <v>38</v>
      </c>
      <c r="P1271">
        <v>21419908</v>
      </c>
    </row>
    <row r="1272" spans="1:16" ht="14.25" x14ac:dyDescent="0.2">
      <c r="A1272">
        <v>34</v>
      </c>
      <c r="B1272" t="s">
        <v>22</v>
      </c>
      <c r="C1272" t="s">
        <v>17</v>
      </c>
      <c r="D1272">
        <v>3</v>
      </c>
      <c r="E1272">
        <v>2</v>
      </c>
      <c r="F1272" t="s">
        <v>18</v>
      </c>
      <c r="G1272">
        <v>4</v>
      </c>
      <c r="H1272">
        <v>4</v>
      </c>
      <c r="I1272" t="s">
        <v>19</v>
      </c>
      <c r="J1272">
        <v>6029</v>
      </c>
      <c r="K1272">
        <v>5</v>
      </c>
      <c r="L1272">
        <v>3</v>
      </c>
      <c r="M1272">
        <v>2</v>
      </c>
      <c r="N1272" t="s">
        <v>20</v>
      </c>
      <c r="O1272" t="s">
        <v>21</v>
      </c>
      <c r="P1272">
        <v>79124448</v>
      </c>
    </row>
    <row r="1273" spans="1:16" ht="14.25" x14ac:dyDescent="0.2">
      <c r="A1273">
        <v>21</v>
      </c>
      <c r="B1273" t="s">
        <v>16</v>
      </c>
      <c r="C1273" t="s">
        <v>17</v>
      </c>
      <c r="D1273">
        <v>7</v>
      </c>
      <c r="E1273">
        <v>1</v>
      </c>
      <c r="F1273" t="s">
        <v>36</v>
      </c>
      <c r="G1273">
        <v>2</v>
      </c>
      <c r="H1273">
        <v>2</v>
      </c>
      <c r="I1273" t="s">
        <v>19</v>
      </c>
      <c r="J1273">
        <v>2679</v>
      </c>
      <c r="K1273">
        <v>1</v>
      </c>
      <c r="L1273">
        <v>3</v>
      </c>
      <c r="M1273">
        <v>1</v>
      </c>
      <c r="N1273" t="s">
        <v>25</v>
      </c>
      <c r="O1273" t="s">
        <v>34</v>
      </c>
      <c r="P1273">
        <v>73379323</v>
      </c>
    </row>
    <row r="1274" spans="1:16" ht="14.25" x14ac:dyDescent="0.2">
      <c r="A1274">
        <v>38</v>
      </c>
      <c r="B1274" t="s">
        <v>22</v>
      </c>
      <c r="C1274" t="s">
        <v>23</v>
      </c>
      <c r="D1274">
        <v>6</v>
      </c>
      <c r="E1274">
        <v>2</v>
      </c>
      <c r="F1274" t="s">
        <v>27</v>
      </c>
      <c r="G1274">
        <v>4</v>
      </c>
      <c r="H1274">
        <v>3</v>
      </c>
      <c r="I1274" t="s">
        <v>24</v>
      </c>
      <c r="J1274">
        <v>3702</v>
      </c>
      <c r="K1274">
        <v>1</v>
      </c>
      <c r="L1274">
        <v>3</v>
      </c>
      <c r="M1274">
        <v>5</v>
      </c>
      <c r="N1274" t="s">
        <v>20</v>
      </c>
      <c r="O1274" t="s">
        <v>28</v>
      </c>
      <c r="P1274">
        <v>53739715</v>
      </c>
    </row>
    <row r="1275" spans="1:16" ht="14.25" x14ac:dyDescent="0.2">
      <c r="A1275">
        <v>22</v>
      </c>
      <c r="B1275" t="s">
        <v>16</v>
      </c>
      <c r="C1275" t="s">
        <v>23</v>
      </c>
      <c r="D1275">
        <v>8</v>
      </c>
      <c r="E1275">
        <v>1</v>
      </c>
      <c r="F1275" t="s">
        <v>29</v>
      </c>
      <c r="G1275">
        <v>3</v>
      </c>
      <c r="H1275">
        <v>1</v>
      </c>
      <c r="I1275" t="s">
        <v>24</v>
      </c>
      <c r="J1275">
        <v>2398</v>
      </c>
      <c r="K1275">
        <v>1</v>
      </c>
      <c r="L1275">
        <v>3</v>
      </c>
      <c r="M1275">
        <v>1</v>
      </c>
      <c r="N1275" t="s">
        <v>20</v>
      </c>
      <c r="O1275" t="s">
        <v>28</v>
      </c>
      <c r="P1275">
        <v>53044015</v>
      </c>
    </row>
    <row r="1276" spans="1:16" ht="14.25" x14ac:dyDescent="0.2">
      <c r="A1276">
        <v>31</v>
      </c>
      <c r="B1276" t="s">
        <v>22</v>
      </c>
      <c r="C1276" t="s">
        <v>17</v>
      </c>
      <c r="D1276">
        <v>29</v>
      </c>
      <c r="E1276">
        <v>4</v>
      </c>
      <c r="F1276" t="s">
        <v>36</v>
      </c>
      <c r="G1276">
        <v>1</v>
      </c>
      <c r="H1276">
        <v>4</v>
      </c>
      <c r="I1276" t="s">
        <v>24</v>
      </c>
      <c r="J1276">
        <v>5468</v>
      </c>
      <c r="K1276">
        <v>1</v>
      </c>
      <c r="L1276">
        <v>3</v>
      </c>
      <c r="M1276">
        <v>12</v>
      </c>
      <c r="N1276" t="s">
        <v>20</v>
      </c>
      <c r="O1276" t="s">
        <v>21</v>
      </c>
      <c r="P1276">
        <v>29957686</v>
      </c>
    </row>
    <row r="1277" spans="1:16" ht="14.25" x14ac:dyDescent="0.2">
      <c r="A1277">
        <v>51</v>
      </c>
      <c r="B1277" t="s">
        <v>22</v>
      </c>
      <c r="C1277" t="s">
        <v>23</v>
      </c>
      <c r="D1277">
        <v>3</v>
      </c>
      <c r="E1277">
        <v>3</v>
      </c>
      <c r="F1277" t="s">
        <v>37</v>
      </c>
      <c r="G1277">
        <v>1</v>
      </c>
      <c r="H1277">
        <v>3</v>
      </c>
      <c r="I1277" t="s">
        <v>24</v>
      </c>
      <c r="J1277">
        <v>13116</v>
      </c>
      <c r="K1277">
        <v>2</v>
      </c>
      <c r="L1277">
        <v>3</v>
      </c>
      <c r="M1277">
        <v>2</v>
      </c>
      <c r="N1277" t="s">
        <v>20</v>
      </c>
      <c r="O1277" t="s">
        <v>33</v>
      </c>
      <c r="P1277">
        <v>68612270</v>
      </c>
    </row>
    <row r="1278" spans="1:16" ht="14.25" x14ac:dyDescent="0.2">
      <c r="A1278">
        <v>37</v>
      </c>
      <c r="B1278" t="s">
        <v>22</v>
      </c>
      <c r="C1278" t="s">
        <v>17</v>
      </c>
      <c r="D1278">
        <v>9</v>
      </c>
      <c r="E1278">
        <v>2</v>
      </c>
      <c r="F1278" t="s">
        <v>36</v>
      </c>
      <c r="G1278">
        <v>2</v>
      </c>
      <c r="H1278">
        <v>2</v>
      </c>
      <c r="I1278" t="s">
        <v>24</v>
      </c>
      <c r="J1278">
        <v>4189</v>
      </c>
      <c r="K1278">
        <v>1</v>
      </c>
      <c r="L1278">
        <v>3</v>
      </c>
      <c r="M1278">
        <v>5</v>
      </c>
      <c r="N1278" t="s">
        <v>25</v>
      </c>
      <c r="O1278" t="s">
        <v>21</v>
      </c>
      <c r="P1278">
        <v>23682518</v>
      </c>
    </row>
    <row r="1279" spans="1:16" ht="14.25" x14ac:dyDescent="0.2">
      <c r="A1279">
        <v>46</v>
      </c>
      <c r="B1279" t="s">
        <v>22</v>
      </c>
      <c r="C1279" t="s">
        <v>23</v>
      </c>
      <c r="D1279">
        <v>2</v>
      </c>
      <c r="E1279">
        <v>4</v>
      </c>
      <c r="F1279" t="s">
        <v>29</v>
      </c>
      <c r="G1279">
        <v>3</v>
      </c>
      <c r="H1279">
        <v>4</v>
      </c>
      <c r="I1279" t="s">
        <v>30</v>
      </c>
      <c r="J1279">
        <v>19328</v>
      </c>
      <c r="K1279">
        <v>7</v>
      </c>
      <c r="L1279">
        <v>3</v>
      </c>
      <c r="M1279">
        <v>2</v>
      </c>
      <c r="N1279" t="s">
        <v>25</v>
      </c>
      <c r="O1279" t="s">
        <v>35</v>
      </c>
      <c r="P1279">
        <v>13954724</v>
      </c>
    </row>
    <row r="1280" spans="1:16" ht="14.25" x14ac:dyDescent="0.2">
      <c r="A1280">
        <v>36</v>
      </c>
      <c r="B1280" t="s">
        <v>22</v>
      </c>
      <c r="C1280" t="s">
        <v>23</v>
      </c>
      <c r="D1280">
        <v>10</v>
      </c>
      <c r="E1280">
        <v>3</v>
      </c>
      <c r="F1280" t="s">
        <v>18</v>
      </c>
      <c r="G1280">
        <v>4</v>
      </c>
      <c r="H1280">
        <v>1</v>
      </c>
      <c r="I1280" t="s">
        <v>24</v>
      </c>
      <c r="J1280">
        <v>8321</v>
      </c>
      <c r="K1280">
        <v>7</v>
      </c>
      <c r="L1280">
        <v>3</v>
      </c>
      <c r="M1280">
        <v>12</v>
      </c>
      <c r="N1280" t="s">
        <v>25</v>
      </c>
      <c r="O1280" t="s">
        <v>32</v>
      </c>
      <c r="P1280">
        <v>26534629</v>
      </c>
    </row>
    <row r="1281" spans="1:16" ht="14.25" x14ac:dyDescent="0.2">
      <c r="A1281">
        <v>44</v>
      </c>
      <c r="B1281" t="s">
        <v>16</v>
      </c>
      <c r="C1281" t="s">
        <v>23</v>
      </c>
      <c r="D1281">
        <v>1</v>
      </c>
      <c r="E1281">
        <v>2</v>
      </c>
      <c r="F1281" t="s">
        <v>29</v>
      </c>
      <c r="G1281">
        <v>3</v>
      </c>
      <c r="H1281">
        <v>2</v>
      </c>
      <c r="I1281" t="s">
        <v>30</v>
      </c>
      <c r="J1281">
        <v>2342</v>
      </c>
      <c r="K1281">
        <v>1</v>
      </c>
      <c r="L1281">
        <v>2</v>
      </c>
      <c r="M1281">
        <v>5</v>
      </c>
      <c r="N1281" t="s">
        <v>25</v>
      </c>
      <c r="O1281" t="s">
        <v>26</v>
      </c>
      <c r="P1281">
        <v>51232277</v>
      </c>
    </row>
    <row r="1282" spans="1:16" ht="14.25" x14ac:dyDescent="0.2">
      <c r="A1282">
        <v>37</v>
      </c>
      <c r="B1282" t="s">
        <v>22</v>
      </c>
      <c r="C1282" t="s">
        <v>38</v>
      </c>
      <c r="D1282">
        <v>8</v>
      </c>
      <c r="E1282">
        <v>2</v>
      </c>
      <c r="F1282" t="s">
        <v>27</v>
      </c>
      <c r="G1282">
        <v>3</v>
      </c>
      <c r="H1282">
        <v>2</v>
      </c>
      <c r="I1282" t="s">
        <v>30</v>
      </c>
      <c r="J1282">
        <v>4071</v>
      </c>
      <c r="K1282">
        <v>2</v>
      </c>
      <c r="L1282">
        <v>2</v>
      </c>
      <c r="M1282">
        <v>10</v>
      </c>
      <c r="N1282" t="s">
        <v>25</v>
      </c>
      <c r="O1282" t="s">
        <v>38</v>
      </c>
      <c r="P1282">
        <v>64993383</v>
      </c>
    </row>
    <row r="1283" spans="1:16" ht="14.25" x14ac:dyDescent="0.2">
      <c r="A1283">
        <v>35</v>
      </c>
      <c r="B1283" t="s">
        <v>16</v>
      </c>
      <c r="C1283" t="s">
        <v>17</v>
      </c>
      <c r="D1283">
        <v>27</v>
      </c>
      <c r="E1283">
        <v>3</v>
      </c>
      <c r="F1283" t="s">
        <v>18</v>
      </c>
      <c r="G1283">
        <v>3</v>
      </c>
      <c r="H1283">
        <v>4</v>
      </c>
      <c r="I1283" t="s">
        <v>19</v>
      </c>
      <c r="J1283">
        <v>5813</v>
      </c>
      <c r="K1283">
        <v>1</v>
      </c>
      <c r="L1283">
        <v>3</v>
      </c>
      <c r="M1283">
        <v>10</v>
      </c>
      <c r="N1283" t="s">
        <v>25</v>
      </c>
      <c r="O1283" t="s">
        <v>21</v>
      </c>
      <c r="P1283">
        <v>20159361</v>
      </c>
    </row>
    <row r="1284" spans="1:16" ht="14.25" x14ac:dyDescent="0.2">
      <c r="A1284">
        <v>33</v>
      </c>
      <c r="B1284" t="s">
        <v>22</v>
      </c>
      <c r="C1284" t="s">
        <v>23</v>
      </c>
      <c r="D1284">
        <v>8</v>
      </c>
      <c r="E1284">
        <v>4</v>
      </c>
      <c r="F1284" t="s">
        <v>18</v>
      </c>
      <c r="G1284">
        <v>4</v>
      </c>
      <c r="H1284">
        <v>1</v>
      </c>
      <c r="I1284" t="s">
        <v>24</v>
      </c>
      <c r="J1284">
        <v>3143</v>
      </c>
      <c r="K1284">
        <v>6</v>
      </c>
      <c r="L1284">
        <v>3</v>
      </c>
      <c r="M1284">
        <v>10</v>
      </c>
      <c r="N1284" t="s">
        <v>25</v>
      </c>
      <c r="O1284" t="s">
        <v>26</v>
      </c>
      <c r="P1284">
        <v>40340100</v>
      </c>
    </row>
    <row r="1285" spans="1:16" ht="14.25" x14ac:dyDescent="0.2">
      <c r="A1285">
        <v>28</v>
      </c>
      <c r="B1285" t="s">
        <v>22</v>
      </c>
      <c r="C1285" t="s">
        <v>23</v>
      </c>
      <c r="D1285">
        <v>1</v>
      </c>
      <c r="E1285">
        <v>3</v>
      </c>
      <c r="F1285" t="s">
        <v>18</v>
      </c>
      <c r="G1285">
        <v>3</v>
      </c>
      <c r="H1285">
        <v>4</v>
      </c>
      <c r="I1285" t="s">
        <v>24</v>
      </c>
      <c r="J1285">
        <v>2044</v>
      </c>
      <c r="K1285">
        <v>1</v>
      </c>
      <c r="L1285">
        <v>4</v>
      </c>
      <c r="M1285">
        <v>5</v>
      </c>
      <c r="N1285" t="s">
        <v>25</v>
      </c>
      <c r="O1285" t="s">
        <v>26</v>
      </c>
      <c r="P1285">
        <v>20526392</v>
      </c>
    </row>
    <row r="1286" spans="1:16" ht="14.25" x14ac:dyDescent="0.2">
      <c r="A1286">
        <v>39</v>
      </c>
      <c r="B1286" t="s">
        <v>22</v>
      </c>
      <c r="C1286" t="s">
        <v>23</v>
      </c>
      <c r="D1286">
        <v>10</v>
      </c>
      <c r="E1286">
        <v>1</v>
      </c>
      <c r="F1286" t="s">
        <v>29</v>
      </c>
      <c r="G1286">
        <v>3</v>
      </c>
      <c r="H1286">
        <v>3</v>
      </c>
      <c r="I1286" t="s">
        <v>19</v>
      </c>
      <c r="J1286">
        <v>13464</v>
      </c>
      <c r="K1286">
        <v>7</v>
      </c>
      <c r="L1286">
        <v>3</v>
      </c>
      <c r="M1286">
        <v>4</v>
      </c>
      <c r="N1286" t="s">
        <v>25</v>
      </c>
      <c r="O1286" t="s">
        <v>35</v>
      </c>
      <c r="P1286">
        <v>24638116</v>
      </c>
    </row>
    <row r="1287" spans="1:16" ht="14.25" x14ac:dyDescent="0.2">
      <c r="A1287">
        <v>46</v>
      </c>
      <c r="B1287" t="s">
        <v>22</v>
      </c>
      <c r="C1287" t="s">
        <v>17</v>
      </c>
      <c r="D1287">
        <v>26</v>
      </c>
      <c r="E1287">
        <v>2</v>
      </c>
      <c r="F1287" t="s">
        <v>18</v>
      </c>
      <c r="G1287">
        <v>2</v>
      </c>
      <c r="H1287">
        <v>2</v>
      </c>
      <c r="I1287" t="s">
        <v>19</v>
      </c>
      <c r="J1287">
        <v>7991</v>
      </c>
      <c r="K1287">
        <v>8</v>
      </c>
      <c r="L1287">
        <v>3</v>
      </c>
      <c r="M1287">
        <v>2</v>
      </c>
      <c r="N1287" t="s">
        <v>25</v>
      </c>
      <c r="O1287" t="s">
        <v>21</v>
      </c>
      <c r="P1287">
        <v>68859404</v>
      </c>
    </row>
    <row r="1288" spans="1:16" ht="14.25" x14ac:dyDescent="0.2">
      <c r="A1288">
        <v>40</v>
      </c>
      <c r="B1288" t="s">
        <v>22</v>
      </c>
      <c r="C1288" t="s">
        <v>23</v>
      </c>
      <c r="D1288">
        <v>2</v>
      </c>
      <c r="E1288">
        <v>2</v>
      </c>
      <c r="F1288" t="s">
        <v>18</v>
      </c>
      <c r="G1288">
        <v>3</v>
      </c>
      <c r="H1288">
        <v>1</v>
      </c>
      <c r="I1288" t="s">
        <v>24</v>
      </c>
      <c r="J1288">
        <v>3377</v>
      </c>
      <c r="K1288">
        <v>4</v>
      </c>
      <c r="L1288">
        <v>2</v>
      </c>
      <c r="M1288">
        <v>4</v>
      </c>
      <c r="N1288" t="s">
        <v>20</v>
      </c>
      <c r="O1288" t="s">
        <v>28</v>
      </c>
      <c r="P1288">
        <v>82886564</v>
      </c>
    </row>
    <row r="1289" spans="1:16" ht="14.25" x14ac:dyDescent="0.2">
      <c r="A1289">
        <v>42</v>
      </c>
      <c r="B1289" t="s">
        <v>22</v>
      </c>
      <c r="C1289" t="s">
        <v>23</v>
      </c>
      <c r="D1289">
        <v>13</v>
      </c>
      <c r="E1289">
        <v>3</v>
      </c>
      <c r="F1289" t="s">
        <v>29</v>
      </c>
      <c r="G1289">
        <v>2</v>
      </c>
      <c r="H1289">
        <v>1</v>
      </c>
      <c r="I1289" t="s">
        <v>24</v>
      </c>
      <c r="J1289">
        <v>5538</v>
      </c>
      <c r="K1289">
        <v>5</v>
      </c>
      <c r="L1289">
        <v>2</v>
      </c>
      <c r="M1289">
        <v>0</v>
      </c>
      <c r="N1289" t="s">
        <v>25</v>
      </c>
      <c r="O1289" t="s">
        <v>32</v>
      </c>
      <c r="P1289">
        <v>87806440</v>
      </c>
    </row>
    <row r="1290" spans="1:16" ht="14.25" x14ac:dyDescent="0.2">
      <c r="A1290">
        <v>35</v>
      </c>
      <c r="B1290" t="s">
        <v>22</v>
      </c>
      <c r="C1290" t="s">
        <v>23</v>
      </c>
      <c r="D1290">
        <v>2</v>
      </c>
      <c r="E1290">
        <v>2</v>
      </c>
      <c r="F1290" t="s">
        <v>29</v>
      </c>
      <c r="G1290">
        <v>2</v>
      </c>
      <c r="H1290">
        <v>4</v>
      </c>
      <c r="I1290" t="s">
        <v>30</v>
      </c>
      <c r="J1290">
        <v>5762</v>
      </c>
      <c r="K1290">
        <v>2</v>
      </c>
      <c r="L1290">
        <v>3</v>
      </c>
      <c r="M1290">
        <v>7</v>
      </c>
      <c r="N1290" t="s">
        <v>25</v>
      </c>
      <c r="O1290" t="s">
        <v>31</v>
      </c>
      <c r="P1290">
        <v>83728636</v>
      </c>
    </row>
    <row r="1291" spans="1:16" ht="14.25" x14ac:dyDescent="0.2">
      <c r="A1291">
        <v>38</v>
      </c>
      <c r="B1291" t="s">
        <v>22</v>
      </c>
      <c r="C1291" t="s">
        <v>38</v>
      </c>
      <c r="D1291">
        <v>2</v>
      </c>
      <c r="E1291">
        <v>3</v>
      </c>
      <c r="F1291" t="s">
        <v>38</v>
      </c>
      <c r="G1291">
        <v>1</v>
      </c>
      <c r="H1291">
        <v>2</v>
      </c>
      <c r="I1291" t="s">
        <v>30</v>
      </c>
      <c r="J1291">
        <v>2592</v>
      </c>
      <c r="K1291">
        <v>5</v>
      </c>
      <c r="L1291">
        <v>3</v>
      </c>
      <c r="M1291">
        <v>11</v>
      </c>
      <c r="N1291" t="s">
        <v>25</v>
      </c>
      <c r="O1291" t="s">
        <v>38</v>
      </c>
      <c r="P1291">
        <v>39881214</v>
      </c>
    </row>
    <row r="1292" spans="1:16" ht="14.25" x14ac:dyDescent="0.2">
      <c r="A1292">
        <v>34</v>
      </c>
      <c r="B1292" t="s">
        <v>16</v>
      </c>
      <c r="C1292" t="s">
        <v>23</v>
      </c>
      <c r="D1292">
        <v>9</v>
      </c>
      <c r="E1292">
        <v>4</v>
      </c>
      <c r="F1292" t="s">
        <v>18</v>
      </c>
      <c r="G1292">
        <v>4</v>
      </c>
      <c r="H1292">
        <v>1</v>
      </c>
      <c r="I1292" t="s">
        <v>24</v>
      </c>
      <c r="J1292">
        <v>5346</v>
      </c>
      <c r="K1292">
        <v>4</v>
      </c>
      <c r="L1292">
        <v>2</v>
      </c>
      <c r="M1292">
        <v>7</v>
      </c>
      <c r="N1292" t="s">
        <v>25</v>
      </c>
      <c r="O1292" t="s">
        <v>28</v>
      </c>
      <c r="P1292">
        <v>48764887</v>
      </c>
    </row>
    <row r="1293" spans="1:16" ht="14.25" x14ac:dyDescent="0.2">
      <c r="A1293">
        <v>37</v>
      </c>
      <c r="B1293" t="s">
        <v>16</v>
      </c>
      <c r="C1293" t="s">
        <v>23</v>
      </c>
      <c r="D1293">
        <v>10</v>
      </c>
      <c r="E1293">
        <v>4</v>
      </c>
      <c r="F1293" t="s">
        <v>29</v>
      </c>
      <c r="G1293">
        <v>4</v>
      </c>
      <c r="H1293">
        <v>1</v>
      </c>
      <c r="I1293" t="s">
        <v>19</v>
      </c>
      <c r="J1293">
        <v>4213</v>
      </c>
      <c r="K1293">
        <v>1</v>
      </c>
      <c r="L1293">
        <v>1</v>
      </c>
      <c r="M1293">
        <v>10</v>
      </c>
      <c r="N1293" t="s">
        <v>25</v>
      </c>
      <c r="O1293" t="s">
        <v>31</v>
      </c>
      <c r="P1293">
        <v>32902633</v>
      </c>
    </row>
    <row r="1294" spans="1:16" ht="14.25" x14ac:dyDescent="0.2">
      <c r="A1294">
        <v>39</v>
      </c>
      <c r="B1294" t="s">
        <v>22</v>
      </c>
      <c r="C1294" t="s">
        <v>17</v>
      </c>
      <c r="D1294">
        <v>20</v>
      </c>
      <c r="E1294">
        <v>3</v>
      </c>
      <c r="F1294" t="s">
        <v>18</v>
      </c>
      <c r="G1294">
        <v>3</v>
      </c>
      <c r="H1294">
        <v>4</v>
      </c>
      <c r="I1294" t="s">
        <v>30</v>
      </c>
      <c r="J1294">
        <v>4127</v>
      </c>
      <c r="K1294">
        <v>2</v>
      </c>
      <c r="L1294">
        <v>3</v>
      </c>
      <c r="M1294">
        <v>2</v>
      </c>
      <c r="N1294" t="s">
        <v>25</v>
      </c>
      <c r="O1294" t="s">
        <v>21</v>
      </c>
      <c r="P1294">
        <v>79653445</v>
      </c>
    </row>
    <row r="1295" spans="1:16" ht="14.25" x14ac:dyDescent="0.2">
      <c r="A1295">
        <v>43</v>
      </c>
      <c r="B1295" t="s">
        <v>22</v>
      </c>
      <c r="C1295" t="s">
        <v>23</v>
      </c>
      <c r="D1295">
        <v>9</v>
      </c>
      <c r="E1295">
        <v>3</v>
      </c>
      <c r="F1295" t="s">
        <v>18</v>
      </c>
      <c r="G1295">
        <v>1</v>
      </c>
      <c r="H1295">
        <v>3</v>
      </c>
      <c r="I1295" t="s">
        <v>19</v>
      </c>
      <c r="J1295">
        <v>2438</v>
      </c>
      <c r="K1295">
        <v>4</v>
      </c>
      <c r="L1295">
        <v>2</v>
      </c>
      <c r="M1295">
        <v>3</v>
      </c>
      <c r="N1295" t="s">
        <v>25</v>
      </c>
      <c r="O1295" t="s">
        <v>26</v>
      </c>
      <c r="P1295">
        <v>19984523</v>
      </c>
    </row>
    <row r="1296" spans="1:16" ht="14.25" x14ac:dyDescent="0.2">
      <c r="A1296">
        <v>41</v>
      </c>
      <c r="B1296" t="s">
        <v>22</v>
      </c>
      <c r="C1296" t="s">
        <v>23</v>
      </c>
      <c r="D1296">
        <v>5</v>
      </c>
      <c r="E1296">
        <v>3</v>
      </c>
      <c r="F1296" t="s">
        <v>18</v>
      </c>
      <c r="G1296">
        <v>2</v>
      </c>
      <c r="H1296">
        <v>2</v>
      </c>
      <c r="I1296" t="s">
        <v>19</v>
      </c>
      <c r="J1296">
        <v>6870</v>
      </c>
      <c r="K1296">
        <v>3</v>
      </c>
      <c r="L1296">
        <v>1</v>
      </c>
      <c r="M1296">
        <v>3</v>
      </c>
      <c r="N1296" t="s">
        <v>25</v>
      </c>
      <c r="O1296" t="s">
        <v>32</v>
      </c>
      <c r="P1296">
        <v>21610499</v>
      </c>
    </row>
    <row r="1297" spans="1:16" ht="14.25" x14ac:dyDescent="0.2">
      <c r="A1297">
        <v>41</v>
      </c>
      <c r="B1297" t="s">
        <v>22</v>
      </c>
      <c r="C1297" t="s">
        <v>17</v>
      </c>
      <c r="D1297">
        <v>4</v>
      </c>
      <c r="E1297">
        <v>1</v>
      </c>
      <c r="F1297" t="s">
        <v>36</v>
      </c>
      <c r="G1297">
        <v>3</v>
      </c>
      <c r="H1297">
        <v>3</v>
      </c>
      <c r="I1297" t="s">
        <v>30</v>
      </c>
      <c r="J1297">
        <v>10447</v>
      </c>
      <c r="K1297">
        <v>0</v>
      </c>
      <c r="L1297">
        <v>4</v>
      </c>
      <c r="M1297">
        <v>22</v>
      </c>
      <c r="N1297" t="s">
        <v>20</v>
      </c>
      <c r="O1297" t="s">
        <v>21</v>
      </c>
      <c r="P1297">
        <v>82119041</v>
      </c>
    </row>
    <row r="1298" spans="1:16" ht="14.25" x14ac:dyDescent="0.2">
      <c r="A1298">
        <v>30</v>
      </c>
      <c r="B1298" t="s">
        <v>22</v>
      </c>
      <c r="C1298" t="s">
        <v>23</v>
      </c>
      <c r="D1298">
        <v>10</v>
      </c>
      <c r="E1298">
        <v>3</v>
      </c>
      <c r="F1298" t="s">
        <v>29</v>
      </c>
      <c r="G1298">
        <v>1</v>
      </c>
      <c r="H1298">
        <v>3</v>
      </c>
      <c r="I1298" t="s">
        <v>19</v>
      </c>
      <c r="J1298">
        <v>9667</v>
      </c>
      <c r="K1298">
        <v>9</v>
      </c>
      <c r="L1298">
        <v>3</v>
      </c>
      <c r="M1298">
        <v>7</v>
      </c>
      <c r="N1298" t="s">
        <v>20</v>
      </c>
      <c r="O1298" t="s">
        <v>31</v>
      </c>
      <c r="P1298">
        <v>76257872</v>
      </c>
    </row>
    <row r="1299" spans="1:16" ht="14.25" x14ac:dyDescent="0.2">
      <c r="A1299">
        <v>26</v>
      </c>
      <c r="B1299" t="s">
        <v>16</v>
      </c>
      <c r="C1299" t="s">
        <v>38</v>
      </c>
      <c r="D1299">
        <v>20</v>
      </c>
      <c r="E1299">
        <v>2</v>
      </c>
      <c r="F1299" t="s">
        <v>29</v>
      </c>
      <c r="G1299">
        <v>4</v>
      </c>
      <c r="H1299">
        <v>2</v>
      </c>
      <c r="I1299" t="s">
        <v>24</v>
      </c>
      <c r="J1299">
        <v>2148</v>
      </c>
      <c r="K1299">
        <v>0</v>
      </c>
      <c r="L1299">
        <v>3</v>
      </c>
      <c r="M1299">
        <v>5</v>
      </c>
      <c r="N1299" t="s">
        <v>20</v>
      </c>
      <c r="O1299" t="s">
        <v>38</v>
      </c>
      <c r="P1299">
        <v>74789369</v>
      </c>
    </row>
    <row r="1300" spans="1:16" ht="14.25" x14ac:dyDescent="0.2">
      <c r="A1300">
        <v>46</v>
      </c>
      <c r="B1300" t="s">
        <v>16</v>
      </c>
      <c r="C1300" t="s">
        <v>23</v>
      </c>
      <c r="D1300">
        <v>21</v>
      </c>
      <c r="E1300">
        <v>2</v>
      </c>
      <c r="F1300" t="s">
        <v>29</v>
      </c>
      <c r="G1300">
        <v>4</v>
      </c>
      <c r="H1300">
        <v>2</v>
      </c>
      <c r="I1300" t="s">
        <v>24</v>
      </c>
      <c r="J1300">
        <v>8926</v>
      </c>
      <c r="K1300">
        <v>4</v>
      </c>
      <c r="L1300">
        <v>4</v>
      </c>
      <c r="M1300">
        <v>9</v>
      </c>
      <c r="N1300" t="s">
        <v>20</v>
      </c>
      <c r="O1300" t="s">
        <v>32</v>
      </c>
      <c r="P1300">
        <v>53809114</v>
      </c>
    </row>
    <row r="1301" spans="1:16" ht="14.25" x14ac:dyDescent="0.2">
      <c r="A1301">
        <v>40</v>
      </c>
      <c r="B1301" t="s">
        <v>22</v>
      </c>
      <c r="C1301" t="s">
        <v>23</v>
      </c>
      <c r="D1301">
        <v>1</v>
      </c>
      <c r="E1301">
        <v>3</v>
      </c>
      <c r="F1301" t="s">
        <v>18</v>
      </c>
      <c r="G1301">
        <v>3</v>
      </c>
      <c r="H1301">
        <v>4</v>
      </c>
      <c r="I1301" t="s">
        <v>30</v>
      </c>
      <c r="J1301">
        <v>6513</v>
      </c>
      <c r="K1301">
        <v>4</v>
      </c>
      <c r="L1301">
        <v>3</v>
      </c>
      <c r="M1301">
        <v>5</v>
      </c>
      <c r="N1301" t="s">
        <v>20</v>
      </c>
      <c r="O1301" t="s">
        <v>32</v>
      </c>
      <c r="P1301">
        <v>59190719</v>
      </c>
    </row>
    <row r="1302" spans="1:16" ht="14.25" x14ac:dyDescent="0.2">
      <c r="A1302">
        <v>34</v>
      </c>
      <c r="B1302" t="s">
        <v>22</v>
      </c>
      <c r="C1302" t="s">
        <v>17</v>
      </c>
      <c r="D1302">
        <v>8</v>
      </c>
      <c r="E1302">
        <v>2</v>
      </c>
      <c r="F1302" t="s">
        <v>37</v>
      </c>
      <c r="G1302">
        <v>2</v>
      </c>
      <c r="H1302">
        <v>3</v>
      </c>
      <c r="I1302" t="s">
        <v>24</v>
      </c>
      <c r="J1302">
        <v>6799</v>
      </c>
      <c r="K1302">
        <v>1</v>
      </c>
      <c r="L1302">
        <v>3</v>
      </c>
      <c r="M1302">
        <v>10</v>
      </c>
      <c r="N1302" t="s">
        <v>25</v>
      </c>
      <c r="O1302" t="s">
        <v>21</v>
      </c>
      <c r="P1302">
        <v>20342196</v>
      </c>
    </row>
    <row r="1303" spans="1:16" ht="14.25" x14ac:dyDescent="0.2">
      <c r="A1303">
        <v>58</v>
      </c>
      <c r="B1303" t="s">
        <v>22</v>
      </c>
      <c r="C1303" t="s">
        <v>17</v>
      </c>
      <c r="D1303">
        <v>2</v>
      </c>
      <c r="E1303">
        <v>3</v>
      </c>
      <c r="F1303" t="s">
        <v>29</v>
      </c>
      <c r="G1303">
        <v>2</v>
      </c>
      <c r="H1303">
        <v>2</v>
      </c>
      <c r="I1303" t="s">
        <v>30</v>
      </c>
      <c r="J1303">
        <v>16291</v>
      </c>
      <c r="K1303">
        <v>4</v>
      </c>
      <c r="L1303">
        <v>2</v>
      </c>
      <c r="M1303">
        <v>16</v>
      </c>
      <c r="N1303" t="s">
        <v>25</v>
      </c>
      <c r="O1303" t="s">
        <v>33</v>
      </c>
      <c r="P1303">
        <v>24722919</v>
      </c>
    </row>
    <row r="1304" spans="1:16" ht="14.25" x14ac:dyDescent="0.2">
      <c r="A1304">
        <v>35</v>
      </c>
      <c r="B1304" t="s">
        <v>22</v>
      </c>
      <c r="C1304" t="s">
        <v>23</v>
      </c>
      <c r="D1304">
        <v>23</v>
      </c>
      <c r="E1304">
        <v>4</v>
      </c>
      <c r="F1304" t="s">
        <v>29</v>
      </c>
      <c r="G1304">
        <v>2</v>
      </c>
      <c r="H1304">
        <v>3</v>
      </c>
      <c r="I1304" t="s">
        <v>24</v>
      </c>
      <c r="J1304">
        <v>2705</v>
      </c>
      <c r="K1304">
        <v>0</v>
      </c>
      <c r="L1304">
        <v>4</v>
      </c>
      <c r="M1304">
        <v>5</v>
      </c>
      <c r="N1304" t="s">
        <v>25</v>
      </c>
      <c r="O1304" t="s">
        <v>28</v>
      </c>
      <c r="P1304">
        <v>80639321</v>
      </c>
    </row>
    <row r="1305" spans="1:16" ht="14.25" x14ac:dyDescent="0.2">
      <c r="A1305">
        <v>47</v>
      </c>
      <c r="B1305" t="s">
        <v>22</v>
      </c>
      <c r="C1305" t="s">
        <v>23</v>
      </c>
      <c r="D1305">
        <v>4</v>
      </c>
      <c r="E1305">
        <v>3</v>
      </c>
      <c r="F1305" t="s">
        <v>18</v>
      </c>
      <c r="G1305">
        <v>3</v>
      </c>
      <c r="H1305">
        <v>2</v>
      </c>
      <c r="I1305" t="s">
        <v>30</v>
      </c>
      <c r="J1305">
        <v>10333</v>
      </c>
      <c r="K1305">
        <v>8</v>
      </c>
      <c r="L1305">
        <v>3</v>
      </c>
      <c r="M1305">
        <v>22</v>
      </c>
      <c r="N1305" t="s">
        <v>20</v>
      </c>
      <c r="O1305" t="s">
        <v>31</v>
      </c>
      <c r="P1305">
        <v>57816395</v>
      </c>
    </row>
    <row r="1306" spans="1:16" ht="14.25" x14ac:dyDescent="0.2">
      <c r="A1306">
        <v>40</v>
      </c>
      <c r="B1306" t="s">
        <v>22</v>
      </c>
      <c r="C1306" t="s">
        <v>23</v>
      </c>
      <c r="D1306">
        <v>12</v>
      </c>
      <c r="E1306">
        <v>3</v>
      </c>
      <c r="F1306" t="s">
        <v>18</v>
      </c>
      <c r="G1306">
        <v>2</v>
      </c>
      <c r="H1306">
        <v>1</v>
      </c>
      <c r="I1306" t="s">
        <v>30</v>
      </c>
      <c r="J1306">
        <v>4448</v>
      </c>
      <c r="K1306">
        <v>2</v>
      </c>
      <c r="L1306">
        <v>3</v>
      </c>
      <c r="M1306">
        <v>7</v>
      </c>
      <c r="N1306" t="s">
        <v>20</v>
      </c>
      <c r="O1306" t="s">
        <v>32</v>
      </c>
      <c r="P1306">
        <v>78612186</v>
      </c>
    </row>
    <row r="1307" spans="1:16" ht="14.25" x14ac:dyDescent="0.2">
      <c r="A1307">
        <v>54</v>
      </c>
      <c r="B1307" t="s">
        <v>22</v>
      </c>
      <c r="C1307" t="s">
        <v>23</v>
      </c>
      <c r="D1307">
        <v>7</v>
      </c>
      <c r="E1307">
        <v>4</v>
      </c>
      <c r="F1307" t="s">
        <v>29</v>
      </c>
      <c r="G1307">
        <v>4</v>
      </c>
      <c r="H1307">
        <v>4</v>
      </c>
      <c r="I1307" t="s">
        <v>24</v>
      </c>
      <c r="J1307">
        <v>6854</v>
      </c>
      <c r="K1307">
        <v>4</v>
      </c>
      <c r="L1307">
        <v>2</v>
      </c>
      <c r="M1307">
        <v>7</v>
      </c>
      <c r="N1307" t="s">
        <v>20</v>
      </c>
      <c r="O1307" t="s">
        <v>26</v>
      </c>
      <c r="P1307">
        <v>33320432</v>
      </c>
    </row>
    <row r="1308" spans="1:16" ht="14.25" x14ac:dyDescent="0.2">
      <c r="A1308">
        <v>31</v>
      </c>
      <c r="B1308" t="s">
        <v>22</v>
      </c>
      <c r="C1308" t="s">
        <v>17</v>
      </c>
      <c r="D1308">
        <v>7</v>
      </c>
      <c r="E1308">
        <v>4</v>
      </c>
      <c r="F1308" t="s">
        <v>36</v>
      </c>
      <c r="G1308">
        <v>1</v>
      </c>
      <c r="H1308">
        <v>1</v>
      </c>
      <c r="I1308" t="s">
        <v>24</v>
      </c>
      <c r="J1308">
        <v>9637</v>
      </c>
      <c r="K1308">
        <v>2</v>
      </c>
      <c r="L1308">
        <v>3</v>
      </c>
      <c r="M1308">
        <v>3</v>
      </c>
      <c r="N1308" t="s">
        <v>20</v>
      </c>
      <c r="O1308" t="s">
        <v>21</v>
      </c>
      <c r="P1308">
        <v>70249894</v>
      </c>
    </row>
    <row r="1309" spans="1:16" ht="14.25" x14ac:dyDescent="0.2">
      <c r="A1309">
        <v>28</v>
      </c>
      <c r="B1309" t="s">
        <v>22</v>
      </c>
      <c r="C1309" t="s">
        <v>23</v>
      </c>
      <c r="D1309">
        <v>1</v>
      </c>
      <c r="E1309">
        <v>3</v>
      </c>
      <c r="F1309" t="s">
        <v>29</v>
      </c>
      <c r="G1309">
        <v>3</v>
      </c>
      <c r="H1309">
        <v>1</v>
      </c>
      <c r="I1309" t="s">
        <v>24</v>
      </c>
      <c r="J1309">
        <v>3591</v>
      </c>
      <c r="K1309">
        <v>1</v>
      </c>
      <c r="L1309">
        <v>3</v>
      </c>
      <c r="M1309">
        <v>3</v>
      </c>
      <c r="N1309" t="s">
        <v>20</v>
      </c>
      <c r="O1309" t="s">
        <v>26</v>
      </c>
      <c r="P1309">
        <v>35386522</v>
      </c>
    </row>
    <row r="1310" spans="1:16" ht="14.25" x14ac:dyDescent="0.2">
      <c r="A1310">
        <v>38</v>
      </c>
      <c r="B1310" t="s">
        <v>22</v>
      </c>
      <c r="C1310" t="s">
        <v>17</v>
      </c>
      <c r="D1310">
        <v>2</v>
      </c>
      <c r="E1310">
        <v>4</v>
      </c>
      <c r="F1310" t="s">
        <v>36</v>
      </c>
      <c r="G1310">
        <v>2</v>
      </c>
      <c r="H1310">
        <v>4</v>
      </c>
      <c r="I1310" t="s">
        <v>24</v>
      </c>
      <c r="J1310">
        <v>5405</v>
      </c>
      <c r="K1310">
        <v>2</v>
      </c>
      <c r="L1310">
        <v>2</v>
      </c>
      <c r="M1310">
        <v>4</v>
      </c>
      <c r="N1310" t="s">
        <v>20</v>
      </c>
      <c r="O1310" t="s">
        <v>34</v>
      </c>
      <c r="P1310">
        <v>18795606</v>
      </c>
    </row>
    <row r="1311" spans="1:16" ht="14.25" x14ac:dyDescent="0.2">
      <c r="A1311">
        <v>26</v>
      </c>
      <c r="B1311" t="s">
        <v>22</v>
      </c>
      <c r="C1311" t="s">
        <v>17</v>
      </c>
      <c r="D1311">
        <v>10</v>
      </c>
      <c r="E1311">
        <v>3</v>
      </c>
      <c r="F1311" t="s">
        <v>29</v>
      </c>
      <c r="G1311">
        <v>3</v>
      </c>
      <c r="H1311">
        <v>4</v>
      </c>
      <c r="I1311" t="s">
        <v>19</v>
      </c>
      <c r="J1311">
        <v>4684</v>
      </c>
      <c r="K1311">
        <v>1</v>
      </c>
      <c r="L1311">
        <v>3</v>
      </c>
      <c r="M1311">
        <v>5</v>
      </c>
      <c r="N1311" t="s">
        <v>25</v>
      </c>
      <c r="O1311" t="s">
        <v>21</v>
      </c>
      <c r="P1311">
        <v>41943272</v>
      </c>
    </row>
    <row r="1312" spans="1:16" ht="14.25" x14ac:dyDescent="0.2">
      <c r="A1312">
        <v>58</v>
      </c>
      <c r="B1312" t="s">
        <v>22</v>
      </c>
      <c r="C1312" t="s">
        <v>23</v>
      </c>
      <c r="D1312">
        <v>15</v>
      </c>
      <c r="E1312">
        <v>4</v>
      </c>
      <c r="F1312" t="s">
        <v>18</v>
      </c>
      <c r="G1312">
        <v>1</v>
      </c>
      <c r="H1312">
        <v>3</v>
      </c>
      <c r="I1312" t="s">
        <v>24</v>
      </c>
      <c r="J1312">
        <v>15787</v>
      </c>
      <c r="K1312">
        <v>2</v>
      </c>
      <c r="L1312">
        <v>3</v>
      </c>
      <c r="M1312">
        <v>2</v>
      </c>
      <c r="N1312" t="s">
        <v>25</v>
      </c>
      <c r="O1312" t="s">
        <v>35</v>
      </c>
      <c r="P1312">
        <v>28323401</v>
      </c>
    </row>
    <row r="1313" spans="1:16" ht="14.25" x14ac:dyDescent="0.2">
      <c r="A1313">
        <v>18</v>
      </c>
      <c r="B1313" t="s">
        <v>22</v>
      </c>
      <c r="C1313" t="s">
        <v>23</v>
      </c>
      <c r="D1313">
        <v>14</v>
      </c>
      <c r="E1313">
        <v>3</v>
      </c>
      <c r="F1313" t="s">
        <v>29</v>
      </c>
      <c r="G1313">
        <v>2</v>
      </c>
      <c r="H1313">
        <v>3</v>
      </c>
      <c r="I1313" t="s">
        <v>19</v>
      </c>
      <c r="J1313">
        <v>1514</v>
      </c>
      <c r="K1313">
        <v>1</v>
      </c>
      <c r="L1313">
        <v>1</v>
      </c>
      <c r="M1313">
        <v>0</v>
      </c>
      <c r="N1313" t="s">
        <v>20</v>
      </c>
      <c r="O1313" t="s">
        <v>26</v>
      </c>
      <c r="P1313">
        <v>44694044</v>
      </c>
    </row>
    <row r="1314" spans="1:16" ht="14.25" x14ac:dyDescent="0.2">
      <c r="A1314">
        <v>31</v>
      </c>
      <c r="B1314" t="s">
        <v>16</v>
      </c>
      <c r="C1314" t="s">
        <v>38</v>
      </c>
      <c r="D1314">
        <v>18</v>
      </c>
      <c r="E1314">
        <v>5</v>
      </c>
      <c r="F1314" t="s">
        <v>38</v>
      </c>
      <c r="G1314">
        <v>4</v>
      </c>
      <c r="H1314">
        <v>1</v>
      </c>
      <c r="I1314" t="s">
        <v>24</v>
      </c>
      <c r="J1314">
        <v>2956</v>
      </c>
      <c r="K1314">
        <v>0</v>
      </c>
      <c r="L1314">
        <v>3</v>
      </c>
      <c r="M1314">
        <v>1</v>
      </c>
      <c r="N1314" t="s">
        <v>25</v>
      </c>
      <c r="O1314" t="s">
        <v>38</v>
      </c>
      <c r="P1314">
        <v>42582566</v>
      </c>
    </row>
    <row r="1315" spans="1:16" ht="14.25" x14ac:dyDescent="0.2">
      <c r="A1315">
        <v>29</v>
      </c>
      <c r="B1315" t="s">
        <v>16</v>
      </c>
      <c r="C1315" t="s">
        <v>38</v>
      </c>
      <c r="D1315">
        <v>13</v>
      </c>
      <c r="E1315">
        <v>3</v>
      </c>
      <c r="F1315" t="s">
        <v>38</v>
      </c>
      <c r="G1315">
        <v>1</v>
      </c>
      <c r="H1315">
        <v>1</v>
      </c>
      <c r="I1315" t="s">
        <v>30</v>
      </c>
      <c r="J1315">
        <v>2335</v>
      </c>
      <c r="K1315">
        <v>4</v>
      </c>
      <c r="L1315">
        <v>3</v>
      </c>
      <c r="M1315">
        <v>2</v>
      </c>
      <c r="N1315" t="s">
        <v>25</v>
      </c>
      <c r="O1315" t="s">
        <v>38</v>
      </c>
      <c r="P1315">
        <v>87361990</v>
      </c>
    </row>
    <row r="1316" spans="1:16" ht="14.25" x14ac:dyDescent="0.2">
      <c r="A1316">
        <v>45</v>
      </c>
      <c r="B1316" t="s">
        <v>22</v>
      </c>
      <c r="C1316" t="s">
        <v>17</v>
      </c>
      <c r="D1316">
        <v>2</v>
      </c>
      <c r="E1316">
        <v>4</v>
      </c>
      <c r="F1316" t="s">
        <v>18</v>
      </c>
      <c r="G1316">
        <v>3</v>
      </c>
      <c r="H1316">
        <v>3</v>
      </c>
      <c r="I1316" t="s">
        <v>24</v>
      </c>
      <c r="J1316">
        <v>5154</v>
      </c>
      <c r="K1316">
        <v>4</v>
      </c>
      <c r="L1316">
        <v>4</v>
      </c>
      <c r="M1316">
        <v>8</v>
      </c>
      <c r="N1316" t="s">
        <v>20</v>
      </c>
      <c r="O1316" t="s">
        <v>21</v>
      </c>
      <c r="P1316">
        <v>64049065</v>
      </c>
    </row>
    <row r="1317" spans="1:16" ht="14.25" x14ac:dyDescent="0.2">
      <c r="A1317">
        <v>36</v>
      </c>
      <c r="B1317" t="s">
        <v>22</v>
      </c>
      <c r="C1317" t="s">
        <v>23</v>
      </c>
      <c r="D1317">
        <v>2</v>
      </c>
      <c r="E1317">
        <v>4</v>
      </c>
      <c r="F1317" t="s">
        <v>27</v>
      </c>
      <c r="G1317">
        <v>4</v>
      </c>
      <c r="H1317">
        <v>2</v>
      </c>
      <c r="I1317" t="s">
        <v>24</v>
      </c>
      <c r="J1317">
        <v>6962</v>
      </c>
      <c r="K1317">
        <v>4</v>
      </c>
      <c r="L1317">
        <v>3</v>
      </c>
      <c r="M1317">
        <v>1</v>
      </c>
      <c r="N1317" t="s">
        <v>20</v>
      </c>
      <c r="O1317" t="s">
        <v>26</v>
      </c>
      <c r="P1317">
        <v>48122387</v>
      </c>
    </row>
    <row r="1318" spans="1:16" ht="14.25" x14ac:dyDescent="0.2">
      <c r="A1318">
        <v>43</v>
      </c>
      <c r="B1318" t="s">
        <v>22</v>
      </c>
      <c r="C1318" t="s">
        <v>17</v>
      </c>
      <c r="D1318">
        <v>2</v>
      </c>
      <c r="E1318">
        <v>4</v>
      </c>
      <c r="F1318" t="s">
        <v>18</v>
      </c>
      <c r="G1318">
        <v>1</v>
      </c>
      <c r="H1318">
        <v>4</v>
      </c>
      <c r="I1318" t="s">
        <v>24</v>
      </c>
      <c r="J1318">
        <v>5675</v>
      </c>
      <c r="K1318">
        <v>1</v>
      </c>
      <c r="L1318">
        <v>3</v>
      </c>
      <c r="M1318">
        <v>7</v>
      </c>
      <c r="N1318" t="s">
        <v>25</v>
      </c>
      <c r="O1318" t="s">
        <v>21</v>
      </c>
      <c r="P1318">
        <v>18261430</v>
      </c>
    </row>
    <row r="1319" spans="1:16" ht="14.25" x14ac:dyDescent="0.2">
      <c r="A1319">
        <v>27</v>
      </c>
      <c r="B1319" t="s">
        <v>22</v>
      </c>
      <c r="C1319" t="s">
        <v>23</v>
      </c>
      <c r="D1319">
        <v>5</v>
      </c>
      <c r="E1319">
        <v>2</v>
      </c>
      <c r="F1319" t="s">
        <v>18</v>
      </c>
      <c r="G1319">
        <v>4</v>
      </c>
      <c r="H1319">
        <v>4</v>
      </c>
      <c r="I1319" t="s">
        <v>19</v>
      </c>
      <c r="J1319">
        <v>2379</v>
      </c>
      <c r="K1319">
        <v>0</v>
      </c>
      <c r="L1319">
        <v>2</v>
      </c>
      <c r="M1319">
        <v>5</v>
      </c>
      <c r="N1319" t="s">
        <v>20</v>
      </c>
      <c r="O1319" t="s">
        <v>28</v>
      </c>
      <c r="P1319">
        <v>76598029</v>
      </c>
    </row>
    <row r="1320" spans="1:16" ht="14.25" x14ac:dyDescent="0.2">
      <c r="A1320">
        <v>29</v>
      </c>
      <c r="B1320" t="s">
        <v>22</v>
      </c>
      <c r="C1320" t="s">
        <v>23</v>
      </c>
      <c r="D1320">
        <v>20</v>
      </c>
      <c r="E1320">
        <v>1</v>
      </c>
      <c r="F1320" t="s">
        <v>29</v>
      </c>
      <c r="G1320">
        <v>4</v>
      </c>
      <c r="H1320">
        <v>4</v>
      </c>
      <c r="I1320" t="s">
        <v>24</v>
      </c>
      <c r="J1320">
        <v>3812</v>
      </c>
      <c r="K1320">
        <v>1</v>
      </c>
      <c r="L1320">
        <v>4</v>
      </c>
      <c r="M1320">
        <v>11</v>
      </c>
      <c r="N1320" t="s">
        <v>25</v>
      </c>
      <c r="O1320" t="s">
        <v>28</v>
      </c>
      <c r="P1320">
        <v>79733002</v>
      </c>
    </row>
    <row r="1321" spans="1:16" ht="14.25" x14ac:dyDescent="0.2">
      <c r="A1321">
        <v>32</v>
      </c>
      <c r="B1321" t="s">
        <v>22</v>
      </c>
      <c r="C1321" t="s">
        <v>17</v>
      </c>
      <c r="D1321">
        <v>10</v>
      </c>
      <c r="E1321">
        <v>4</v>
      </c>
      <c r="F1321" t="s">
        <v>36</v>
      </c>
      <c r="G1321">
        <v>4</v>
      </c>
      <c r="H1321">
        <v>4</v>
      </c>
      <c r="I1321" t="s">
        <v>19</v>
      </c>
      <c r="J1321">
        <v>4648</v>
      </c>
      <c r="K1321">
        <v>8</v>
      </c>
      <c r="L1321">
        <v>4</v>
      </c>
      <c r="M1321">
        <v>0</v>
      </c>
      <c r="N1321" t="s">
        <v>25</v>
      </c>
      <c r="O1321" t="s">
        <v>21</v>
      </c>
      <c r="P1321">
        <v>14040357</v>
      </c>
    </row>
    <row r="1322" spans="1:16" ht="14.25" x14ac:dyDescent="0.2">
      <c r="A1322">
        <v>42</v>
      </c>
      <c r="B1322" t="s">
        <v>22</v>
      </c>
      <c r="C1322" t="s">
        <v>23</v>
      </c>
      <c r="D1322">
        <v>10</v>
      </c>
      <c r="E1322">
        <v>4</v>
      </c>
      <c r="F1322" t="s">
        <v>37</v>
      </c>
      <c r="G1322">
        <v>3</v>
      </c>
      <c r="H1322">
        <v>3</v>
      </c>
      <c r="I1322" t="s">
        <v>24</v>
      </c>
      <c r="J1322">
        <v>2936</v>
      </c>
      <c r="K1322">
        <v>3</v>
      </c>
      <c r="L1322">
        <v>2</v>
      </c>
      <c r="M1322">
        <v>6</v>
      </c>
      <c r="N1322" t="s">
        <v>25</v>
      </c>
      <c r="O1322" t="s">
        <v>26</v>
      </c>
      <c r="P1322">
        <v>72148182</v>
      </c>
    </row>
    <row r="1323" spans="1:16" ht="14.25" x14ac:dyDescent="0.2">
      <c r="A1323">
        <v>47</v>
      </c>
      <c r="B1323" t="s">
        <v>22</v>
      </c>
      <c r="C1323" t="s">
        <v>23</v>
      </c>
      <c r="D1323">
        <v>9</v>
      </c>
      <c r="E1323">
        <v>4</v>
      </c>
      <c r="F1323" t="s">
        <v>18</v>
      </c>
      <c r="G1323">
        <v>2</v>
      </c>
      <c r="H1323">
        <v>3</v>
      </c>
      <c r="I1323" t="s">
        <v>19</v>
      </c>
      <c r="J1323">
        <v>2105</v>
      </c>
      <c r="K1323">
        <v>4</v>
      </c>
      <c r="L1323">
        <v>3</v>
      </c>
      <c r="M1323">
        <v>2</v>
      </c>
      <c r="N1323" t="s">
        <v>20</v>
      </c>
      <c r="O1323" t="s">
        <v>28</v>
      </c>
      <c r="P1323">
        <v>33383584</v>
      </c>
    </row>
    <row r="1324" spans="1:16" ht="14.25" x14ac:dyDescent="0.2">
      <c r="A1324">
        <v>46</v>
      </c>
      <c r="B1324" t="s">
        <v>22</v>
      </c>
      <c r="C1324" t="s">
        <v>23</v>
      </c>
      <c r="D1324">
        <v>2</v>
      </c>
      <c r="E1324">
        <v>2</v>
      </c>
      <c r="F1324" t="s">
        <v>18</v>
      </c>
      <c r="G1324">
        <v>4</v>
      </c>
      <c r="H1324">
        <v>4</v>
      </c>
      <c r="I1324" t="s">
        <v>30</v>
      </c>
      <c r="J1324">
        <v>8578</v>
      </c>
      <c r="K1324">
        <v>3</v>
      </c>
      <c r="L1324">
        <v>2</v>
      </c>
      <c r="M1324">
        <v>9</v>
      </c>
      <c r="N1324" t="s">
        <v>25</v>
      </c>
      <c r="O1324" t="s">
        <v>31</v>
      </c>
      <c r="P1324">
        <v>48146783</v>
      </c>
    </row>
    <row r="1325" spans="1:16" ht="14.25" x14ac:dyDescent="0.2">
      <c r="A1325">
        <v>28</v>
      </c>
      <c r="B1325" t="s">
        <v>22</v>
      </c>
      <c r="C1325" t="s">
        <v>38</v>
      </c>
      <c r="D1325">
        <v>1</v>
      </c>
      <c r="E1325">
        <v>2</v>
      </c>
      <c r="F1325" t="s">
        <v>18</v>
      </c>
      <c r="G1325">
        <v>3</v>
      </c>
      <c r="H1325">
        <v>4</v>
      </c>
      <c r="I1325" t="s">
        <v>30</v>
      </c>
      <c r="J1325">
        <v>2706</v>
      </c>
      <c r="K1325">
        <v>1</v>
      </c>
      <c r="L1325">
        <v>3</v>
      </c>
      <c r="M1325">
        <v>3</v>
      </c>
      <c r="N1325" t="s">
        <v>25</v>
      </c>
      <c r="O1325" t="s">
        <v>38</v>
      </c>
      <c r="P1325">
        <v>57333958</v>
      </c>
    </row>
    <row r="1326" spans="1:16" ht="14.25" x14ac:dyDescent="0.2">
      <c r="A1326">
        <v>29</v>
      </c>
      <c r="B1326" t="s">
        <v>22</v>
      </c>
      <c r="C1326" t="s">
        <v>23</v>
      </c>
      <c r="D1326">
        <v>29</v>
      </c>
      <c r="E1326">
        <v>1</v>
      </c>
      <c r="F1326" t="s">
        <v>18</v>
      </c>
      <c r="G1326">
        <v>4</v>
      </c>
      <c r="H1326">
        <v>3</v>
      </c>
      <c r="I1326" t="s">
        <v>30</v>
      </c>
      <c r="J1326">
        <v>6384</v>
      </c>
      <c r="K1326">
        <v>8</v>
      </c>
      <c r="L1326">
        <v>3</v>
      </c>
      <c r="M1326">
        <v>7</v>
      </c>
      <c r="N1326" t="s">
        <v>25</v>
      </c>
      <c r="O1326" t="s">
        <v>32</v>
      </c>
      <c r="P1326">
        <v>88285253</v>
      </c>
    </row>
    <row r="1327" spans="1:16" ht="14.25" x14ac:dyDescent="0.2">
      <c r="A1327">
        <v>42</v>
      </c>
      <c r="B1327" t="s">
        <v>22</v>
      </c>
      <c r="C1327" t="s">
        <v>23</v>
      </c>
      <c r="D1327">
        <v>8</v>
      </c>
      <c r="E1327">
        <v>3</v>
      </c>
      <c r="F1327" t="s">
        <v>18</v>
      </c>
      <c r="G1327">
        <v>4</v>
      </c>
      <c r="H1327">
        <v>3</v>
      </c>
      <c r="I1327" t="s">
        <v>19</v>
      </c>
      <c r="J1327">
        <v>3968</v>
      </c>
      <c r="K1327">
        <v>4</v>
      </c>
      <c r="L1327">
        <v>3</v>
      </c>
      <c r="M1327">
        <v>0</v>
      </c>
      <c r="N1327" t="s">
        <v>25</v>
      </c>
      <c r="O1327" t="s">
        <v>28</v>
      </c>
      <c r="P1327">
        <v>36169540</v>
      </c>
    </row>
    <row r="1328" spans="1:16" ht="14.25" x14ac:dyDescent="0.2">
      <c r="A1328">
        <v>32</v>
      </c>
      <c r="B1328" t="s">
        <v>16</v>
      </c>
      <c r="C1328" t="s">
        <v>17</v>
      </c>
      <c r="D1328">
        <v>2</v>
      </c>
      <c r="E1328">
        <v>4</v>
      </c>
      <c r="F1328" t="s">
        <v>36</v>
      </c>
      <c r="G1328">
        <v>3</v>
      </c>
      <c r="H1328">
        <v>2</v>
      </c>
      <c r="I1328" t="s">
        <v>19</v>
      </c>
      <c r="J1328">
        <v>9907</v>
      </c>
      <c r="K1328">
        <v>7</v>
      </c>
      <c r="L1328">
        <v>2</v>
      </c>
      <c r="M1328">
        <v>2</v>
      </c>
      <c r="N1328" t="s">
        <v>25</v>
      </c>
      <c r="O1328" t="s">
        <v>21</v>
      </c>
      <c r="P1328">
        <v>46870388</v>
      </c>
    </row>
    <row r="1329" spans="1:16" ht="14.25" x14ac:dyDescent="0.2">
      <c r="A1329">
        <v>46</v>
      </c>
      <c r="B1329" t="s">
        <v>22</v>
      </c>
      <c r="C1329" t="s">
        <v>17</v>
      </c>
      <c r="D1329">
        <v>3</v>
      </c>
      <c r="E1329">
        <v>3</v>
      </c>
      <c r="F1329" t="s">
        <v>37</v>
      </c>
      <c r="G1329">
        <v>1</v>
      </c>
      <c r="H1329">
        <v>1</v>
      </c>
      <c r="I1329" t="s">
        <v>30</v>
      </c>
      <c r="J1329">
        <v>13225</v>
      </c>
      <c r="K1329">
        <v>2</v>
      </c>
      <c r="L1329">
        <v>3</v>
      </c>
      <c r="M1329">
        <v>19</v>
      </c>
      <c r="N1329" t="s">
        <v>20</v>
      </c>
      <c r="O1329" t="s">
        <v>21</v>
      </c>
      <c r="P1329">
        <v>26742682</v>
      </c>
    </row>
    <row r="1330" spans="1:16" ht="14.25" x14ac:dyDescent="0.2">
      <c r="A1330">
        <v>27</v>
      </c>
      <c r="B1330" t="s">
        <v>22</v>
      </c>
      <c r="C1330" t="s">
        <v>17</v>
      </c>
      <c r="D1330">
        <v>23</v>
      </c>
      <c r="E1330">
        <v>1</v>
      </c>
      <c r="F1330" t="s">
        <v>29</v>
      </c>
      <c r="G1330">
        <v>2</v>
      </c>
      <c r="H1330">
        <v>3</v>
      </c>
      <c r="I1330" t="s">
        <v>24</v>
      </c>
      <c r="J1330">
        <v>3540</v>
      </c>
      <c r="K1330">
        <v>1</v>
      </c>
      <c r="L1330">
        <v>3</v>
      </c>
      <c r="M1330">
        <v>9</v>
      </c>
      <c r="N1330" t="s">
        <v>20</v>
      </c>
      <c r="O1330" t="s">
        <v>34</v>
      </c>
      <c r="P1330">
        <v>34277482</v>
      </c>
    </row>
    <row r="1331" spans="1:16" ht="14.25" x14ac:dyDescent="0.2">
      <c r="A1331">
        <v>29</v>
      </c>
      <c r="B1331" t="s">
        <v>22</v>
      </c>
      <c r="C1331" t="s">
        <v>38</v>
      </c>
      <c r="D1331">
        <v>6</v>
      </c>
      <c r="E1331">
        <v>1</v>
      </c>
      <c r="F1331" t="s">
        <v>29</v>
      </c>
      <c r="G1331">
        <v>4</v>
      </c>
      <c r="H1331">
        <v>2</v>
      </c>
      <c r="I1331" t="s">
        <v>24</v>
      </c>
      <c r="J1331">
        <v>2804</v>
      </c>
      <c r="K1331">
        <v>1</v>
      </c>
      <c r="L1331">
        <v>3</v>
      </c>
      <c r="M1331">
        <v>1</v>
      </c>
      <c r="N1331" t="s">
        <v>25</v>
      </c>
      <c r="O1331" t="s">
        <v>38</v>
      </c>
      <c r="P1331">
        <v>56704189</v>
      </c>
    </row>
    <row r="1332" spans="1:16" ht="14.25" x14ac:dyDescent="0.2">
      <c r="A1332">
        <v>43</v>
      </c>
      <c r="B1332" t="s">
        <v>22</v>
      </c>
      <c r="C1332" t="s">
        <v>23</v>
      </c>
      <c r="D1332">
        <v>6</v>
      </c>
      <c r="E1332">
        <v>3</v>
      </c>
      <c r="F1332" t="s">
        <v>29</v>
      </c>
      <c r="G1332">
        <v>1</v>
      </c>
      <c r="H1332">
        <v>3</v>
      </c>
      <c r="I1332" t="s">
        <v>24</v>
      </c>
      <c r="J1332">
        <v>19392</v>
      </c>
      <c r="K1332">
        <v>7</v>
      </c>
      <c r="L1332">
        <v>3</v>
      </c>
      <c r="M1332">
        <v>16</v>
      </c>
      <c r="N1332" t="s">
        <v>20</v>
      </c>
      <c r="O1332" t="s">
        <v>33</v>
      </c>
      <c r="P1332">
        <v>81398376</v>
      </c>
    </row>
    <row r="1333" spans="1:16" ht="14.25" x14ac:dyDescent="0.2">
      <c r="A1333">
        <v>48</v>
      </c>
      <c r="B1333" t="s">
        <v>22</v>
      </c>
      <c r="C1333" t="s">
        <v>23</v>
      </c>
      <c r="D1333">
        <v>10</v>
      </c>
      <c r="E1333">
        <v>3</v>
      </c>
      <c r="F1333" t="s">
        <v>18</v>
      </c>
      <c r="G1333">
        <v>4</v>
      </c>
      <c r="H1333">
        <v>2</v>
      </c>
      <c r="I1333" t="s">
        <v>24</v>
      </c>
      <c r="J1333">
        <v>19665</v>
      </c>
      <c r="K1333">
        <v>4</v>
      </c>
      <c r="L1333">
        <v>3</v>
      </c>
      <c r="M1333">
        <v>22</v>
      </c>
      <c r="N1333" t="s">
        <v>25</v>
      </c>
      <c r="O1333" t="s">
        <v>35</v>
      </c>
      <c r="P1333">
        <v>14685405</v>
      </c>
    </row>
    <row r="1334" spans="1:16" ht="14.25" x14ac:dyDescent="0.2">
      <c r="A1334">
        <v>29</v>
      </c>
      <c r="B1334" t="s">
        <v>16</v>
      </c>
      <c r="C1334" t="s">
        <v>23</v>
      </c>
      <c r="D1334">
        <v>24</v>
      </c>
      <c r="E1334">
        <v>2</v>
      </c>
      <c r="F1334" t="s">
        <v>18</v>
      </c>
      <c r="G1334">
        <v>4</v>
      </c>
      <c r="H1334">
        <v>4</v>
      </c>
      <c r="I1334" t="s">
        <v>19</v>
      </c>
      <c r="J1334">
        <v>2439</v>
      </c>
      <c r="K1334">
        <v>1</v>
      </c>
      <c r="L1334">
        <v>2</v>
      </c>
      <c r="M1334">
        <v>1</v>
      </c>
      <c r="N1334" t="s">
        <v>25</v>
      </c>
      <c r="O1334" t="s">
        <v>26</v>
      </c>
      <c r="P1334">
        <v>64743578</v>
      </c>
    </row>
    <row r="1335" spans="1:16" ht="14.25" x14ac:dyDescent="0.2">
      <c r="A1335">
        <v>46</v>
      </c>
      <c r="B1335" t="s">
        <v>16</v>
      </c>
      <c r="C1335" t="s">
        <v>17</v>
      </c>
      <c r="D1335">
        <v>10</v>
      </c>
      <c r="E1335">
        <v>3</v>
      </c>
      <c r="F1335" t="s">
        <v>18</v>
      </c>
      <c r="G1335">
        <v>3</v>
      </c>
      <c r="H1335">
        <v>2</v>
      </c>
      <c r="I1335" t="s">
        <v>24</v>
      </c>
      <c r="J1335">
        <v>7314</v>
      </c>
      <c r="K1335">
        <v>5</v>
      </c>
      <c r="L1335">
        <v>3</v>
      </c>
      <c r="M1335">
        <v>8</v>
      </c>
      <c r="N1335" t="s">
        <v>20</v>
      </c>
      <c r="O1335" t="s">
        <v>21</v>
      </c>
      <c r="P1335">
        <v>42728394</v>
      </c>
    </row>
    <row r="1336" spans="1:16" ht="14.25" x14ac:dyDescent="0.2">
      <c r="A1336">
        <v>27</v>
      </c>
      <c r="B1336" t="s">
        <v>22</v>
      </c>
      <c r="C1336" t="s">
        <v>23</v>
      </c>
      <c r="D1336">
        <v>15</v>
      </c>
      <c r="E1336">
        <v>3</v>
      </c>
      <c r="F1336" t="s">
        <v>18</v>
      </c>
      <c r="G1336">
        <v>4</v>
      </c>
      <c r="H1336">
        <v>1</v>
      </c>
      <c r="I1336" t="s">
        <v>24</v>
      </c>
      <c r="J1336">
        <v>4774</v>
      </c>
      <c r="K1336">
        <v>0</v>
      </c>
      <c r="L1336">
        <v>2</v>
      </c>
      <c r="M1336">
        <v>7</v>
      </c>
      <c r="N1336" t="s">
        <v>20</v>
      </c>
      <c r="O1336" t="s">
        <v>26</v>
      </c>
      <c r="P1336">
        <v>20691690</v>
      </c>
    </row>
    <row r="1337" spans="1:16" ht="14.25" x14ac:dyDescent="0.2">
      <c r="A1337">
        <v>39</v>
      </c>
      <c r="B1337" t="s">
        <v>22</v>
      </c>
      <c r="C1337" t="s">
        <v>23</v>
      </c>
      <c r="D1337">
        <v>19</v>
      </c>
      <c r="E1337">
        <v>4</v>
      </c>
      <c r="F1337" t="s">
        <v>27</v>
      </c>
      <c r="G1337">
        <v>4</v>
      </c>
      <c r="H1337">
        <v>4</v>
      </c>
      <c r="I1337" t="s">
        <v>30</v>
      </c>
      <c r="J1337">
        <v>3902</v>
      </c>
      <c r="K1337">
        <v>8</v>
      </c>
      <c r="L1337">
        <v>3</v>
      </c>
      <c r="M1337">
        <v>2</v>
      </c>
      <c r="N1337" t="s">
        <v>25</v>
      </c>
      <c r="O1337" t="s">
        <v>26</v>
      </c>
      <c r="P1337">
        <v>10221982</v>
      </c>
    </row>
    <row r="1338" spans="1:16" ht="14.25" x14ac:dyDescent="0.2">
      <c r="A1338">
        <v>55</v>
      </c>
      <c r="B1338" t="s">
        <v>22</v>
      </c>
      <c r="C1338" t="s">
        <v>23</v>
      </c>
      <c r="D1338">
        <v>2</v>
      </c>
      <c r="E1338">
        <v>4</v>
      </c>
      <c r="F1338" t="s">
        <v>37</v>
      </c>
      <c r="G1338">
        <v>2</v>
      </c>
      <c r="H1338">
        <v>4</v>
      </c>
      <c r="I1338" t="s">
        <v>24</v>
      </c>
      <c r="J1338">
        <v>2662</v>
      </c>
      <c r="K1338">
        <v>8</v>
      </c>
      <c r="L1338">
        <v>4</v>
      </c>
      <c r="M1338">
        <v>5</v>
      </c>
      <c r="N1338" t="s">
        <v>25</v>
      </c>
      <c r="O1338" t="s">
        <v>26</v>
      </c>
      <c r="P1338">
        <v>80597058</v>
      </c>
    </row>
    <row r="1339" spans="1:16" ht="14.25" x14ac:dyDescent="0.2">
      <c r="A1339">
        <v>28</v>
      </c>
      <c r="B1339" t="s">
        <v>22</v>
      </c>
      <c r="C1339" t="s">
        <v>17</v>
      </c>
      <c r="D1339">
        <v>3</v>
      </c>
      <c r="E1339">
        <v>3</v>
      </c>
      <c r="F1339" t="s">
        <v>29</v>
      </c>
      <c r="G1339">
        <v>2</v>
      </c>
      <c r="H1339">
        <v>2</v>
      </c>
      <c r="I1339" t="s">
        <v>24</v>
      </c>
      <c r="J1339">
        <v>2856</v>
      </c>
      <c r="K1339">
        <v>1</v>
      </c>
      <c r="L1339">
        <v>3</v>
      </c>
      <c r="M1339">
        <v>1</v>
      </c>
      <c r="N1339" t="s">
        <v>20</v>
      </c>
      <c r="O1339" t="s">
        <v>34</v>
      </c>
      <c r="P1339">
        <v>28653711</v>
      </c>
    </row>
    <row r="1340" spans="1:16" ht="14.25" x14ac:dyDescent="0.2">
      <c r="A1340">
        <v>30</v>
      </c>
      <c r="B1340" t="s">
        <v>16</v>
      </c>
      <c r="C1340" t="s">
        <v>17</v>
      </c>
      <c r="D1340">
        <v>9</v>
      </c>
      <c r="E1340">
        <v>3</v>
      </c>
      <c r="F1340" t="s">
        <v>29</v>
      </c>
      <c r="G1340">
        <v>2</v>
      </c>
      <c r="H1340">
        <v>4</v>
      </c>
      <c r="I1340" t="s">
        <v>19</v>
      </c>
      <c r="J1340">
        <v>1081</v>
      </c>
      <c r="K1340">
        <v>1</v>
      </c>
      <c r="L1340">
        <v>2</v>
      </c>
      <c r="M1340">
        <v>1</v>
      </c>
      <c r="N1340" t="s">
        <v>25</v>
      </c>
      <c r="O1340" t="s">
        <v>34</v>
      </c>
      <c r="P1340">
        <v>38586340</v>
      </c>
    </row>
    <row r="1341" spans="1:16" ht="14.25" x14ac:dyDescent="0.2">
      <c r="A1341">
        <v>22</v>
      </c>
      <c r="B1341" t="s">
        <v>16</v>
      </c>
      <c r="C1341" t="s">
        <v>23</v>
      </c>
      <c r="D1341">
        <v>7</v>
      </c>
      <c r="E1341">
        <v>1</v>
      </c>
      <c r="F1341" t="s">
        <v>18</v>
      </c>
      <c r="G1341">
        <v>4</v>
      </c>
      <c r="H1341">
        <v>2</v>
      </c>
      <c r="I1341" t="s">
        <v>19</v>
      </c>
      <c r="J1341">
        <v>2472</v>
      </c>
      <c r="K1341">
        <v>1</v>
      </c>
      <c r="L1341">
        <v>3</v>
      </c>
      <c r="M1341">
        <v>1</v>
      </c>
      <c r="N1341" t="s">
        <v>25</v>
      </c>
      <c r="O1341" t="s">
        <v>26</v>
      </c>
      <c r="P1341">
        <v>72845734</v>
      </c>
    </row>
    <row r="1342" spans="1:16" ht="14.25" x14ac:dyDescent="0.2">
      <c r="A1342">
        <v>36</v>
      </c>
      <c r="B1342" t="s">
        <v>22</v>
      </c>
      <c r="C1342" t="s">
        <v>17</v>
      </c>
      <c r="D1342">
        <v>10</v>
      </c>
      <c r="E1342">
        <v>4</v>
      </c>
      <c r="F1342" t="s">
        <v>37</v>
      </c>
      <c r="G1342">
        <v>2</v>
      </c>
      <c r="H1342">
        <v>3</v>
      </c>
      <c r="I1342" t="s">
        <v>24</v>
      </c>
      <c r="J1342">
        <v>5673</v>
      </c>
      <c r="K1342">
        <v>1</v>
      </c>
      <c r="L1342">
        <v>3</v>
      </c>
      <c r="M1342">
        <v>10</v>
      </c>
      <c r="N1342" t="s">
        <v>20</v>
      </c>
      <c r="O1342" t="s">
        <v>21</v>
      </c>
      <c r="P1342">
        <v>36780533</v>
      </c>
    </row>
    <row r="1343" spans="1:16" ht="14.25" x14ac:dyDescent="0.2">
      <c r="A1343">
        <v>31</v>
      </c>
      <c r="B1343" t="s">
        <v>22</v>
      </c>
      <c r="C1343" t="s">
        <v>23</v>
      </c>
      <c r="D1343">
        <v>20</v>
      </c>
      <c r="E1343">
        <v>3</v>
      </c>
      <c r="F1343" t="s">
        <v>18</v>
      </c>
      <c r="G1343">
        <v>2</v>
      </c>
      <c r="H1343">
        <v>3</v>
      </c>
      <c r="I1343" t="s">
        <v>30</v>
      </c>
      <c r="J1343">
        <v>4197</v>
      </c>
      <c r="K1343">
        <v>1</v>
      </c>
      <c r="L1343">
        <v>3</v>
      </c>
      <c r="M1343">
        <v>10</v>
      </c>
      <c r="N1343" t="s">
        <v>25</v>
      </c>
      <c r="O1343" t="s">
        <v>28</v>
      </c>
      <c r="P1343">
        <v>84366355</v>
      </c>
    </row>
    <row r="1344" spans="1:16" ht="14.25" x14ac:dyDescent="0.2">
      <c r="A1344">
        <v>34</v>
      </c>
      <c r="B1344" t="s">
        <v>22</v>
      </c>
      <c r="C1344" t="s">
        <v>17</v>
      </c>
      <c r="D1344">
        <v>4</v>
      </c>
      <c r="E1344">
        <v>3</v>
      </c>
      <c r="F1344" t="s">
        <v>18</v>
      </c>
      <c r="G1344">
        <v>3</v>
      </c>
      <c r="H1344">
        <v>4</v>
      </c>
      <c r="I1344" t="s">
        <v>24</v>
      </c>
      <c r="J1344">
        <v>9713</v>
      </c>
      <c r="K1344">
        <v>2</v>
      </c>
      <c r="L1344">
        <v>3</v>
      </c>
      <c r="M1344">
        <v>5</v>
      </c>
      <c r="N1344" t="s">
        <v>25</v>
      </c>
      <c r="O1344" t="s">
        <v>21</v>
      </c>
      <c r="P1344">
        <v>13533718</v>
      </c>
    </row>
    <row r="1345" spans="1:16" ht="14.25" x14ac:dyDescent="0.2">
      <c r="A1345">
        <v>29</v>
      </c>
      <c r="B1345" t="s">
        <v>22</v>
      </c>
      <c r="C1345" t="s">
        <v>23</v>
      </c>
      <c r="D1345">
        <v>7</v>
      </c>
      <c r="E1345">
        <v>3</v>
      </c>
      <c r="F1345" t="s">
        <v>18</v>
      </c>
      <c r="G1345">
        <v>4</v>
      </c>
      <c r="H1345">
        <v>1</v>
      </c>
      <c r="I1345" t="s">
        <v>19</v>
      </c>
      <c r="J1345">
        <v>2062</v>
      </c>
      <c r="K1345">
        <v>3</v>
      </c>
      <c r="L1345">
        <v>3</v>
      </c>
      <c r="M1345">
        <v>3</v>
      </c>
      <c r="N1345" t="s">
        <v>25</v>
      </c>
      <c r="O1345" t="s">
        <v>28</v>
      </c>
      <c r="P1345">
        <v>38865181</v>
      </c>
    </row>
    <row r="1346" spans="1:16" ht="14.25" x14ac:dyDescent="0.2">
      <c r="A1346">
        <v>37</v>
      </c>
      <c r="B1346" t="s">
        <v>22</v>
      </c>
      <c r="C1346" t="s">
        <v>23</v>
      </c>
      <c r="D1346">
        <v>7</v>
      </c>
      <c r="E1346">
        <v>4</v>
      </c>
      <c r="F1346" t="s">
        <v>29</v>
      </c>
      <c r="G1346">
        <v>4</v>
      </c>
      <c r="H1346">
        <v>1</v>
      </c>
      <c r="I1346" t="s">
        <v>24</v>
      </c>
      <c r="J1346">
        <v>4284</v>
      </c>
      <c r="K1346">
        <v>5</v>
      </c>
      <c r="L1346">
        <v>3</v>
      </c>
      <c r="M1346">
        <v>5</v>
      </c>
      <c r="N1346" t="s">
        <v>25</v>
      </c>
      <c r="O1346" t="s">
        <v>26</v>
      </c>
      <c r="P1346">
        <v>88031258</v>
      </c>
    </row>
    <row r="1347" spans="1:16" ht="14.25" x14ac:dyDescent="0.2">
      <c r="A1347">
        <v>35</v>
      </c>
      <c r="B1347" t="s">
        <v>22</v>
      </c>
      <c r="C1347" t="s">
        <v>23</v>
      </c>
      <c r="D1347">
        <v>16</v>
      </c>
      <c r="E1347">
        <v>2</v>
      </c>
      <c r="F1347" t="s">
        <v>27</v>
      </c>
      <c r="G1347">
        <v>4</v>
      </c>
      <c r="H1347">
        <v>2</v>
      </c>
      <c r="I1347" t="s">
        <v>24</v>
      </c>
      <c r="J1347">
        <v>4788</v>
      </c>
      <c r="K1347">
        <v>0</v>
      </c>
      <c r="L1347">
        <v>3</v>
      </c>
      <c r="M1347">
        <v>3</v>
      </c>
      <c r="N1347" t="s">
        <v>20</v>
      </c>
      <c r="O1347" t="s">
        <v>31</v>
      </c>
      <c r="P1347">
        <v>58532654</v>
      </c>
    </row>
    <row r="1348" spans="1:16" ht="14.25" x14ac:dyDescent="0.2">
      <c r="A1348">
        <v>45</v>
      </c>
      <c r="B1348" t="s">
        <v>22</v>
      </c>
      <c r="C1348" t="s">
        <v>23</v>
      </c>
      <c r="D1348">
        <v>25</v>
      </c>
      <c r="E1348">
        <v>2</v>
      </c>
      <c r="F1348" t="s">
        <v>18</v>
      </c>
      <c r="G1348">
        <v>2</v>
      </c>
      <c r="H1348">
        <v>4</v>
      </c>
      <c r="I1348" t="s">
        <v>24</v>
      </c>
      <c r="J1348">
        <v>5906</v>
      </c>
      <c r="K1348">
        <v>0</v>
      </c>
      <c r="L1348">
        <v>2</v>
      </c>
      <c r="M1348">
        <v>9</v>
      </c>
      <c r="N1348" t="s">
        <v>20</v>
      </c>
      <c r="O1348" t="s">
        <v>31</v>
      </c>
      <c r="P1348">
        <v>76255124</v>
      </c>
    </row>
    <row r="1349" spans="1:16" ht="14.25" x14ac:dyDescent="0.2">
      <c r="A1349">
        <v>36</v>
      </c>
      <c r="B1349" t="s">
        <v>22</v>
      </c>
      <c r="C1349" t="s">
        <v>38</v>
      </c>
      <c r="D1349">
        <v>2</v>
      </c>
      <c r="E1349">
        <v>1</v>
      </c>
      <c r="F1349" t="s">
        <v>38</v>
      </c>
      <c r="G1349">
        <v>2</v>
      </c>
      <c r="H1349">
        <v>4</v>
      </c>
      <c r="I1349" t="s">
        <v>19</v>
      </c>
      <c r="J1349">
        <v>3886</v>
      </c>
      <c r="K1349">
        <v>1</v>
      </c>
      <c r="L1349">
        <v>2</v>
      </c>
      <c r="M1349">
        <v>10</v>
      </c>
      <c r="N1349" t="s">
        <v>25</v>
      </c>
      <c r="O1349" t="s">
        <v>38</v>
      </c>
      <c r="P1349">
        <v>80357234</v>
      </c>
    </row>
    <row r="1350" spans="1:16" ht="14.25" x14ac:dyDescent="0.2">
      <c r="A1350">
        <v>40</v>
      </c>
      <c r="B1350" t="s">
        <v>22</v>
      </c>
      <c r="C1350" t="s">
        <v>23</v>
      </c>
      <c r="D1350">
        <v>1</v>
      </c>
      <c r="E1350">
        <v>4</v>
      </c>
      <c r="F1350" t="s">
        <v>18</v>
      </c>
      <c r="G1350">
        <v>1</v>
      </c>
      <c r="H1350">
        <v>1</v>
      </c>
      <c r="I1350" t="s">
        <v>30</v>
      </c>
      <c r="J1350">
        <v>16823</v>
      </c>
      <c r="K1350">
        <v>2</v>
      </c>
      <c r="L1350">
        <v>3</v>
      </c>
      <c r="M1350">
        <v>19</v>
      </c>
      <c r="N1350" t="s">
        <v>25</v>
      </c>
      <c r="O1350" t="s">
        <v>33</v>
      </c>
      <c r="P1350">
        <v>50156135</v>
      </c>
    </row>
    <row r="1351" spans="1:16" ht="14.25" x14ac:dyDescent="0.2">
      <c r="A1351">
        <v>26</v>
      </c>
      <c r="B1351" t="s">
        <v>22</v>
      </c>
      <c r="C1351" t="s">
        <v>23</v>
      </c>
      <c r="D1351">
        <v>1</v>
      </c>
      <c r="E1351">
        <v>2</v>
      </c>
      <c r="F1351" t="s">
        <v>18</v>
      </c>
      <c r="G1351">
        <v>2</v>
      </c>
      <c r="H1351">
        <v>3</v>
      </c>
      <c r="I1351" t="s">
        <v>24</v>
      </c>
      <c r="J1351">
        <v>2933</v>
      </c>
      <c r="K1351">
        <v>1</v>
      </c>
      <c r="L1351">
        <v>2</v>
      </c>
      <c r="M1351">
        <v>1</v>
      </c>
      <c r="N1351" t="s">
        <v>20</v>
      </c>
      <c r="O1351" t="s">
        <v>26</v>
      </c>
      <c r="P1351">
        <v>80804117</v>
      </c>
    </row>
    <row r="1352" spans="1:16" ht="14.25" x14ac:dyDescent="0.2">
      <c r="A1352">
        <v>27</v>
      </c>
      <c r="B1352" t="s">
        <v>22</v>
      </c>
      <c r="C1352" t="s">
        <v>17</v>
      </c>
      <c r="D1352">
        <v>2</v>
      </c>
      <c r="E1352">
        <v>2</v>
      </c>
      <c r="F1352" t="s">
        <v>29</v>
      </c>
      <c r="G1352">
        <v>1</v>
      </c>
      <c r="H1352">
        <v>3</v>
      </c>
      <c r="I1352" t="s">
        <v>19</v>
      </c>
      <c r="J1352">
        <v>6500</v>
      </c>
      <c r="K1352">
        <v>0</v>
      </c>
      <c r="L1352">
        <v>2</v>
      </c>
      <c r="M1352">
        <v>8</v>
      </c>
      <c r="N1352" t="s">
        <v>20</v>
      </c>
      <c r="O1352" t="s">
        <v>21</v>
      </c>
      <c r="P1352">
        <v>60130684</v>
      </c>
    </row>
    <row r="1353" spans="1:16" ht="14.25" x14ac:dyDescent="0.2">
      <c r="A1353">
        <v>48</v>
      </c>
      <c r="B1353" t="s">
        <v>22</v>
      </c>
      <c r="C1353" t="s">
        <v>23</v>
      </c>
      <c r="D1353">
        <v>22</v>
      </c>
      <c r="E1353">
        <v>3</v>
      </c>
      <c r="F1353" t="s">
        <v>29</v>
      </c>
      <c r="G1353">
        <v>4</v>
      </c>
      <c r="H1353">
        <v>4</v>
      </c>
      <c r="I1353" t="s">
        <v>30</v>
      </c>
      <c r="J1353">
        <v>17174</v>
      </c>
      <c r="K1353">
        <v>3</v>
      </c>
      <c r="L1353">
        <v>3</v>
      </c>
      <c r="M1353">
        <v>22</v>
      </c>
      <c r="N1353" t="s">
        <v>20</v>
      </c>
      <c r="O1353" t="s">
        <v>33</v>
      </c>
      <c r="P1353">
        <v>50662209</v>
      </c>
    </row>
    <row r="1354" spans="1:16" ht="14.25" x14ac:dyDescent="0.2">
      <c r="A1354">
        <v>44</v>
      </c>
      <c r="B1354" t="s">
        <v>22</v>
      </c>
      <c r="C1354" t="s">
        <v>23</v>
      </c>
      <c r="D1354">
        <v>1</v>
      </c>
      <c r="E1354">
        <v>4</v>
      </c>
      <c r="F1354" t="s">
        <v>18</v>
      </c>
      <c r="G1354">
        <v>2</v>
      </c>
      <c r="H1354">
        <v>1</v>
      </c>
      <c r="I1354" t="s">
        <v>24</v>
      </c>
      <c r="J1354">
        <v>5033</v>
      </c>
      <c r="K1354">
        <v>2</v>
      </c>
      <c r="L1354">
        <v>3</v>
      </c>
      <c r="M1354">
        <v>2</v>
      </c>
      <c r="N1354" t="s">
        <v>25</v>
      </c>
      <c r="O1354" t="s">
        <v>32</v>
      </c>
      <c r="P1354">
        <v>83909460</v>
      </c>
    </row>
    <row r="1355" spans="1:16" ht="14.25" x14ac:dyDescent="0.2">
      <c r="A1355">
        <v>34</v>
      </c>
      <c r="B1355" t="s">
        <v>16</v>
      </c>
      <c r="C1355" t="s">
        <v>23</v>
      </c>
      <c r="D1355">
        <v>16</v>
      </c>
      <c r="E1355">
        <v>4</v>
      </c>
      <c r="F1355" t="s">
        <v>37</v>
      </c>
      <c r="G1355">
        <v>4</v>
      </c>
      <c r="H1355">
        <v>1</v>
      </c>
      <c r="I1355" t="s">
        <v>24</v>
      </c>
      <c r="J1355">
        <v>2307</v>
      </c>
      <c r="K1355">
        <v>1</v>
      </c>
      <c r="L1355">
        <v>3</v>
      </c>
      <c r="M1355">
        <v>5</v>
      </c>
      <c r="N1355" t="s">
        <v>25</v>
      </c>
      <c r="O1355" t="s">
        <v>26</v>
      </c>
      <c r="P1355">
        <v>87612969</v>
      </c>
    </row>
    <row r="1356" spans="1:16" ht="14.25" x14ac:dyDescent="0.2">
      <c r="A1356">
        <v>56</v>
      </c>
      <c r="B1356" t="s">
        <v>16</v>
      </c>
      <c r="C1356" t="s">
        <v>23</v>
      </c>
      <c r="D1356">
        <v>24</v>
      </c>
      <c r="E1356">
        <v>2</v>
      </c>
      <c r="F1356" t="s">
        <v>18</v>
      </c>
      <c r="G1356">
        <v>1</v>
      </c>
      <c r="H1356">
        <v>4</v>
      </c>
      <c r="I1356" t="s">
        <v>19</v>
      </c>
      <c r="J1356">
        <v>2587</v>
      </c>
      <c r="K1356">
        <v>1</v>
      </c>
      <c r="L1356">
        <v>3</v>
      </c>
      <c r="M1356">
        <v>4</v>
      </c>
      <c r="N1356" t="s">
        <v>25</v>
      </c>
      <c r="O1356" t="s">
        <v>28</v>
      </c>
      <c r="P1356">
        <v>63986391</v>
      </c>
    </row>
    <row r="1357" spans="1:16" ht="14.25" x14ac:dyDescent="0.2">
      <c r="A1357">
        <v>36</v>
      </c>
      <c r="B1357" t="s">
        <v>22</v>
      </c>
      <c r="C1357" t="s">
        <v>17</v>
      </c>
      <c r="D1357">
        <v>17</v>
      </c>
      <c r="E1357">
        <v>2</v>
      </c>
      <c r="F1357" t="s">
        <v>36</v>
      </c>
      <c r="G1357">
        <v>3</v>
      </c>
      <c r="H1357">
        <v>2</v>
      </c>
      <c r="I1357" t="s">
        <v>24</v>
      </c>
      <c r="J1357">
        <v>5507</v>
      </c>
      <c r="K1357">
        <v>2</v>
      </c>
      <c r="L1357">
        <v>1</v>
      </c>
      <c r="M1357">
        <v>4</v>
      </c>
      <c r="N1357" t="s">
        <v>25</v>
      </c>
      <c r="O1357" t="s">
        <v>21</v>
      </c>
      <c r="P1357">
        <v>32685718</v>
      </c>
    </row>
    <row r="1358" spans="1:16" ht="14.25" x14ac:dyDescent="0.2">
      <c r="A1358">
        <v>41</v>
      </c>
      <c r="B1358" t="s">
        <v>22</v>
      </c>
      <c r="C1358" t="s">
        <v>17</v>
      </c>
      <c r="D1358">
        <v>8</v>
      </c>
      <c r="E1358">
        <v>3</v>
      </c>
      <c r="F1358" t="s">
        <v>36</v>
      </c>
      <c r="G1358">
        <v>3</v>
      </c>
      <c r="H1358">
        <v>2</v>
      </c>
      <c r="I1358" t="s">
        <v>24</v>
      </c>
      <c r="J1358">
        <v>4393</v>
      </c>
      <c r="K1358">
        <v>5</v>
      </c>
      <c r="L1358">
        <v>3</v>
      </c>
      <c r="M1358">
        <v>5</v>
      </c>
      <c r="N1358" t="s">
        <v>20</v>
      </c>
      <c r="O1358" t="s">
        <v>21</v>
      </c>
      <c r="P1358">
        <v>19492163</v>
      </c>
    </row>
    <row r="1359" spans="1:16" ht="14.25" x14ac:dyDescent="0.2">
      <c r="A1359">
        <v>42</v>
      </c>
      <c r="B1359" t="s">
        <v>22</v>
      </c>
      <c r="C1359" t="s">
        <v>23</v>
      </c>
      <c r="D1359">
        <v>6</v>
      </c>
      <c r="E1359">
        <v>3</v>
      </c>
      <c r="F1359" t="s">
        <v>29</v>
      </c>
      <c r="G1359">
        <v>3</v>
      </c>
      <c r="H1359">
        <v>1</v>
      </c>
      <c r="I1359" t="s">
        <v>24</v>
      </c>
      <c r="J1359">
        <v>13348</v>
      </c>
      <c r="K1359">
        <v>9</v>
      </c>
      <c r="L1359">
        <v>4</v>
      </c>
      <c r="M1359">
        <v>13</v>
      </c>
      <c r="N1359" t="s">
        <v>25</v>
      </c>
      <c r="O1359" t="s">
        <v>35</v>
      </c>
      <c r="P1359">
        <v>22569765</v>
      </c>
    </row>
    <row r="1360" spans="1:16" ht="14.25" x14ac:dyDescent="0.2">
      <c r="A1360">
        <v>31</v>
      </c>
      <c r="B1360" t="s">
        <v>22</v>
      </c>
      <c r="C1360" t="s">
        <v>17</v>
      </c>
      <c r="D1360">
        <v>10</v>
      </c>
      <c r="E1360">
        <v>2</v>
      </c>
      <c r="F1360" t="s">
        <v>29</v>
      </c>
      <c r="G1360">
        <v>3</v>
      </c>
      <c r="H1360">
        <v>4</v>
      </c>
      <c r="I1360" t="s">
        <v>30</v>
      </c>
      <c r="J1360">
        <v>6583</v>
      </c>
      <c r="K1360">
        <v>2</v>
      </c>
      <c r="L1360">
        <v>3</v>
      </c>
      <c r="M1360">
        <v>5</v>
      </c>
      <c r="N1360" t="s">
        <v>20</v>
      </c>
      <c r="O1360" t="s">
        <v>21</v>
      </c>
      <c r="P1360">
        <v>35520278</v>
      </c>
    </row>
    <row r="1361" spans="1:16" ht="14.25" x14ac:dyDescent="0.2">
      <c r="A1361">
        <v>34</v>
      </c>
      <c r="B1361" t="s">
        <v>22</v>
      </c>
      <c r="C1361" t="s">
        <v>17</v>
      </c>
      <c r="D1361">
        <v>3</v>
      </c>
      <c r="E1361">
        <v>1</v>
      </c>
      <c r="F1361" t="s">
        <v>29</v>
      </c>
      <c r="G1361">
        <v>4</v>
      </c>
      <c r="H1361">
        <v>4</v>
      </c>
      <c r="I1361" t="s">
        <v>24</v>
      </c>
      <c r="J1361">
        <v>8103</v>
      </c>
      <c r="K1361">
        <v>3</v>
      </c>
      <c r="L1361">
        <v>2</v>
      </c>
      <c r="M1361">
        <v>4</v>
      </c>
      <c r="N1361" t="s">
        <v>20</v>
      </c>
      <c r="O1361" t="s">
        <v>21</v>
      </c>
      <c r="P1361">
        <v>22249251</v>
      </c>
    </row>
    <row r="1362" spans="1:16" ht="14.25" x14ac:dyDescent="0.2">
      <c r="A1362">
        <v>31</v>
      </c>
      <c r="B1362" t="s">
        <v>22</v>
      </c>
      <c r="C1362" t="s">
        <v>23</v>
      </c>
      <c r="D1362">
        <v>4</v>
      </c>
      <c r="E1362">
        <v>3</v>
      </c>
      <c r="F1362" t="s">
        <v>29</v>
      </c>
      <c r="G1362">
        <v>1</v>
      </c>
      <c r="H1362">
        <v>3</v>
      </c>
      <c r="I1362" t="s">
        <v>30</v>
      </c>
      <c r="J1362">
        <v>3978</v>
      </c>
      <c r="K1362">
        <v>8</v>
      </c>
      <c r="L1362">
        <v>2</v>
      </c>
      <c r="M1362">
        <v>2</v>
      </c>
      <c r="N1362" t="s">
        <v>20</v>
      </c>
      <c r="O1362" t="s">
        <v>28</v>
      </c>
      <c r="P1362">
        <v>16455053</v>
      </c>
    </row>
    <row r="1363" spans="1:16" ht="14.25" x14ac:dyDescent="0.2">
      <c r="A1363">
        <v>26</v>
      </c>
      <c r="B1363" t="s">
        <v>22</v>
      </c>
      <c r="C1363" t="s">
        <v>23</v>
      </c>
      <c r="D1363">
        <v>6</v>
      </c>
      <c r="E1363">
        <v>3</v>
      </c>
      <c r="F1363" t="s">
        <v>27</v>
      </c>
      <c r="G1363">
        <v>3</v>
      </c>
      <c r="H1363">
        <v>4</v>
      </c>
      <c r="I1363" t="s">
        <v>24</v>
      </c>
      <c r="J1363">
        <v>2544</v>
      </c>
      <c r="K1363">
        <v>0</v>
      </c>
      <c r="L1363">
        <v>3</v>
      </c>
      <c r="M1363">
        <v>7</v>
      </c>
      <c r="N1363" t="s">
        <v>25</v>
      </c>
      <c r="O1363" t="s">
        <v>28</v>
      </c>
      <c r="P1363">
        <v>19664301</v>
      </c>
    </row>
    <row r="1364" spans="1:16" ht="14.25" x14ac:dyDescent="0.2">
      <c r="A1364">
        <v>45</v>
      </c>
      <c r="B1364" t="s">
        <v>22</v>
      </c>
      <c r="C1364" t="s">
        <v>23</v>
      </c>
      <c r="D1364">
        <v>1</v>
      </c>
      <c r="E1364">
        <v>4</v>
      </c>
      <c r="F1364" t="s">
        <v>29</v>
      </c>
      <c r="G1364">
        <v>2</v>
      </c>
      <c r="H1364">
        <v>3</v>
      </c>
      <c r="I1364" t="s">
        <v>19</v>
      </c>
      <c r="J1364">
        <v>5399</v>
      </c>
      <c r="K1364">
        <v>4</v>
      </c>
      <c r="L1364">
        <v>3</v>
      </c>
      <c r="M1364">
        <v>4</v>
      </c>
      <c r="N1364" t="s">
        <v>25</v>
      </c>
      <c r="O1364" t="s">
        <v>32</v>
      </c>
      <c r="P1364">
        <v>47685547</v>
      </c>
    </row>
    <row r="1365" spans="1:16" ht="14.25" x14ac:dyDescent="0.2">
      <c r="A1365">
        <v>33</v>
      </c>
      <c r="B1365" t="s">
        <v>22</v>
      </c>
      <c r="C1365" t="s">
        <v>17</v>
      </c>
      <c r="D1365">
        <v>10</v>
      </c>
      <c r="E1365">
        <v>4</v>
      </c>
      <c r="F1365" t="s">
        <v>36</v>
      </c>
      <c r="G1365">
        <v>2</v>
      </c>
      <c r="H1365">
        <v>3</v>
      </c>
      <c r="I1365" t="s">
        <v>19</v>
      </c>
      <c r="J1365">
        <v>5487</v>
      </c>
      <c r="K1365">
        <v>1</v>
      </c>
      <c r="L1365">
        <v>2</v>
      </c>
      <c r="M1365">
        <v>10</v>
      </c>
      <c r="N1365" t="s">
        <v>25</v>
      </c>
      <c r="O1365" t="s">
        <v>21</v>
      </c>
      <c r="P1365">
        <v>52608957</v>
      </c>
    </row>
    <row r="1366" spans="1:16" ht="14.25" x14ac:dyDescent="0.2">
      <c r="A1366">
        <v>28</v>
      </c>
      <c r="B1366" t="s">
        <v>22</v>
      </c>
      <c r="C1366" t="s">
        <v>17</v>
      </c>
      <c r="D1366">
        <v>1</v>
      </c>
      <c r="E1366">
        <v>2</v>
      </c>
      <c r="F1366" t="s">
        <v>18</v>
      </c>
      <c r="G1366">
        <v>3</v>
      </c>
      <c r="H1366">
        <v>4</v>
      </c>
      <c r="I1366" t="s">
        <v>24</v>
      </c>
      <c r="J1366">
        <v>6834</v>
      </c>
      <c r="K1366">
        <v>1</v>
      </c>
      <c r="L1366">
        <v>3</v>
      </c>
      <c r="M1366">
        <v>7</v>
      </c>
      <c r="N1366" t="s">
        <v>25</v>
      </c>
      <c r="O1366" t="s">
        <v>21</v>
      </c>
      <c r="P1366">
        <v>85456028</v>
      </c>
    </row>
    <row r="1367" spans="1:16" ht="14.25" x14ac:dyDescent="0.2">
      <c r="A1367">
        <v>29</v>
      </c>
      <c r="B1367" t="s">
        <v>16</v>
      </c>
      <c r="C1367" t="s">
        <v>17</v>
      </c>
      <c r="D1367">
        <v>24</v>
      </c>
      <c r="E1367">
        <v>3</v>
      </c>
      <c r="F1367" t="s">
        <v>37</v>
      </c>
      <c r="G1367">
        <v>3</v>
      </c>
      <c r="H1367">
        <v>1</v>
      </c>
      <c r="I1367" t="s">
        <v>19</v>
      </c>
      <c r="J1367">
        <v>1091</v>
      </c>
      <c r="K1367">
        <v>1</v>
      </c>
      <c r="L1367">
        <v>3</v>
      </c>
      <c r="M1367">
        <v>1</v>
      </c>
      <c r="N1367" t="s">
        <v>25</v>
      </c>
      <c r="O1367" t="s">
        <v>34</v>
      </c>
      <c r="P1367">
        <v>48186711</v>
      </c>
    </row>
    <row r="1368" spans="1:16" ht="14.25" x14ac:dyDescent="0.2">
      <c r="A1368">
        <v>39</v>
      </c>
      <c r="B1368" t="s">
        <v>22</v>
      </c>
      <c r="C1368" t="s">
        <v>17</v>
      </c>
      <c r="D1368">
        <v>21</v>
      </c>
      <c r="E1368">
        <v>4</v>
      </c>
      <c r="F1368" t="s">
        <v>18</v>
      </c>
      <c r="G1368">
        <v>1</v>
      </c>
      <c r="H1368">
        <v>3</v>
      </c>
      <c r="I1368" t="s">
        <v>24</v>
      </c>
      <c r="J1368">
        <v>5736</v>
      </c>
      <c r="K1368">
        <v>6</v>
      </c>
      <c r="L1368">
        <v>3</v>
      </c>
      <c r="M1368">
        <v>3</v>
      </c>
      <c r="N1368" t="s">
        <v>20</v>
      </c>
      <c r="O1368" t="s">
        <v>21</v>
      </c>
      <c r="P1368">
        <v>42987679</v>
      </c>
    </row>
    <row r="1369" spans="1:16" ht="14.25" x14ac:dyDescent="0.2">
      <c r="A1369">
        <v>27</v>
      </c>
      <c r="B1369" t="s">
        <v>22</v>
      </c>
      <c r="C1369" t="s">
        <v>23</v>
      </c>
      <c r="D1369">
        <v>2</v>
      </c>
      <c r="E1369">
        <v>4</v>
      </c>
      <c r="F1369" t="s">
        <v>37</v>
      </c>
      <c r="G1369">
        <v>2</v>
      </c>
      <c r="H1369">
        <v>2</v>
      </c>
      <c r="I1369" t="s">
        <v>24</v>
      </c>
      <c r="J1369">
        <v>2226</v>
      </c>
      <c r="K1369">
        <v>1</v>
      </c>
      <c r="L1369">
        <v>2</v>
      </c>
      <c r="M1369">
        <v>5</v>
      </c>
      <c r="N1369" t="s">
        <v>25</v>
      </c>
      <c r="O1369" t="s">
        <v>26</v>
      </c>
      <c r="P1369">
        <v>12474564</v>
      </c>
    </row>
    <row r="1370" spans="1:16" ht="14.25" x14ac:dyDescent="0.2">
      <c r="A1370">
        <v>34</v>
      </c>
      <c r="B1370" t="s">
        <v>22</v>
      </c>
      <c r="C1370" t="s">
        <v>23</v>
      </c>
      <c r="D1370">
        <v>22</v>
      </c>
      <c r="E1370">
        <v>4</v>
      </c>
      <c r="F1370" t="s">
        <v>27</v>
      </c>
      <c r="G1370">
        <v>3</v>
      </c>
      <c r="H1370">
        <v>4</v>
      </c>
      <c r="I1370" t="s">
        <v>24</v>
      </c>
      <c r="J1370">
        <v>5747</v>
      </c>
      <c r="K1370">
        <v>1</v>
      </c>
      <c r="L1370">
        <v>3</v>
      </c>
      <c r="M1370">
        <v>15</v>
      </c>
      <c r="N1370" t="s">
        <v>25</v>
      </c>
      <c r="O1370" t="s">
        <v>26</v>
      </c>
      <c r="P1370">
        <v>57871056</v>
      </c>
    </row>
    <row r="1371" spans="1:16" ht="14.25" x14ac:dyDescent="0.2">
      <c r="A1371">
        <v>28</v>
      </c>
      <c r="B1371" t="s">
        <v>16</v>
      </c>
      <c r="C1371" t="s">
        <v>17</v>
      </c>
      <c r="D1371">
        <v>13</v>
      </c>
      <c r="E1371">
        <v>2</v>
      </c>
      <c r="F1371" t="s">
        <v>36</v>
      </c>
      <c r="G1371">
        <v>4</v>
      </c>
      <c r="H1371">
        <v>3</v>
      </c>
      <c r="I1371" t="s">
        <v>19</v>
      </c>
      <c r="J1371">
        <v>9854</v>
      </c>
      <c r="K1371">
        <v>3</v>
      </c>
      <c r="L1371">
        <v>3</v>
      </c>
      <c r="M1371">
        <v>2</v>
      </c>
      <c r="N1371" t="s">
        <v>20</v>
      </c>
      <c r="O1371" t="s">
        <v>21</v>
      </c>
      <c r="P1371">
        <v>14842271</v>
      </c>
    </row>
    <row r="1372" spans="1:16" ht="14.25" x14ac:dyDescent="0.2">
      <c r="A1372">
        <v>47</v>
      </c>
      <c r="B1372" t="s">
        <v>22</v>
      </c>
      <c r="C1372" t="s">
        <v>23</v>
      </c>
      <c r="D1372">
        <v>14</v>
      </c>
      <c r="E1372">
        <v>4</v>
      </c>
      <c r="F1372" t="s">
        <v>37</v>
      </c>
      <c r="G1372">
        <v>3</v>
      </c>
      <c r="H1372">
        <v>2</v>
      </c>
      <c r="I1372" t="s">
        <v>24</v>
      </c>
      <c r="J1372">
        <v>5467</v>
      </c>
      <c r="K1372">
        <v>8</v>
      </c>
      <c r="L1372">
        <v>4</v>
      </c>
      <c r="M1372">
        <v>8</v>
      </c>
      <c r="N1372" t="s">
        <v>25</v>
      </c>
      <c r="O1372" t="s">
        <v>26</v>
      </c>
      <c r="P1372">
        <v>55262808</v>
      </c>
    </row>
    <row r="1373" spans="1:16" ht="14.25" x14ac:dyDescent="0.2">
      <c r="A1373">
        <v>56</v>
      </c>
      <c r="B1373" t="s">
        <v>22</v>
      </c>
      <c r="C1373" t="s">
        <v>17</v>
      </c>
      <c r="D1373">
        <v>11</v>
      </c>
      <c r="E1373">
        <v>5</v>
      </c>
      <c r="F1373" t="s">
        <v>36</v>
      </c>
      <c r="G1373">
        <v>4</v>
      </c>
      <c r="H1373">
        <v>1</v>
      </c>
      <c r="I1373" t="s">
        <v>24</v>
      </c>
      <c r="J1373">
        <v>5380</v>
      </c>
      <c r="K1373">
        <v>4</v>
      </c>
      <c r="L1373">
        <v>3</v>
      </c>
      <c r="M1373">
        <v>0</v>
      </c>
      <c r="N1373" t="s">
        <v>20</v>
      </c>
      <c r="O1373" t="s">
        <v>21</v>
      </c>
      <c r="P1373">
        <v>58216471</v>
      </c>
    </row>
    <row r="1374" spans="1:16" ht="14.25" x14ac:dyDescent="0.2">
      <c r="A1374">
        <v>39</v>
      </c>
      <c r="B1374" t="s">
        <v>22</v>
      </c>
      <c r="C1374" t="s">
        <v>23</v>
      </c>
      <c r="D1374">
        <v>9</v>
      </c>
      <c r="E1374">
        <v>2</v>
      </c>
      <c r="F1374" t="s">
        <v>29</v>
      </c>
      <c r="G1374">
        <v>1</v>
      </c>
      <c r="H1374">
        <v>1</v>
      </c>
      <c r="I1374" t="s">
        <v>24</v>
      </c>
      <c r="J1374">
        <v>5151</v>
      </c>
      <c r="K1374">
        <v>1</v>
      </c>
      <c r="L1374">
        <v>3</v>
      </c>
      <c r="M1374">
        <v>10</v>
      </c>
      <c r="N1374" t="s">
        <v>25</v>
      </c>
      <c r="O1374" t="s">
        <v>31</v>
      </c>
      <c r="P1374">
        <v>67147003</v>
      </c>
    </row>
    <row r="1375" spans="1:16" ht="14.25" x14ac:dyDescent="0.2">
      <c r="A1375">
        <v>38</v>
      </c>
      <c r="B1375" t="s">
        <v>22</v>
      </c>
      <c r="C1375" t="s">
        <v>23</v>
      </c>
      <c r="D1375">
        <v>8</v>
      </c>
      <c r="E1375">
        <v>3</v>
      </c>
      <c r="F1375" t="s">
        <v>29</v>
      </c>
      <c r="G1375">
        <v>4</v>
      </c>
      <c r="H1375">
        <v>2</v>
      </c>
      <c r="I1375" t="s">
        <v>30</v>
      </c>
      <c r="J1375">
        <v>2133</v>
      </c>
      <c r="K1375">
        <v>1</v>
      </c>
      <c r="L1375">
        <v>3</v>
      </c>
      <c r="M1375">
        <v>20</v>
      </c>
      <c r="N1375" t="s">
        <v>20</v>
      </c>
      <c r="O1375" t="s">
        <v>26</v>
      </c>
      <c r="P1375">
        <v>25727728</v>
      </c>
    </row>
    <row r="1376" spans="1:16" ht="14.25" x14ac:dyDescent="0.2">
      <c r="A1376">
        <v>58</v>
      </c>
      <c r="B1376" t="s">
        <v>22</v>
      </c>
      <c r="C1376" t="s">
        <v>17</v>
      </c>
      <c r="D1376">
        <v>21</v>
      </c>
      <c r="E1376">
        <v>3</v>
      </c>
      <c r="F1376" t="s">
        <v>18</v>
      </c>
      <c r="G1376">
        <v>4</v>
      </c>
      <c r="H1376">
        <v>4</v>
      </c>
      <c r="I1376" t="s">
        <v>24</v>
      </c>
      <c r="J1376">
        <v>17875</v>
      </c>
      <c r="K1376">
        <v>4</v>
      </c>
      <c r="L1376">
        <v>2</v>
      </c>
      <c r="M1376">
        <v>1</v>
      </c>
      <c r="N1376" t="s">
        <v>20</v>
      </c>
      <c r="O1376" t="s">
        <v>33</v>
      </c>
      <c r="P1376">
        <v>32753054</v>
      </c>
    </row>
    <row r="1377" spans="1:16" ht="14.25" x14ac:dyDescent="0.2">
      <c r="A1377">
        <v>32</v>
      </c>
      <c r="B1377" t="s">
        <v>16</v>
      </c>
      <c r="C1377" t="s">
        <v>23</v>
      </c>
      <c r="D1377">
        <v>5</v>
      </c>
      <c r="E1377">
        <v>2</v>
      </c>
      <c r="F1377" t="s">
        <v>18</v>
      </c>
      <c r="G1377">
        <v>1</v>
      </c>
      <c r="H1377">
        <v>3</v>
      </c>
      <c r="I1377" t="s">
        <v>19</v>
      </c>
      <c r="J1377">
        <v>2432</v>
      </c>
      <c r="K1377">
        <v>3</v>
      </c>
      <c r="L1377">
        <v>3</v>
      </c>
      <c r="M1377">
        <v>4</v>
      </c>
      <c r="N1377" t="s">
        <v>20</v>
      </c>
      <c r="O1377" t="s">
        <v>26</v>
      </c>
      <c r="P1377">
        <v>37264185</v>
      </c>
    </row>
    <row r="1378" spans="1:16" ht="14.25" x14ac:dyDescent="0.2">
      <c r="A1378">
        <v>38</v>
      </c>
      <c r="B1378" t="s">
        <v>22</v>
      </c>
      <c r="C1378" t="s">
        <v>23</v>
      </c>
      <c r="D1378">
        <v>9</v>
      </c>
      <c r="E1378">
        <v>2</v>
      </c>
      <c r="F1378" t="s">
        <v>18</v>
      </c>
      <c r="G1378">
        <v>2</v>
      </c>
      <c r="H1378">
        <v>4</v>
      </c>
      <c r="I1378" t="s">
        <v>30</v>
      </c>
      <c r="J1378">
        <v>4771</v>
      </c>
      <c r="K1378">
        <v>2</v>
      </c>
      <c r="L1378">
        <v>4</v>
      </c>
      <c r="M1378">
        <v>5</v>
      </c>
      <c r="N1378" t="s">
        <v>25</v>
      </c>
      <c r="O1378" t="s">
        <v>26</v>
      </c>
      <c r="P1378">
        <v>68693462</v>
      </c>
    </row>
    <row r="1379" spans="1:16" ht="14.25" x14ac:dyDescent="0.2">
      <c r="A1379">
        <v>49</v>
      </c>
      <c r="B1379" t="s">
        <v>22</v>
      </c>
      <c r="C1379" t="s">
        <v>23</v>
      </c>
      <c r="D1379">
        <v>2</v>
      </c>
      <c r="E1379">
        <v>1</v>
      </c>
      <c r="F1379" t="s">
        <v>18</v>
      </c>
      <c r="G1379">
        <v>2</v>
      </c>
      <c r="H1379">
        <v>4</v>
      </c>
      <c r="I1379" t="s">
        <v>24</v>
      </c>
      <c r="J1379">
        <v>19161</v>
      </c>
      <c r="K1379">
        <v>3</v>
      </c>
      <c r="L1379">
        <v>3</v>
      </c>
      <c r="M1379">
        <v>5</v>
      </c>
      <c r="N1379" t="s">
        <v>25</v>
      </c>
      <c r="O1379" t="s">
        <v>35</v>
      </c>
      <c r="P1379">
        <v>24103360</v>
      </c>
    </row>
    <row r="1380" spans="1:16" ht="14.25" x14ac:dyDescent="0.2">
      <c r="A1380">
        <v>42</v>
      </c>
      <c r="B1380" t="s">
        <v>22</v>
      </c>
      <c r="C1380" t="s">
        <v>17</v>
      </c>
      <c r="D1380">
        <v>12</v>
      </c>
      <c r="E1380">
        <v>4</v>
      </c>
      <c r="F1380" t="s">
        <v>36</v>
      </c>
      <c r="G1380">
        <v>2</v>
      </c>
      <c r="H1380">
        <v>4</v>
      </c>
      <c r="I1380" t="s">
        <v>30</v>
      </c>
      <c r="J1380">
        <v>5087</v>
      </c>
      <c r="K1380">
        <v>3</v>
      </c>
      <c r="L1380">
        <v>3</v>
      </c>
      <c r="M1380">
        <v>0</v>
      </c>
      <c r="N1380" t="s">
        <v>25</v>
      </c>
      <c r="O1380" t="s">
        <v>21</v>
      </c>
      <c r="P1380">
        <v>68264759</v>
      </c>
    </row>
    <row r="1381" spans="1:16" ht="14.25" x14ac:dyDescent="0.2">
      <c r="A1381">
        <v>27</v>
      </c>
      <c r="B1381" t="s">
        <v>16</v>
      </c>
      <c r="C1381" t="s">
        <v>38</v>
      </c>
      <c r="D1381">
        <v>22</v>
      </c>
      <c r="E1381">
        <v>3</v>
      </c>
      <c r="F1381" t="s">
        <v>38</v>
      </c>
      <c r="G1381">
        <v>1</v>
      </c>
      <c r="H1381">
        <v>2</v>
      </c>
      <c r="I1381" t="s">
        <v>24</v>
      </c>
      <c r="J1381">
        <v>2863</v>
      </c>
      <c r="K1381">
        <v>1</v>
      </c>
      <c r="L1381">
        <v>3</v>
      </c>
      <c r="M1381">
        <v>1</v>
      </c>
      <c r="N1381" t="s">
        <v>20</v>
      </c>
      <c r="O1381" t="s">
        <v>38</v>
      </c>
      <c r="P1381">
        <v>72889007</v>
      </c>
    </row>
    <row r="1382" spans="1:16" ht="14.25" x14ac:dyDescent="0.2">
      <c r="A1382">
        <v>35</v>
      </c>
      <c r="B1382" t="s">
        <v>22</v>
      </c>
      <c r="C1382" t="s">
        <v>17</v>
      </c>
      <c r="D1382">
        <v>18</v>
      </c>
      <c r="E1382">
        <v>4</v>
      </c>
      <c r="F1382" t="s">
        <v>29</v>
      </c>
      <c r="G1382">
        <v>2</v>
      </c>
      <c r="H1382">
        <v>1</v>
      </c>
      <c r="I1382" t="s">
        <v>24</v>
      </c>
      <c r="J1382">
        <v>5561</v>
      </c>
      <c r="K1382">
        <v>0</v>
      </c>
      <c r="L1382">
        <v>1</v>
      </c>
      <c r="M1382">
        <v>5</v>
      </c>
      <c r="N1382" t="s">
        <v>25</v>
      </c>
      <c r="O1382" t="s">
        <v>21</v>
      </c>
      <c r="P1382">
        <v>79112690</v>
      </c>
    </row>
    <row r="1383" spans="1:16" ht="14.25" x14ac:dyDescent="0.2">
      <c r="A1383">
        <v>28</v>
      </c>
      <c r="B1383" t="s">
        <v>22</v>
      </c>
      <c r="C1383" t="s">
        <v>23</v>
      </c>
      <c r="D1383">
        <v>16</v>
      </c>
      <c r="E1383">
        <v>3</v>
      </c>
      <c r="F1383" t="s">
        <v>29</v>
      </c>
      <c r="G1383">
        <v>3</v>
      </c>
      <c r="H1383">
        <v>3</v>
      </c>
      <c r="I1383" t="s">
        <v>19</v>
      </c>
      <c r="J1383">
        <v>2144</v>
      </c>
      <c r="K1383">
        <v>1</v>
      </c>
      <c r="L1383">
        <v>2</v>
      </c>
      <c r="M1383">
        <v>5</v>
      </c>
      <c r="N1383" t="s">
        <v>25</v>
      </c>
      <c r="O1383" t="s">
        <v>26</v>
      </c>
      <c r="P1383">
        <v>27872198</v>
      </c>
    </row>
    <row r="1384" spans="1:16" ht="14.25" x14ac:dyDescent="0.2">
      <c r="A1384">
        <v>31</v>
      </c>
      <c r="B1384" t="s">
        <v>22</v>
      </c>
      <c r="C1384" t="s">
        <v>23</v>
      </c>
      <c r="D1384">
        <v>3</v>
      </c>
      <c r="E1384">
        <v>2</v>
      </c>
      <c r="F1384" t="s">
        <v>29</v>
      </c>
      <c r="G1384">
        <v>3</v>
      </c>
      <c r="H1384">
        <v>1</v>
      </c>
      <c r="I1384" t="s">
        <v>30</v>
      </c>
      <c r="J1384">
        <v>3065</v>
      </c>
      <c r="K1384">
        <v>1</v>
      </c>
      <c r="L1384">
        <v>4</v>
      </c>
      <c r="M1384">
        <v>4</v>
      </c>
      <c r="N1384" t="s">
        <v>25</v>
      </c>
      <c r="O1384" t="s">
        <v>26</v>
      </c>
      <c r="P1384">
        <v>62029867</v>
      </c>
    </row>
    <row r="1385" spans="1:16" ht="14.25" x14ac:dyDescent="0.2">
      <c r="A1385">
        <v>36</v>
      </c>
      <c r="B1385" t="s">
        <v>22</v>
      </c>
      <c r="C1385" t="s">
        <v>23</v>
      </c>
      <c r="D1385">
        <v>9</v>
      </c>
      <c r="E1385">
        <v>4</v>
      </c>
      <c r="F1385" t="s">
        <v>18</v>
      </c>
      <c r="G1385">
        <v>1</v>
      </c>
      <c r="H1385">
        <v>2</v>
      </c>
      <c r="I1385" t="s">
        <v>24</v>
      </c>
      <c r="J1385">
        <v>2810</v>
      </c>
      <c r="K1385">
        <v>1</v>
      </c>
      <c r="L1385">
        <v>3</v>
      </c>
      <c r="M1385">
        <v>5</v>
      </c>
      <c r="N1385" t="s">
        <v>25</v>
      </c>
      <c r="O1385" t="s">
        <v>28</v>
      </c>
      <c r="P1385">
        <v>79006377</v>
      </c>
    </row>
    <row r="1386" spans="1:16" ht="14.25" x14ac:dyDescent="0.2">
      <c r="A1386">
        <v>34</v>
      </c>
      <c r="B1386" t="s">
        <v>22</v>
      </c>
      <c r="C1386" t="s">
        <v>17</v>
      </c>
      <c r="D1386">
        <v>1</v>
      </c>
      <c r="E1386">
        <v>3</v>
      </c>
      <c r="F1386" t="s">
        <v>36</v>
      </c>
      <c r="G1386">
        <v>1</v>
      </c>
      <c r="H1386">
        <v>4</v>
      </c>
      <c r="I1386" t="s">
        <v>19</v>
      </c>
      <c r="J1386">
        <v>9888</v>
      </c>
      <c r="K1386">
        <v>1</v>
      </c>
      <c r="L1386">
        <v>2</v>
      </c>
      <c r="M1386">
        <v>14</v>
      </c>
      <c r="N1386" t="s">
        <v>25</v>
      </c>
      <c r="O1386" t="s">
        <v>21</v>
      </c>
      <c r="P1386">
        <v>55924274</v>
      </c>
    </row>
    <row r="1387" spans="1:16" ht="14.25" x14ac:dyDescent="0.2">
      <c r="A1387">
        <v>34</v>
      </c>
      <c r="B1387" t="s">
        <v>22</v>
      </c>
      <c r="C1387" t="s">
        <v>17</v>
      </c>
      <c r="D1387">
        <v>13</v>
      </c>
      <c r="E1387">
        <v>4</v>
      </c>
      <c r="F1387" t="s">
        <v>29</v>
      </c>
      <c r="G1387">
        <v>4</v>
      </c>
      <c r="H1387">
        <v>3</v>
      </c>
      <c r="I1387" t="s">
        <v>30</v>
      </c>
      <c r="J1387">
        <v>8628</v>
      </c>
      <c r="K1387">
        <v>1</v>
      </c>
      <c r="L1387">
        <v>2</v>
      </c>
      <c r="M1387">
        <v>8</v>
      </c>
      <c r="N1387" t="s">
        <v>25</v>
      </c>
      <c r="O1387" t="s">
        <v>21</v>
      </c>
      <c r="P1387">
        <v>29001575</v>
      </c>
    </row>
    <row r="1388" spans="1:16" ht="14.25" x14ac:dyDescent="0.2">
      <c r="A1388">
        <v>26</v>
      </c>
      <c r="B1388" t="s">
        <v>22</v>
      </c>
      <c r="C1388" t="s">
        <v>23</v>
      </c>
      <c r="D1388">
        <v>1</v>
      </c>
      <c r="E1388">
        <v>3</v>
      </c>
      <c r="F1388" t="s">
        <v>29</v>
      </c>
      <c r="G1388">
        <v>3</v>
      </c>
      <c r="H1388">
        <v>1</v>
      </c>
      <c r="I1388" t="s">
        <v>19</v>
      </c>
      <c r="J1388">
        <v>2867</v>
      </c>
      <c r="K1388">
        <v>0</v>
      </c>
      <c r="L1388">
        <v>2</v>
      </c>
      <c r="M1388">
        <v>7</v>
      </c>
      <c r="N1388" t="s">
        <v>25</v>
      </c>
      <c r="O1388" t="s">
        <v>28</v>
      </c>
      <c r="P1388">
        <v>52262247</v>
      </c>
    </row>
    <row r="1389" spans="1:16" ht="14.25" x14ac:dyDescent="0.2">
      <c r="A1389">
        <v>29</v>
      </c>
      <c r="B1389" t="s">
        <v>22</v>
      </c>
      <c r="C1389" t="s">
        <v>23</v>
      </c>
      <c r="D1389">
        <v>1</v>
      </c>
      <c r="E1389">
        <v>3</v>
      </c>
      <c r="F1389" t="s">
        <v>18</v>
      </c>
      <c r="G1389">
        <v>1</v>
      </c>
      <c r="H1389">
        <v>1</v>
      </c>
      <c r="I1389" t="s">
        <v>24</v>
      </c>
      <c r="J1389">
        <v>5373</v>
      </c>
      <c r="K1389">
        <v>0</v>
      </c>
      <c r="L1389">
        <v>2</v>
      </c>
      <c r="M1389">
        <v>5</v>
      </c>
      <c r="N1389" t="s">
        <v>25</v>
      </c>
      <c r="O1389" t="s">
        <v>32</v>
      </c>
      <c r="P1389">
        <v>41620404</v>
      </c>
    </row>
    <row r="1390" spans="1:16" ht="14.25" x14ac:dyDescent="0.2">
      <c r="A1390">
        <v>32</v>
      </c>
      <c r="B1390" t="s">
        <v>22</v>
      </c>
      <c r="C1390" t="s">
        <v>23</v>
      </c>
      <c r="D1390">
        <v>15</v>
      </c>
      <c r="E1390">
        <v>4</v>
      </c>
      <c r="F1390" t="s">
        <v>29</v>
      </c>
      <c r="G1390">
        <v>3</v>
      </c>
      <c r="H1390">
        <v>4</v>
      </c>
      <c r="I1390" t="s">
        <v>30</v>
      </c>
      <c r="J1390">
        <v>6667</v>
      </c>
      <c r="K1390">
        <v>5</v>
      </c>
      <c r="L1390">
        <v>3</v>
      </c>
      <c r="M1390">
        <v>5</v>
      </c>
      <c r="N1390" t="s">
        <v>20</v>
      </c>
      <c r="O1390" t="s">
        <v>32</v>
      </c>
      <c r="P1390">
        <v>35621435</v>
      </c>
    </row>
    <row r="1391" spans="1:16" ht="14.25" x14ac:dyDescent="0.2">
      <c r="A1391">
        <v>31</v>
      </c>
      <c r="B1391" t="s">
        <v>22</v>
      </c>
      <c r="C1391" t="s">
        <v>23</v>
      </c>
      <c r="D1391">
        <v>1</v>
      </c>
      <c r="E1391">
        <v>3</v>
      </c>
      <c r="F1391" t="s">
        <v>18</v>
      </c>
      <c r="G1391">
        <v>4</v>
      </c>
      <c r="H1391">
        <v>1</v>
      </c>
      <c r="I1391" t="s">
        <v>24</v>
      </c>
      <c r="J1391">
        <v>5003</v>
      </c>
      <c r="K1391">
        <v>1</v>
      </c>
      <c r="L1391">
        <v>3</v>
      </c>
      <c r="M1391">
        <v>10</v>
      </c>
      <c r="N1391" t="s">
        <v>25</v>
      </c>
      <c r="O1391" t="s">
        <v>26</v>
      </c>
      <c r="P1391">
        <v>65925203</v>
      </c>
    </row>
    <row r="1392" spans="1:16" ht="14.25" x14ac:dyDescent="0.2">
      <c r="A1392">
        <v>28</v>
      </c>
      <c r="B1392" t="s">
        <v>16</v>
      </c>
      <c r="C1392" t="s">
        <v>23</v>
      </c>
      <c r="D1392">
        <v>17</v>
      </c>
      <c r="E1392">
        <v>3</v>
      </c>
      <c r="F1392" t="s">
        <v>37</v>
      </c>
      <c r="G1392">
        <v>3</v>
      </c>
      <c r="H1392">
        <v>4</v>
      </c>
      <c r="I1392" t="s">
        <v>30</v>
      </c>
      <c r="J1392">
        <v>2367</v>
      </c>
      <c r="K1392">
        <v>5</v>
      </c>
      <c r="L1392">
        <v>2</v>
      </c>
      <c r="M1392">
        <v>4</v>
      </c>
      <c r="N1392" t="s">
        <v>25</v>
      </c>
      <c r="O1392" t="s">
        <v>28</v>
      </c>
      <c r="P1392">
        <v>38842188</v>
      </c>
    </row>
    <row r="1393" spans="1:16" ht="14.25" x14ac:dyDescent="0.2">
      <c r="A1393">
        <v>38</v>
      </c>
      <c r="B1393" t="s">
        <v>22</v>
      </c>
      <c r="C1393" t="s">
        <v>17</v>
      </c>
      <c r="D1393">
        <v>1</v>
      </c>
      <c r="E1393">
        <v>3</v>
      </c>
      <c r="F1393" t="s">
        <v>18</v>
      </c>
      <c r="G1393">
        <v>1</v>
      </c>
      <c r="H1393">
        <v>1</v>
      </c>
      <c r="I1393" t="s">
        <v>19</v>
      </c>
      <c r="J1393">
        <v>2858</v>
      </c>
      <c r="K1393">
        <v>4</v>
      </c>
      <c r="L1393">
        <v>2</v>
      </c>
      <c r="M1393">
        <v>1</v>
      </c>
      <c r="N1393" t="s">
        <v>25</v>
      </c>
      <c r="O1393" t="s">
        <v>34</v>
      </c>
      <c r="P1393">
        <v>24171603</v>
      </c>
    </row>
    <row r="1394" spans="1:16" ht="14.25" x14ac:dyDescent="0.2">
      <c r="A1394">
        <v>35</v>
      </c>
      <c r="B1394" t="s">
        <v>22</v>
      </c>
      <c r="C1394" t="s">
        <v>17</v>
      </c>
      <c r="D1394">
        <v>7</v>
      </c>
      <c r="E1394">
        <v>4</v>
      </c>
      <c r="F1394" t="s">
        <v>18</v>
      </c>
      <c r="G1394">
        <v>3</v>
      </c>
      <c r="H1394">
        <v>4</v>
      </c>
      <c r="I1394" t="s">
        <v>24</v>
      </c>
      <c r="J1394">
        <v>5204</v>
      </c>
      <c r="K1394">
        <v>1</v>
      </c>
      <c r="L1394">
        <v>3</v>
      </c>
      <c r="M1394">
        <v>10</v>
      </c>
      <c r="N1394" t="s">
        <v>20</v>
      </c>
      <c r="O1394" t="s">
        <v>21</v>
      </c>
      <c r="P1394">
        <v>22036079</v>
      </c>
    </row>
    <row r="1395" spans="1:16" ht="14.25" x14ac:dyDescent="0.2">
      <c r="A1395">
        <v>27</v>
      </c>
      <c r="B1395" t="s">
        <v>22</v>
      </c>
      <c r="C1395" t="s">
        <v>17</v>
      </c>
      <c r="D1395">
        <v>9</v>
      </c>
      <c r="E1395">
        <v>3</v>
      </c>
      <c r="F1395" t="s">
        <v>36</v>
      </c>
      <c r="G1395">
        <v>4</v>
      </c>
      <c r="H1395">
        <v>4</v>
      </c>
      <c r="I1395" t="s">
        <v>19</v>
      </c>
      <c r="J1395">
        <v>4105</v>
      </c>
      <c r="K1395">
        <v>1</v>
      </c>
      <c r="L1395">
        <v>3</v>
      </c>
      <c r="M1395">
        <v>7</v>
      </c>
      <c r="N1395" t="s">
        <v>25</v>
      </c>
      <c r="O1395" t="s">
        <v>21</v>
      </c>
      <c r="P1395">
        <v>11417564</v>
      </c>
    </row>
    <row r="1396" spans="1:16" ht="14.25" x14ac:dyDescent="0.2">
      <c r="A1396">
        <v>32</v>
      </c>
      <c r="B1396" t="s">
        <v>22</v>
      </c>
      <c r="C1396" t="s">
        <v>23</v>
      </c>
      <c r="D1396">
        <v>5</v>
      </c>
      <c r="E1396">
        <v>4</v>
      </c>
      <c r="F1396" t="s">
        <v>18</v>
      </c>
      <c r="G1396">
        <v>4</v>
      </c>
      <c r="H1396">
        <v>4</v>
      </c>
      <c r="I1396" t="s">
        <v>19</v>
      </c>
      <c r="J1396">
        <v>9679</v>
      </c>
      <c r="K1396">
        <v>8</v>
      </c>
      <c r="L1396">
        <v>3</v>
      </c>
      <c r="M1396">
        <v>1</v>
      </c>
      <c r="N1396" t="s">
        <v>25</v>
      </c>
      <c r="O1396" t="s">
        <v>31</v>
      </c>
      <c r="P1396">
        <v>51444151</v>
      </c>
    </row>
    <row r="1397" spans="1:16" ht="14.25" x14ac:dyDescent="0.2">
      <c r="A1397">
        <v>31</v>
      </c>
      <c r="B1397" t="s">
        <v>16</v>
      </c>
      <c r="C1397" t="s">
        <v>17</v>
      </c>
      <c r="D1397">
        <v>26</v>
      </c>
      <c r="E1397">
        <v>4</v>
      </c>
      <c r="F1397" t="s">
        <v>36</v>
      </c>
      <c r="G1397">
        <v>1</v>
      </c>
      <c r="H1397">
        <v>4</v>
      </c>
      <c r="I1397" t="s">
        <v>24</v>
      </c>
      <c r="J1397">
        <v>5617</v>
      </c>
      <c r="K1397">
        <v>1</v>
      </c>
      <c r="L1397">
        <v>3</v>
      </c>
      <c r="M1397">
        <v>10</v>
      </c>
      <c r="N1397" t="s">
        <v>25</v>
      </c>
      <c r="O1397" t="s">
        <v>21</v>
      </c>
      <c r="P1397">
        <v>17456162</v>
      </c>
    </row>
    <row r="1398" spans="1:16" ht="14.25" x14ac:dyDescent="0.2">
      <c r="A1398">
        <v>53</v>
      </c>
      <c r="B1398" t="s">
        <v>16</v>
      </c>
      <c r="C1398" t="s">
        <v>17</v>
      </c>
      <c r="D1398">
        <v>24</v>
      </c>
      <c r="E1398">
        <v>4</v>
      </c>
      <c r="F1398" t="s">
        <v>18</v>
      </c>
      <c r="G1398">
        <v>1</v>
      </c>
      <c r="H1398">
        <v>1</v>
      </c>
      <c r="I1398" t="s">
        <v>19</v>
      </c>
      <c r="J1398">
        <v>10448</v>
      </c>
      <c r="K1398">
        <v>6</v>
      </c>
      <c r="L1398">
        <v>2</v>
      </c>
      <c r="M1398">
        <v>2</v>
      </c>
      <c r="N1398" t="s">
        <v>25</v>
      </c>
      <c r="O1398" t="s">
        <v>21</v>
      </c>
      <c r="P1398">
        <v>60638903</v>
      </c>
    </row>
    <row r="1399" spans="1:16" ht="14.25" x14ac:dyDescent="0.2">
      <c r="A1399">
        <v>54</v>
      </c>
      <c r="B1399" t="s">
        <v>22</v>
      </c>
      <c r="C1399" t="s">
        <v>23</v>
      </c>
      <c r="D1399">
        <v>9</v>
      </c>
      <c r="E1399">
        <v>2</v>
      </c>
      <c r="F1399" t="s">
        <v>18</v>
      </c>
      <c r="G1399">
        <v>1</v>
      </c>
      <c r="H1399">
        <v>3</v>
      </c>
      <c r="I1399" t="s">
        <v>24</v>
      </c>
      <c r="J1399">
        <v>2897</v>
      </c>
      <c r="K1399">
        <v>3</v>
      </c>
      <c r="L1399">
        <v>2</v>
      </c>
      <c r="M1399">
        <v>4</v>
      </c>
      <c r="N1399" t="s">
        <v>20</v>
      </c>
      <c r="O1399" t="s">
        <v>26</v>
      </c>
      <c r="P1399">
        <v>69714739</v>
      </c>
    </row>
    <row r="1400" spans="1:16" ht="14.25" x14ac:dyDescent="0.2">
      <c r="A1400">
        <v>33</v>
      </c>
      <c r="B1400" t="s">
        <v>22</v>
      </c>
      <c r="C1400" t="s">
        <v>23</v>
      </c>
      <c r="D1400">
        <v>7</v>
      </c>
      <c r="E1400">
        <v>2</v>
      </c>
      <c r="F1400" t="s">
        <v>18</v>
      </c>
      <c r="G1400">
        <v>4</v>
      </c>
      <c r="H1400">
        <v>3</v>
      </c>
      <c r="I1400" t="s">
        <v>30</v>
      </c>
      <c r="J1400">
        <v>5968</v>
      </c>
      <c r="K1400">
        <v>1</v>
      </c>
      <c r="L1400">
        <v>3</v>
      </c>
      <c r="M1400">
        <v>9</v>
      </c>
      <c r="N1400" t="s">
        <v>25</v>
      </c>
      <c r="O1400" t="s">
        <v>32</v>
      </c>
      <c r="P1400">
        <v>33179133</v>
      </c>
    </row>
    <row r="1401" spans="1:16" ht="14.25" x14ac:dyDescent="0.2">
      <c r="A1401">
        <v>43</v>
      </c>
      <c r="B1401" t="s">
        <v>22</v>
      </c>
      <c r="C1401" t="s">
        <v>23</v>
      </c>
      <c r="D1401">
        <v>11</v>
      </c>
      <c r="E1401">
        <v>3</v>
      </c>
      <c r="F1401" t="s">
        <v>18</v>
      </c>
      <c r="G1401">
        <v>1</v>
      </c>
      <c r="H1401">
        <v>3</v>
      </c>
      <c r="I1401" t="s">
        <v>24</v>
      </c>
      <c r="J1401">
        <v>7510</v>
      </c>
      <c r="K1401">
        <v>1</v>
      </c>
      <c r="L1401">
        <v>3</v>
      </c>
      <c r="M1401">
        <v>10</v>
      </c>
      <c r="N1401" t="s">
        <v>25</v>
      </c>
      <c r="O1401" t="s">
        <v>32</v>
      </c>
      <c r="P1401">
        <v>62623047</v>
      </c>
    </row>
    <row r="1402" spans="1:16" ht="14.25" x14ac:dyDescent="0.2">
      <c r="A1402">
        <v>38</v>
      </c>
      <c r="B1402" t="s">
        <v>22</v>
      </c>
      <c r="C1402" t="s">
        <v>38</v>
      </c>
      <c r="D1402">
        <v>1</v>
      </c>
      <c r="E1402">
        <v>4</v>
      </c>
      <c r="F1402" t="s">
        <v>27</v>
      </c>
      <c r="G1402">
        <v>4</v>
      </c>
      <c r="H1402">
        <v>2</v>
      </c>
      <c r="I1402" t="s">
        <v>24</v>
      </c>
      <c r="J1402">
        <v>2991</v>
      </c>
      <c r="K1402">
        <v>0</v>
      </c>
      <c r="L1402">
        <v>3</v>
      </c>
      <c r="M1402">
        <v>6</v>
      </c>
      <c r="N1402" t="s">
        <v>25</v>
      </c>
      <c r="O1402" t="s">
        <v>38</v>
      </c>
      <c r="P1402">
        <v>36541542</v>
      </c>
    </row>
    <row r="1403" spans="1:16" ht="14.25" x14ac:dyDescent="0.2">
      <c r="A1403">
        <v>55</v>
      </c>
      <c r="B1403" t="s">
        <v>22</v>
      </c>
      <c r="C1403" t="s">
        <v>38</v>
      </c>
      <c r="D1403">
        <v>26</v>
      </c>
      <c r="E1403">
        <v>4</v>
      </c>
      <c r="F1403" t="s">
        <v>38</v>
      </c>
      <c r="G1403">
        <v>3</v>
      </c>
      <c r="H1403">
        <v>2</v>
      </c>
      <c r="I1403" t="s">
        <v>24</v>
      </c>
      <c r="J1403">
        <v>19636</v>
      </c>
      <c r="K1403">
        <v>4</v>
      </c>
      <c r="L1403">
        <v>3</v>
      </c>
      <c r="M1403">
        <v>10</v>
      </c>
      <c r="N1403" t="s">
        <v>25</v>
      </c>
      <c r="O1403" t="s">
        <v>33</v>
      </c>
      <c r="P1403">
        <v>60515094</v>
      </c>
    </row>
    <row r="1404" spans="1:16" ht="14.25" x14ac:dyDescent="0.2">
      <c r="A1404">
        <v>31</v>
      </c>
      <c r="B1404" t="s">
        <v>22</v>
      </c>
      <c r="C1404" t="s">
        <v>23</v>
      </c>
      <c r="D1404">
        <v>2</v>
      </c>
      <c r="E1404">
        <v>1</v>
      </c>
      <c r="F1404" t="s">
        <v>29</v>
      </c>
      <c r="G1404">
        <v>4</v>
      </c>
      <c r="H1404">
        <v>4</v>
      </c>
      <c r="I1404" t="s">
        <v>30</v>
      </c>
      <c r="J1404">
        <v>1129</v>
      </c>
      <c r="K1404">
        <v>1</v>
      </c>
      <c r="L1404">
        <v>3</v>
      </c>
      <c r="M1404">
        <v>1</v>
      </c>
      <c r="N1404" t="s">
        <v>20</v>
      </c>
      <c r="O1404" t="s">
        <v>28</v>
      </c>
      <c r="P1404">
        <v>31842211</v>
      </c>
    </row>
    <row r="1405" spans="1:16" ht="14.25" x14ac:dyDescent="0.2">
      <c r="A1405">
        <v>39</v>
      </c>
      <c r="B1405" t="s">
        <v>22</v>
      </c>
      <c r="C1405" t="s">
        <v>17</v>
      </c>
      <c r="D1405">
        <v>15</v>
      </c>
      <c r="E1405">
        <v>4</v>
      </c>
      <c r="F1405" t="s">
        <v>36</v>
      </c>
      <c r="G1405">
        <v>2</v>
      </c>
      <c r="H1405">
        <v>1</v>
      </c>
      <c r="I1405" t="s">
        <v>19</v>
      </c>
      <c r="J1405">
        <v>13341</v>
      </c>
      <c r="K1405">
        <v>0</v>
      </c>
      <c r="L1405">
        <v>3</v>
      </c>
      <c r="M1405">
        <v>20</v>
      </c>
      <c r="N1405" t="s">
        <v>25</v>
      </c>
      <c r="O1405" t="s">
        <v>21</v>
      </c>
      <c r="P1405">
        <v>31159794</v>
      </c>
    </row>
    <row r="1406" spans="1:16" ht="14.25" x14ac:dyDescent="0.2">
      <c r="A1406">
        <v>42</v>
      </c>
      <c r="B1406" t="s">
        <v>22</v>
      </c>
      <c r="C1406" t="s">
        <v>23</v>
      </c>
      <c r="D1406">
        <v>23</v>
      </c>
      <c r="E1406">
        <v>2</v>
      </c>
      <c r="F1406" t="s">
        <v>18</v>
      </c>
      <c r="G1406">
        <v>4</v>
      </c>
      <c r="H1406">
        <v>3</v>
      </c>
      <c r="I1406" t="s">
        <v>19</v>
      </c>
      <c r="J1406">
        <v>4332</v>
      </c>
      <c r="K1406">
        <v>1</v>
      </c>
      <c r="L1406">
        <v>3</v>
      </c>
      <c r="M1406">
        <v>20</v>
      </c>
      <c r="N1406" t="s">
        <v>25</v>
      </c>
      <c r="O1406" t="s">
        <v>26</v>
      </c>
      <c r="P1406">
        <v>88574459</v>
      </c>
    </row>
    <row r="1407" spans="1:16" ht="14.25" x14ac:dyDescent="0.2">
      <c r="A1407">
        <v>31</v>
      </c>
      <c r="B1407" t="s">
        <v>22</v>
      </c>
      <c r="C1407" t="s">
        <v>23</v>
      </c>
      <c r="D1407">
        <v>10</v>
      </c>
      <c r="E1407">
        <v>3</v>
      </c>
      <c r="F1407" t="s">
        <v>29</v>
      </c>
      <c r="G1407">
        <v>3</v>
      </c>
      <c r="H1407">
        <v>3</v>
      </c>
      <c r="I1407" t="s">
        <v>24</v>
      </c>
      <c r="J1407">
        <v>11031</v>
      </c>
      <c r="K1407">
        <v>4</v>
      </c>
      <c r="L1407">
        <v>4</v>
      </c>
      <c r="M1407">
        <v>11</v>
      </c>
      <c r="N1407" t="s">
        <v>20</v>
      </c>
      <c r="O1407" t="s">
        <v>35</v>
      </c>
      <c r="P1407">
        <v>17935742</v>
      </c>
    </row>
    <row r="1408" spans="1:16" ht="14.25" x14ac:dyDescent="0.2">
      <c r="A1408">
        <v>54</v>
      </c>
      <c r="B1408" t="s">
        <v>22</v>
      </c>
      <c r="C1408" t="s">
        <v>23</v>
      </c>
      <c r="D1408">
        <v>10</v>
      </c>
      <c r="E1408">
        <v>3</v>
      </c>
      <c r="F1408" t="s">
        <v>29</v>
      </c>
      <c r="G1408">
        <v>3</v>
      </c>
      <c r="H1408">
        <v>1</v>
      </c>
      <c r="I1408" t="s">
        <v>19</v>
      </c>
      <c r="J1408">
        <v>4440</v>
      </c>
      <c r="K1408">
        <v>6</v>
      </c>
      <c r="L1408">
        <v>3</v>
      </c>
      <c r="M1408">
        <v>5</v>
      </c>
      <c r="N1408" t="s">
        <v>20</v>
      </c>
      <c r="O1408" t="s">
        <v>31</v>
      </c>
      <c r="P1408">
        <v>76964859</v>
      </c>
    </row>
    <row r="1409" spans="1:16" ht="14.25" x14ac:dyDescent="0.2">
      <c r="A1409">
        <v>24</v>
      </c>
      <c r="B1409" t="s">
        <v>22</v>
      </c>
      <c r="C1409" t="s">
        <v>23</v>
      </c>
      <c r="D1409">
        <v>1</v>
      </c>
      <c r="E1409">
        <v>2</v>
      </c>
      <c r="F1409" t="s">
        <v>18</v>
      </c>
      <c r="G1409">
        <v>2</v>
      </c>
      <c r="H1409">
        <v>3</v>
      </c>
      <c r="I1409" t="s">
        <v>19</v>
      </c>
      <c r="J1409">
        <v>4617</v>
      </c>
      <c r="K1409">
        <v>1</v>
      </c>
      <c r="L1409">
        <v>2</v>
      </c>
      <c r="M1409">
        <v>4</v>
      </c>
      <c r="N1409" t="s">
        <v>25</v>
      </c>
      <c r="O1409" t="s">
        <v>32</v>
      </c>
      <c r="P1409">
        <v>80008830</v>
      </c>
    </row>
    <row r="1410" spans="1:16" ht="14.25" x14ac:dyDescent="0.2">
      <c r="A1410">
        <v>23</v>
      </c>
      <c r="B1410" t="s">
        <v>22</v>
      </c>
      <c r="C1410" t="s">
        <v>23</v>
      </c>
      <c r="D1410">
        <v>12</v>
      </c>
      <c r="E1410">
        <v>2</v>
      </c>
      <c r="F1410" t="s">
        <v>27</v>
      </c>
      <c r="G1410">
        <v>4</v>
      </c>
      <c r="H1410">
        <v>4</v>
      </c>
      <c r="I1410" t="s">
        <v>19</v>
      </c>
      <c r="J1410">
        <v>2647</v>
      </c>
      <c r="K1410">
        <v>1</v>
      </c>
      <c r="L1410">
        <v>4</v>
      </c>
      <c r="M1410">
        <v>5</v>
      </c>
      <c r="N1410" t="s">
        <v>25</v>
      </c>
      <c r="O1410" t="s">
        <v>28</v>
      </c>
      <c r="P1410">
        <v>87169323</v>
      </c>
    </row>
    <row r="1411" spans="1:16" ht="14.25" x14ac:dyDescent="0.2">
      <c r="A1411">
        <v>40</v>
      </c>
      <c r="B1411" t="s">
        <v>22</v>
      </c>
      <c r="C1411" t="s">
        <v>23</v>
      </c>
      <c r="D1411">
        <v>11</v>
      </c>
      <c r="E1411">
        <v>3</v>
      </c>
      <c r="F1411" t="s">
        <v>37</v>
      </c>
      <c r="G1411">
        <v>4</v>
      </c>
      <c r="H1411">
        <v>3</v>
      </c>
      <c r="I1411" t="s">
        <v>24</v>
      </c>
      <c r="J1411">
        <v>6323</v>
      </c>
      <c r="K1411">
        <v>1</v>
      </c>
      <c r="L1411">
        <v>4</v>
      </c>
      <c r="M1411">
        <v>10</v>
      </c>
      <c r="N1411" t="s">
        <v>20</v>
      </c>
      <c r="O1411" t="s">
        <v>28</v>
      </c>
      <c r="P1411">
        <v>49777791</v>
      </c>
    </row>
    <row r="1412" spans="1:16" ht="14.25" x14ac:dyDescent="0.2">
      <c r="A1412">
        <v>40</v>
      </c>
      <c r="B1412" t="s">
        <v>22</v>
      </c>
      <c r="C1412" t="s">
        <v>17</v>
      </c>
      <c r="D1412">
        <v>2</v>
      </c>
      <c r="E1412">
        <v>2</v>
      </c>
      <c r="F1412" t="s">
        <v>36</v>
      </c>
      <c r="G1412">
        <v>2</v>
      </c>
      <c r="H1412">
        <v>2</v>
      </c>
      <c r="I1412" t="s">
        <v>24</v>
      </c>
      <c r="J1412">
        <v>5677</v>
      </c>
      <c r="K1412">
        <v>3</v>
      </c>
      <c r="L1412">
        <v>3</v>
      </c>
      <c r="M1412">
        <v>11</v>
      </c>
      <c r="N1412" t="s">
        <v>20</v>
      </c>
      <c r="O1412" t="s">
        <v>21</v>
      </c>
      <c r="P1412">
        <v>30981540</v>
      </c>
    </row>
    <row r="1413" spans="1:16" ht="14.25" x14ac:dyDescent="0.2">
      <c r="A1413">
        <v>25</v>
      </c>
      <c r="B1413" t="s">
        <v>22</v>
      </c>
      <c r="C1413" t="s">
        <v>38</v>
      </c>
      <c r="D1413">
        <v>2</v>
      </c>
      <c r="E1413">
        <v>3</v>
      </c>
      <c r="F1413" t="s">
        <v>38</v>
      </c>
      <c r="G1413">
        <v>3</v>
      </c>
      <c r="H1413">
        <v>2</v>
      </c>
      <c r="I1413" t="s">
        <v>24</v>
      </c>
      <c r="J1413">
        <v>2187</v>
      </c>
      <c r="K1413">
        <v>4</v>
      </c>
      <c r="L1413">
        <v>3</v>
      </c>
      <c r="M1413">
        <v>2</v>
      </c>
      <c r="N1413" t="s">
        <v>20</v>
      </c>
      <c r="O1413" t="s">
        <v>38</v>
      </c>
      <c r="P1413">
        <v>79853921</v>
      </c>
    </row>
    <row r="1414" spans="1:16" ht="14.25" x14ac:dyDescent="0.2">
      <c r="A1414">
        <v>30</v>
      </c>
      <c r="B1414" t="s">
        <v>22</v>
      </c>
      <c r="C1414" t="s">
        <v>23</v>
      </c>
      <c r="D1414">
        <v>1</v>
      </c>
      <c r="E1414">
        <v>2</v>
      </c>
      <c r="F1414" t="s">
        <v>29</v>
      </c>
      <c r="G1414">
        <v>4</v>
      </c>
      <c r="H1414">
        <v>2</v>
      </c>
      <c r="I1414" t="s">
        <v>24</v>
      </c>
      <c r="J1414">
        <v>3748</v>
      </c>
      <c r="K1414">
        <v>1</v>
      </c>
      <c r="L1414">
        <v>2</v>
      </c>
      <c r="M1414">
        <v>12</v>
      </c>
      <c r="N1414" t="s">
        <v>25</v>
      </c>
      <c r="O1414" t="s">
        <v>28</v>
      </c>
      <c r="P1414">
        <v>46641067</v>
      </c>
    </row>
    <row r="1415" spans="1:16" ht="14.25" x14ac:dyDescent="0.2">
      <c r="A1415">
        <v>25</v>
      </c>
      <c r="B1415" t="s">
        <v>22</v>
      </c>
      <c r="C1415" t="s">
        <v>23</v>
      </c>
      <c r="D1415">
        <v>2</v>
      </c>
      <c r="E1415">
        <v>1</v>
      </c>
      <c r="F1415" t="s">
        <v>27</v>
      </c>
      <c r="G1415">
        <v>4</v>
      </c>
      <c r="H1415">
        <v>3</v>
      </c>
      <c r="I1415" t="s">
        <v>30</v>
      </c>
      <c r="J1415">
        <v>3977</v>
      </c>
      <c r="K1415">
        <v>6</v>
      </c>
      <c r="L1415">
        <v>2</v>
      </c>
      <c r="M1415">
        <v>2</v>
      </c>
      <c r="N1415" t="s">
        <v>25</v>
      </c>
      <c r="O1415" t="s">
        <v>28</v>
      </c>
      <c r="P1415">
        <v>52172646</v>
      </c>
    </row>
    <row r="1416" spans="1:16" ht="14.25" x14ac:dyDescent="0.2">
      <c r="A1416">
        <v>47</v>
      </c>
      <c r="B1416" t="s">
        <v>22</v>
      </c>
      <c r="C1416" t="s">
        <v>23</v>
      </c>
      <c r="D1416">
        <v>25</v>
      </c>
      <c r="E1416">
        <v>3</v>
      </c>
      <c r="F1416" t="s">
        <v>29</v>
      </c>
      <c r="G1416">
        <v>1</v>
      </c>
      <c r="H1416">
        <v>3</v>
      </c>
      <c r="I1416" t="s">
        <v>19</v>
      </c>
      <c r="J1416">
        <v>8633</v>
      </c>
      <c r="K1416">
        <v>2</v>
      </c>
      <c r="L1416">
        <v>3</v>
      </c>
      <c r="M1416">
        <v>17</v>
      </c>
      <c r="N1416" t="s">
        <v>25</v>
      </c>
      <c r="O1416" t="s">
        <v>32</v>
      </c>
      <c r="P1416">
        <v>43081151</v>
      </c>
    </row>
    <row r="1417" spans="1:16" ht="14.25" x14ac:dyDescent="0.2">
      <c r="A1417">
        <v>33</v>
      </c>
      <c r="B1417" t="s">
        <v>22</v>
      </c>
      <c r="C1417" t="s">
        <v>23</v>
      </c>
      <c r="D1417">
        <v>1</v>
      </c>
      <c r="E1417">
        <v>2</v>
      </c>
      <c r="F1417" t="s">
        <v>29</v>
      </c>
      <c r="G1417">
        <v>2</v>
      </c>
      <c r="H1417">
        <v>3</v>
      </c>
      <c r="I1417" t="s">
        <v>30</v>
      </c>
      <c r="J1417">
        <v>2008</v>
      </c>
      <c r="K1417">
        <v>1</v>
      </c>
      <c r="L1417">
        <v>2</v>
      </c>
      <c r="M1417">
        <v>1</v>
      </c>
      <c r="N1417" t="s">
        <v>25</v>
      </c>
      <c r="O1417" t="s">
        <v>28</v>
      </c>
      <c r="P1417">
        <v>17809385</v>
      </c>
    </row>
    <row r="1418" spans="1:16" ht="14.25" x14ac:dyDescent="0.2">
      <c r="A1418">
        <v>38</v>
      </c>
      <c r="B1418" t="s">
        <v>22</v>
      </c>
      <c r="C1418" t="s">
        <v>17</v>
      </c>
      <c r="D1418">
        <v>1</v>
      </c>
      <c r="E1418">
        <v>4</v>
      </c>
      <c r="F1418" t="s">
        <v>18</v>
      </c>
      <c r="G1418">
        <v>4</v>
      </c>
      <c r="H1418">
        <v>2</v>
      </c>
      <c r="I1418" t="s">
        <v>24</v>
      </c>
      <c r="J1418">
        <v>4440</v>
      </c>
      <c r="K1418">
        <v>0</v>
      </c>
      <c r="L1418">
        <v>3</v>
      </c>
      <c r="M1418">
        <v>15</v>
      </c>
      <c r="N1418" t="s">
        <v>25</v>
      </c>
      <c r="O1418" t="s">
        <v>21</v>
      </c>
      <c r="P1418">
        <v>85257032</v>
      </c>
    </row>
    <row r="1419" spans="1:16" ht="14.25" x14ac:dyDescent="0.2">
      <c r="A1419">
        <v>31</v>
      </c>
      <c r="B1419" t="s">
        <v>22</v>
      </c>
      <c r="C1419" t="s">
        <v>17</v>
      </c>
      <c r="D1419">
        <v>2</v>
      </c>
      <c r="E1419">
        <v>2</v>
      </c>
      <c r="F1419" t="s">
        <v>18</v>
      </c>
      <c r="G1419">
        <v>1</v>
      </c>
      <c r="H1419">
        <v>3</v>
      </c>
      <c r="I1419" t="s">
        <v>24</v>
      </c>
      <c r="J1419">
        <v>3067</v>
      </c>
      <c r="K1419">
        <v>0</v>
      </c>
      <c r="L1419">
        <v>3</v>
      </c>
      <c r="M1419">
        <v>2</v>
      </c>
      <c r="N1419" t="s">
        <v>25</v>
      </c>
      <c r="O1419" t="s">
        <v>34</v>
      </c>
      <c r="P1419">
        <v>67630734</v>
      </c>
    </row>
    <row r="1420" spans="1:16" ht="14.25" x14ac:dyDescent="0.2">
      <c r="A1420">
        <v>38</v>
      </c>
      <c r="B1420" t="s">
        <v>22</v>
      </c>
      <c r="C1420" t="s">
        <v>23</v>
      </c>
      <c r="D1420">
        <v>6</v>
      </c>
      <c r="E1420">
        <v>4</v>
      </c>
      <c r="F1420" t="s">
        <v>18</v>
      </c>
      <c r="G1420">
        <v>1</v>
      </c>
      <c r="H1420">
        <v>3</v>
      </c>
      <c r="I1420" t="s">
        <v>24</v>
      </c>
      <c r="J1420">
        <v>5321</v>
      </c>
      <c r="K1420">
        <v>2</v>
      </c>
      <c r="L1420">
        <v>3</v>
      </c>
      <c r="M1420">
        <v>8</v>
      </c>
      <c r="N1420" t="s">
        <v>25</v>
      </c>
      <c r="O1420" t="s">
        <v>31</v>
      </c>
      <c r="P1420">
        <v>54067781</v>
      </c>
    </row>
    <row r="1421" spans="1:16" ht="14.25" x14ac:dyDescent="0.2">
      <c r="A1421">
        <v>42</v>
      </c>
      <c r="B1421" t="s">
        <v>22</v>
      </c>
      <c r="C1421" t="s">
        <v>23</v>
      </c>
      <c r="D1421">
        <v>18</v>
      </c>
      <c r="E1421">
        <v>4</v>
      </c>
      <c r="F1421" t="s">
        <v>18</v>
      </c>
      <c r="G1421">
        <v>4</v>
      </c>
      <c r="H1421">
        <v>1</v>
      </c>
      <c r="I1421" t="s">
        <v>30</v>
      </c>
      <c r="J1421">
        <v>5410</v>
      </c>
      <c r="K1421">
        <v>6</v>
      </c>
      <c r="L1421">
        <v>2</v>
      </c>
      <c r="M1421">
        <v>4</v>
      </c>
      <c r="N1421" t="s">
        <v>25</v>
      </c>
      <c r="O1421" t="s">
        <v>26</v>
      </c>
      <c r="P1421">
        <v>72785308</v>
      </c>
    </row>
    <row r="1422" spans="1:16" ht="14.25" x14ac:dyDescent="0.2">
      <c r="A1422">
        <v>41</v>
      </c>
      <c r="B1422" t="s">
        <v>22</v>
      </c>
      <c r="C1422" t="s">
        <v>23</v>
      </c>
      <c r="D1422">
        <v>1</v>
      </c>
      <c r="E1422">
        <v>3</v>
      </c>
      <c r="F1422" t="s">
        <v>18</v>
      </c>
      <c r="G1422">
        <v>4</v>
      </c>
      <c r="H1422">
        <v>4</v>
      </c>
      <c r="I1422" t="s">
        <v>24</v>
      </c>
      <c r="J1422">
        <v>2782</v>
      </c>
      <c r="K1422">
        <v>3</v>
      </c>
      <c r="L1422">
        <v>3</v>
      </c>
      <c r="M1422">
        <v>5</v>
      </c>
      <c r="N1422" t="s">
        <v>25</v>
      </c>
      <c r="O1422" t="s">
        <v>26</v>
      </c>
      <c r="P1422">
        <v>65571186</v>
      </c>
    </row>
    <row r="1423" spans="1:16" ht="14.25" x14ac:dyDescent="0.2">
      <c r="A1423">
        <v>47</v>
      </c>
      <c r="B1423" t="s">
        <v>22</v>
      </c>
      <c r="C1423" t="s">
        <v>23</v>
      </c>
      <c r="D1423">
        <v>1</v>
      </c>
      <c r="E1423">
        <v>1</v>
      </c>
      <c r="F1423" t="s">
        <v>29</v>
      </c>
      <c r="G1423">
        <v>3</v>
      </c>
      <c r="H1423">
        <v>2</v>
      </c>
      <c r="I1423" t="s">
        <v>24</v>
      </c>
      <c r="J1423">
        <v>11957</v>
      </c>
      <c r="K1423">
        <v>0</v>
      </c>
      <c r="L1423">
        <v>1</v>
      </c>
      <c r="M1423">
        <v>13</v>
      </c>
      <c r="N1423" t="s">
        <v>20</v>
      </c>
      <c r="O1423" t="s">
        <v>35</v>
      </c>
      <c r="P1423">
        <v>52643316</v>
      </c>
    </row>
    <row r="1424" spans="1:16" ht="14.25" x14ac:dyDescent="0.2">
      <c r="A1424">
        <v>35</v>
      </c>
      <c r="B1424" t="s">
        <v>22</v>
      </c>
      <c r="C1424" t="s">
        <v>23</v>
      </c>
      <c r="D1424">
        <v>11</v>
      </c>
      <c r="E1424">
        <v>4</v>
      </c>
      <c r="F1424" t="s">
        <v>29</v>
      </c>
      <c r="G1424">
        <v>4</v>
      </c>
      <c r="H1424">
        <v>3</v>
      </c>
      <c r="I1424" t="s">
        <v>24</v>
      </c>
      <c r="J1424">
        <v>2660</v>
      </c>
      <c r="K1424">
        <v>7</v>
      </c>
      <c r="L1424">
        <v>3</v>
      </c>
      <c r="M1424">
        <v>2</v>
      </c>
      <c r="N1424" t="s">
        <v>25</v>
      </c>
      <c r="O1424" t="s">
        <v>28</v>
      </c>
      <c r="P1424">
        <v>80450632</v>
      </c>
    </row>
    <row r="1425" spans="1:16" ht="14.25" x14ac:dyDescent="0.2">
      <c r="A1425">
        <v>22</v>
      </c>
      <c r="B1425" t="s">
        <v>22</v>
      </c>
      <c r="C1425" t="s">
        <v>23</v>
      </c>
      <c r="D1425">
        <v>1</v>
      </c>
      <c r="E1425">
        <v>2</v>
      </c>
      <c r="F1425" t="s">
        <v>18</v>
      </c>
      <c r="G1425">
        <v>4</v>
      </c>
      <c r="H1425">
        <v>3</v>
      </c>
      <c r="I1425" t="s">
        <v>19</v>
      </c>
      <c r="J1425">
        <v>3375</v>
      </c>
      <c r="K1425">
        <v>0</v>
      </c>
      <c r="L1425">
        <v>4</v>
      </c>
      <c r="M1425">
        <v>3</v>
      </c>
      <c r="N1425" t="s">
        <v>25</v>
      </c>
      <c r="O1425" t="s">
        <v>26</v>
      </c>
      <c r="P1425">
        <v>66451302</v>
      </c>
    </row>
    <row r="1426" spans="1:16" ht="14.25" x14ac:dyDescent="0.2">
      <c r="A1426">
        <v>35</v>
      </c>
      <c r="B1426" t="s">
        <v>22</v>
      </c>
      <c r="C1426" t="s">
        <v>23</v>
      </c>
      <c r="D1426">
        <v>9</v>
      </c>
      <c r="E1426">
        <v>4</v>
      </c>
      <c r="F1426" t="s">
        <v>29</v>
      </c>
      <c r="G1426">
        <v>2</v>
      </c>
      <c r="H1426">
        <v>3</v>
      </c>
      <c r="I1426" t="s">
        <v>19</v>
      </c>
      <c r="J1426">
        <v>5098</v>
      </c>
      <c r="K1426">
        <v>1</v>
      </c>
      <c r="L1426">
        <v>3</v>
      </c>
      <c r="M1426">
        <v>10</v>
      </c>
      <c r="N1426" t="s">
        <v>25</v>
      </c>
      <c r="O1426" t="s">
        <v>26</v>
      </c>
      <c r="P1426">
        <v>72806237</v>
      </c>
    </row>
    <row r="1427" spans="1:16" ht="14.25" x14ac:dyDescent="0.2">
      <c r="A1427">
        <v>33</v>
      </c>
      <c r="B1427" t="s">
        <v>22</v>
      </c>
      <c r="C1427" t="s">
        <v>23</v>
      </c>
      <c r="D1427">
        <v>15</v>
      </c>
      <c r="E1427">
        <v>2</v>
      </c>
      <c r="F1427" t="s">
        <v>29</v>
      </c>
      <c r="G1427">
        <v>2</v>
      </c>
      <c r="H1427">
        <v>4</v>
      </c>
      <c r="I1427" t="s">
        <v>24</v>
      </c>
      <c r="J1427">
        <v>4878</v>
      </c>
      <c r="K1427">
        <v>0</v>
      </c>
      <c r="L1427">
        <v>3</v>
      </c>
      <c r="M1427">
        <v>9</v>
      </c>
      <c r="N1427" t="s">
        <v>20</v>
      </c>
      <c r="O1427" t="s">
        <v>32</v>
      </c>
      <c r="P1427">
        <v>74877224</v>
      </c>
    </row>
    <row r="1428" spans="1:16" ht="14.25" x14ac:dyDescent="0.2">
      <c r="A1428">
        <v>32</v>
      </c>
      <c r="B1428" t="s">
        <v>22</v>
      </c>
      <c r="C1428" t="s">
        <v>23</v>
      </c>
      <c r="D1428">
        <v>29</v>
      </c>
      <c r="E1428">
        <v>4</v>
      </c>
      <c r="F1428" t="s">
        <v>18</v>
      </c>
      <c r="G1428">
        <v>3</v>
      </c>
      <c r="H1428">
        <v>2</v>
      </c>
      <c r="I1428" t="s">
        <v>19</v>
      </c>
      <c r="J1428">
        <v>2837</v>
      </c>
      <c r="K1428">
        <v>1</v>
      </c>
      <c r="L1428">
        <v>3</v>
      </c>
      <c r="M1428">
        <v>6</v>
      </c>
      <c r="N1428" t="s">
        <v>20</v>
      </c>
      <c r="O1428" t="s">
        <v>28</v>
      </c>
      <c r="P1428">
        <v>44201791</v>
      </c>
    </row>
    <row r="1429" spans="1:16" ht="14.25" x14ac:dyDescent="0.2">
      <c r="A1429">
        <v>40</v>
      </c>
      <c r="B1429" t="s">
        <v>22</v>
      </c>
      <c r="C1429" t="s">
        <v>23</v>
      </c>
      <c r="D1429">
        <v>1</v>
      </c>
      <c r="E1429">
        <v>4</v>
      </c>
      <c r="F1429" t="s">
        <v>18</v>
      </c>
      <c r="G1429">
        <v>1</v>
      </c>
      <c r="H1429">
        <v>4</v>
      </c>
      <c r="I1429" t="s">
        <v>24</v>
      </c>
      <c r="J1429">
        <v>2406</v>
      </c>
      <c r="K1429">
        <v>8</v>
      </c>
      <c r="L1429">
        <v>2</v>
      </c>
      <c r="M1429">
        <v>1</v>
      </c>
      <c r="N1429" t="s">
        <v>25</v>
      </c>
      <c r="O1429" t="s">
        <v>28</v>
      </c>
      <c r="P1429">
        <v>46103377</v>
      </c>
    </row>
    <row r="1430" spans="1:16" ht="14.25" x14ac:dyDescent="0.2">
      <c r="A1430">
        <v>32</v>
      </c>
      <c r="B1430" t="s">
        <v>22</v>
      </c>
      <c r="C1430" t="s">
        <v>17</v>
      </c>
      <c r="D1430">
        <v>1</v>
      </c>
      <c r="E1430">
        <v>4</v>
      </c>
      <c r="F1430" t="s">
        <v>29</v>
      </c>
      <c r="G1430">
        <v>2</v>
      </c>
      <c r="H1430">
        <v>2</v>
      </c>
      <c r="I1430" t="s">
        <v>24</v>
      </c>
      <c r="J1430">
        <v>2269</v>
      </c>
      <c r="K1430">
        <v>0</v>
      </c>
      <c r="L1430">
        <v>3</v>
      </c>
      <c r="M1430">
        <v>2</v>
      </c>
      <c r="N1430" t="s">
        <v>25</v>
      </c>
      <c r="O1430" t="s">
        <v>34</v>
      </c>
      <c r="P1430">
        <v>62986319</v>
      </c>
    </row>
    <row r="1431" spans="1:16" ht="14.25" x14ac:dyDescent="0.2">
      <c r="A1431">
        <v>39</v>
      </c>
      <c r="B1431" t="s">
        <v>22</v>
      </c>
      <c r="C1431" t="s">
        <v>23</v>
      </c>
      <c r="D1431">
        <v>24</v>
      </c>
      <c r="E1431">
        <v>1</v>
      </c>
      <c r="F1431" t="s">
        <v>18</v>
      </c>
      <c r="G1431">
        <v>1</v>
      </c>
      <c r="H1431">
        <v>4</v>
      </c>
      <c r="I1431" t="s">
        <v>19</v>
      </c>
      <c r="J1431">
        <v>4108</v>
      </c>
      <c r="K1431">
        <v>7</v>
      </c>
      <c r="L1431">
        <v>3</v>
      </c>
      <c r="M1431">
        <v>7</v>
      </c>
      <c r="N1431" t="s">
        <v>25</v>
      </c>
      <c r="O1431" t="s">
        <v>26</v>
      </c>
      <c r="P1431">
        <v>68845240</v>
      </c>
    </row>
    <row r="1432" spans="1:16" ht="14.25" x14ac:dyDescent="0.2">
      <c r="A1432">
        <v>38</v>
      </c>
      <c r="B1432" t="s">
        <v>22</v>
      </c>
      <c r="C1432" t="s">
        <v>23</v>
      </c>
      <c r="D1432">
        <v>10</v>
      </c>
      <c r="E1432">
        <v>3</v>
      </c>
      <c r="F1432" t="s">
        <v>29</v>
      </c>
      <c r="G1432">
        <v>2</v>
      </c>
      <c r="H1432">
        <v>3</v>
      </c>
      <c r="I1432" t="s">
        <v>24</v>
      </c>
      <c r="J1432">
        <v>13206</v>
      </c>
      <c r="K1432">
        <v>3</v>
      </c>
      <c r="L1432">
        <v>3</v>
      </c>
      <c r="M1432">
        <v>18</v>
      </c>
      <c r="N1432" t="s">
        <v>20</v>
      </c>
      <c r="O1432" t="s">
        <v>35</v>
      </c>
      <c r="P1432">
        <v>75712380</v>
      </c>
    </row>
    <row r="1433" spans="1:16" ht="14.25" x14ac:dyDescent="0.2">
      <c r="A1433">
        <v>32</v>
      </c>
      <c r="B1433" t="s">
        <v>22</v>
      </c>
      <c r="C1433" t="s">
        <v>17</v>
      </c>
      <c r="D1433">
        <v>1</v>
      </c>
      <c r="E1433">
        <v>4</v>
      </c>
      <c r="F1433" t="s">
        <v>36</v>
      </c>
      <c r="G1433">
        <v>3</v>
      </c>
      <c r="H1433">
        <v>4</v>
      </c>
      <c r="I1433" t="s">
        <v>24</v>
      </c>
      <c r="J1433">
        <v>10422</v>
      </c>
      <c r="K1433">
        <v>1</v>
      </c>
      <c r="L1433">
        <v>3</v>
      </c>
      <c r="M1433">
        <v>14</v>
      </c>
      <c r="N1433" t="s">
        <v>20</v>
      </c>
      <c r="O1433" t="s">
        <v>21</v>
      </c>
      <c r="P1433">
        <v>82272685</v>
      </c>
    </row>
    <row r="1434" spans="1:16" ht="14.25" x14ac:dyDescent="0.2">
      <c r="A1434">
        <v>37</v>
      </c>
      <c r="B1434" t="s">
        <v>22</v>
      </c>
      <c r="C1434" t="s">
        <v>23</v>
      </c>
      <c r="D1434">
        <v>10</v>
      </c>
      <c r="E1434">
        <v>3</v>
      </c>
      <c r="F1434" t="s">
        <v>18</v>
      </c>
      <c r="G1434">
        <v>3</v>
      </c>
      <c r="H1434">
        <v>4</v>
      </c>
      <c r="I1434" t="s">
        <v>24</v>
      </c>
      <c r="J1434">
        <v>13744</v>
      </c>
      <c r="K1434">
        <v>1</v>
      </c>
      <c r="L1434">
        <v>3</v>
      </c>
      <c r="M1434">
        <v>16</v>
      </c>
      <c r="N1434" t="s">
        <v>20</v>
      </c>
      <c r="O1434" t="s">
        <v>35</v>
      </c>
      <c r="P1434">
        <v>46641607</v>
      </c>
    </row>
    <row r="1435" spans="1:16" ht="14.25" x14ac:dyDescent="0.2">
      <c r="A1435">
        <v>25</v>
      </c>
      <c r="B1435" t="s">
        <v>22</v>
      </c>
      <c r="C1435" t="s">
        <v>17</v>
      </c>
      <c r="D1435">
        <v>8</v>
      </c>
      <c r="E1435">
        <v>2</v>
      </c>
      <c r="F1435" t="s">
        <v>27</v>
      </c>
      <c r="G1435">
        <v>1</v>
      </c>
      <c r="H1435">
        <v>3</v>
      </c>
      <c r="I1435" t="s">
        <v>30</v>
      </c>
      <c r="J1435">
        <v>4907</v>
      </c>
      <c r="K1435">
        <v>0</v>
      </c>
      <c r="L1435">
        <v>2</v>
      </c>
      <c r="M1435">
        <v>5</v>
      </c>
      <c r="N1435" t="s">
        <v>20</v>
      </c>
      <c r="O1435" t="s">
        <v>21</v>
      </c>
      <c r="P1435">
        <v>32880032</v>
      </c>
    </row>
    <row r="1436" spans="1:16" ht="14.25" x14ac:dyDescent="0.2">
      <c r="A1436">
        <v>52</v>
      </c>
      <c r="B1436" t="s">
        <v>22</v>
      </c>
      <c r="C1436" t="s">
        <v>17</v>
      </c>
      <c r="D1436">
        <v>29</v>
      </c>
      <c r="E1436">
        <v>4</v>
      </c>
      <c r="F1436" t="s">
        <v>18</v>
      </c>
      <c r="G1436">
        <v>1</v>
      </c>
      <c r="H1436">
        <v>4</v>
      </c>
      <c r="I1436" t="s">
        <v>30</v>
      </c>
      <c r="J1436">
        <v>3482</v>
      </c>
      <c r="K1436">
        <v>2</v>
      </c>
      <c r="L1436">
        <v>2</v>
      </c>
      <c r="M1436">
        <v>9</v>
      </c>
      <c r="N1436" t="s">
        <v>25</v>
      </c>
      <c r="O1436" t="s">
        <v>34</v>
      </c>
      <c r="P1436">
        <v>41664992</v>
      </c>
    </row>
    <row r="1437" spans="1:16" ht="14.25" x14ac:dyDescent="0.2">
      <c r="A1437">
        <v>44</v>
      </c>
      <c r="B1437" t="s">
        <v>22</v>
      </c>
      <c r="C1437" t="s">
        <v>23</v>
      </c>
      <c r="D1437">
        <v>1</v>
      </c>
      <c r="E1437">
        <v>3</v>
      </c>
      <c r="F1437" t="s">
        <v>29</v>
      </c>
      <c r="G1437">
        <v>2</v>
      </c>
      <c r="H1437">
        <v>4</v>
      </c>
      <c r="I1437" t="s">
        <v>19</v>
      </c>
      <c r="J1437">
        <v>2436</v>
      </c>
      <c r="K1437">
        <v>6</v>
      </c>
      <c r="L1437">
        <v>3</v>
      </c>
      <c r="M1437">
        <v>4</v>
      </c>
      <c r="N1437" t="s">
        <v>25</v>
      </c>
      <c r="O1437" t="s">
        <v>26</v>
      </c>
      <c r="P1437">
        <v>59266555</v>
      </c>
    </row>
    <row r="1438" spans="1:16" ht="14.25" x14ac:dyDescent="0.2">
      <c r="A1438">
        <v>21</v>
      </c>
      <c r="B1438" t="s">
        <v>22</v>
      </c>
      <c r="C1438" t="s">
        <v>17</v>
      </c>
      <c r="D1438">
        <v>5</v>
      </c>
      <c r="E1438">
        <v>1</v>
      </c>
      <c r="F1438" t="s">
        <v>29</v>
      </c>
      <c r="G1438">
        <v>3</v>
      </c>
      <c r="H1438">
        <v>1</v>
      </c>
      <c r="I1438" t="s">
        <v>19</v>
      </c>
      <c r="J1438">
        <v>2380</v>
      </c>
      <c r="K1438">
        <v>1</v>
      </c>
      <c r="L1438">
        <v>3</v>
      </c>
      <c r="M1438">
        <v>2</v>
      </c>
      <c r="N1438" t="s">
        <v>25</v>
      </c>
      <c r="O1438" t="s">
        <v>34</v>
      </c>
      <c r="P1438">
        <v>41026239</v>
      </c>
    </row>
    <row r="1439" spans="1:16" ht="14.25" x14ac:dyDescent="0.2">
      <c r="A1439">
        <v>39</v>
      </c>
      <c r="B1439" t="s">
        <v>22</v>
      </c>
      <c r="C1439" t="s">
        <v>23</v>
      </c>
      <c r="D1439">
        <v>9</v>
      </c>
      <c r="E1439">
        <v>3</v>
      </c>
      <c r="F1439" t="s">
        <v>18</v>
      </c>
      <c r="G1439">
        <v>4</v>
      </c>
      <c r="H1439">
        <v>4</v>
      </c>
      <c r="I1439" t="s">
        <v>19</v>
      </c>
      <c r="J1439">
        <v>19431</v>
      </c>
      <c r="K1439">
        <v>2</v>
      </c>
      <c r="L1439">
        <v>2</v>
      </c>
      <c r="M1439">
        <v>6</v>
      </c>
      <c r="N1439" t="s">
        <v>25</v>
      </c>
      <c r="O1439" t="s">
        <v>33</v>
      </c>
      <c r="P1439">
        <v>83233459</v>
      </c>
    </row>
    <row r="1440" spans="1:16" ht="14.25" x14ac:dyDescent="0.2">
      <c r="A1440">
        <v>23</v>
      </c>
      <c r="B1440" t="s">
        <v>16</v>
      </c>
      <c r="C1440" t="s">
        <v>17</v>
      </c>
      <c r="D1440">
        <v>9</v>
      </c>
      <c r="E1440">
        <v>3</v>
      </c>
      <c r="F1440" t="s">
        <v>36</v>
      </c>
      <c r="G1440">
        <v>4</v>
      </c>
      <c r="H1440">
        <v>1</v>
      </c>
      <c r="I1440" t="s">
        <v>24</v>
      </c>
      <c r="J1440">
        <v>1790</v>
      </c>
      <c r="K1440">
        <v>1</v>
      </c>
      <c r="L1440">
        <v>2</v>
      </c>
      <c r="M1440">
        <v>1</v>
      </c>
      <c r="N1440" t="s">
        <v>25</v>
      </c>
      <c r="O1440" t="s">
        <v>34</v>
      </c>
      <c r="P1440">
        <v>76460510</v>
      </c>
    </row>
    <row r="1441" spans="1:16" ht="14.25" x14ac:dyDescent="0.2">
      <c r="A1441">
        <v>36</v>
      </c>
      <c r="B1441" t="s">
        <v>22</v>
      </c>
      <c r="C1441" t="s">
        <v>17</v>
      </c>
      <c r="D1441">
        <v>3</v>
      </c>
      <c r="E1441">
        <v>3</v>
      </c>
      <c r="F1441" t="s">
        <v>29</v>
      </c>
      <c r="G1441">
        <v>1</v>
      </c>
      <c r="H1441">
        <v>4</v>
      </c>
      <c r="I1441" t="s">
        <v>24</v>
      </c>
      <c r="J1441">
        <v>7644</v>
      </c>
      <c r="K1441">
        <v>0</v>
      </c>
      <c r="L1441">
        <v>3</v>
      </c>
      <c r="M1441">
        <v>9</v>
      </c>
      <c r="N1441" t="s">
        <v>20</v>
      </c>
      <c r="O1441" t="s">
        <v>21</v>
      </c>
      <c r="P1441">
        <v>77621102</v>
      </c>
    </row>
    <row r="1442" spans="1:16" ht="14.25" x14ac:dyDescent="0.2">
      <c r="A1442">
        <v>36</v>
      </c>
      <c r="B1442" t="s">
        <v>22</v>
      </c>
      <c r="C1442" t="s">
        <v>23</v>
      </c>
      <c r="D1442">
        <v>4</v>
      </c>
      <c r="E1442">
        <v>2</v>
      </c>
      <c r="F1442" t="s">
        <v>18</v>
      </c>
      <c r="G1442">
        <v>4</v>
      </c>
      <c r="H1442">
        <v>2</v>
      </c>
      <c r="I1442" t="s">
        <v>30</v>
      </c>
      <c r="J1442">
        <v>5131</v>
      </c>
      <c r="K1442">
        <v>7</v>
      </c>
      <c r="L1442">
        <v>3</v>
      </c>
      <c r="M1442">
        <v>4</v>
      </c>
      <c r="N1442" t="s">
        <v>20</v>
      </c>
      <c r="O1442" t="s">
        <v>31</v>
      </c>
      <c r="P1442">
        <v>52415918</v>
      </c>
    </row>
    <row r="1443" spans="1:16" ht="14.25" x14ac:dyDescent="0.2">
      <c r="A1443">
        <v>56</v>
      </c>
      <c r="B1443" t="s">
        <v>22</v>
      </c>
      <c r="C1443" t="s">
        <v>23</v>
      </c>
      <c r="D1443">
        <v>1</v>
      </c>
      <c r="E1443">
        <v>4</v>
      </c>
      <c r="F1443" t="s">
        <v>18</v>
      </c>
      <c r="G1443">
        <v>3</v>
      </c>
      <c r="H1443">
        <v>3</v>
      </c>
      <c r="I1443" t="s">
        <v>30</v>
      </c>
      <c r="J1443">
        <v>6306</v>
      </c>
      <c r="K1443">
        <v>1</v>
      </c>
      <c r="L1443">
        <v>2</v>
      </c>
      <c r="M1443">
        <v>13</v>
      </c>
      <c r="N1443" t="s">
        <v>25</v>
      </c>
      <c r="O1443" t="s">
        <v>32</v>
      </c>
      <c r="P1443">
        <v>19648099</v>
      </c>
    </row>
    <row r="1444" spans="1:16" ht="14.25" x14ac:dyDescent="0.2">
      <c r="A1444">
        <v>29</v>
      </c>
      <c r="B1444" t="s">
        <v>16</v>
      </c>
      <c r="C1444" t="s">
        <v>23</v>
      </c>
      <c r="D1444">
        <v>1</v>
      </c>
      <c r="E1444">
        <v>4</v>
      </c>
      <c r="F1444" t="s">
        <v>29</v>
      </c>
      <c r="G1444">
        <v>1</v>
      </c>
      <c r="H1444">
        <v>4</v>
      </c>
      <c r="I1444" t="s">
        <v>24</v>
      </c>
      <c r="J1444">
        <v>4787</v>
      </c>
      <c r="K1444">
        <v>9</v>
      </c>
      <c r="L1444">
        <v>4</v>
      </c>
      <c r="M1444">
        <v>2</v>
      </c>
      <c r="N1444" t="s">
        <v>25</v>
      </c>
      <c r="O1444" t="s">
        <v>26</v>
      </c>
      <c r="P1444">
        <v>51004972</v>
      </c>
    </row>
    <row r="1445" spans="1:16" ht="14.25" x14ac:dyDescent="0.2">
      <c r="A1445">
        <v>42</v>
      </c>
      <c r="B1445" t="s">
        <v>22</v>
      </c>
      <c r="C1445" t="s">
        <v>23</v>
      </c>
      <c r="D1445">
        <v>2</v>
      </c>
      <c r="E1445">
        <v>3</v>
      </c>
      <c r="F1445" t="s">
        <v>18</v>
      </c>
      <c r="G1445">
        <v>1</v>
      </c>
      <c r="H1445">
        <v>3</v>
      </c>
      <c r="I1445" t="s">
        <v>24</v>
      </c>
      <c r="J1445">
        <v>18880</v>
      </c>
      <c r="K1445">
        <v>5</v>
      </c>
      <c r="L1445">
        <v>2</v>
      </c>
      <c r="M1445">
        <v>22</v>
      </c>
      <c r="N1445" t="s">
        <v>25</v>
      </c>
      <c r="O1445" t="s">
        <v>33</v>
      </c>
      <c r="P1445">
        <v>59951280</v>
      </c>
    </row>
    <row r="1446" spans="1:16" ht="14.25" x14ac:dyDescent="0.2">
      <c r="A1446">
        <v>56</v>
      </c>
      <c r="B1446" t="s">
        <v>16</v>
      </c>
      <c r="C1446" t="s">
        <v>23</v>
      </c>
      <c r="D1446">
        <v>7</v>
      </c>
      <c r="E1446">
        <v>2</v>
      </c>
      <c r="F1446" t="s">
        <v>37</v>
      </c>
      <c r="G1446">
        <v>4</v>
      </c>
      <c r="H1446">
        <v>3</v>
      </c>
      <c r="I1446" t="s">
        <v>24</v>
      </c>
      <c r="J1446">
        <v>2339</v>
      </c>
      <c r="K1446">
        <v>8</v>
      </c>
      <c r="L1446">
        <v>1</v>
      </c>
      <c r="M1446">
        <v>10</v>
      </c>
      <c r="N1446" t="s">
        <v>25</v>
      </c>
      <c r="O1446" t="s">
        <v>28</v>
      </c>
      <c r="P1446">
        <v>38836656</v>
      </c>
    </row>
    <row r="1447" spans="1:16" ht="14.25" x14ac:dyDescent="0.2">
      <c r="A1447">
        <v>41</v>
      </c>
      <c r="B1447" t="s">
        <v>22</v>
      </c>
      <c r="C1447" t="s">
        <v>23</v>
      </c>
      <c r="D1447">
        <v>28</v>
      </c>
      <c r="E1447">
        <v>4</v>
      </c>
      <c r="F1447" t="s">
        <v>18</v>
      </c>
      <c r="G1447">
        <v>1</v>
      </c>
      <c r="H1447">
        <v>2</v>
      </c>
      <c r="I1447" t="s">
        <v>24</v>
      </c>
      <c r="J1447">
        <v>13570</v>
      </c>
      <c r="K1447">
        <v>0</v>
      </c>
      <c r="L1447">
        <v>3</v>
      </c>
      <c r="M1447">
        <v>20</v>
      </c>
      <c r="N1447" t="s">
        <v>20</v>
      </c>
      <c r="O1447" t="s">
        <v>31</v>
      </c>
      <c r="P1447">
        <v>30113382</v>
      </c>
    </row>
    <row r="1448" spans="1:16" ht="14.25" x14ac:dyDescent="0.2">
      <c r="A1448">
        <v>34</v>
      </c>
      <c r="B1448" t="s">
        <v>22</v>
      </c>
      <c r="C1448" t="s">
        <v>17</v>
      </c>
      <c r="D1448">
        <v>28</v>
      </c>
      <c r="E1448">
        <v>3</v>
      </c>
      <c r="F1448" t="s">
        <v>36</v>
      </c>
      <c r="G1448">
        <v>4</v>
      </c>
      <c r="H1448">
        <v>3</v>
      </c>
      <c r="I1448" t="s">
        <v>24</v>
      </c>
      <c r="J1448">
        <v>6712</v>
      </c>
      <c r="K1448">
        <v>1</v>
      </c>
      <c r="L1448">
        <v>3</v>
      </c>
      <c r="M1448">
        <v>8</v>
      </c>
      <c r="N1448" t="s">
        <v>20</v>
      </c>
      <c r="O1448" t="s">
        <v>21</v>
      </c>
      <c r="P1448">
        <v>65763778</v>
      </c>
    </row>
    <row r="1449" spans="1:16" ht="14.25" x14ac:dyDescent="0.2">
      <c r="A1449">
        <v>36</v>
      </c>
      <c r="B1449" t="s">
        <v>22</v>
      </c>
      <c r="C1449" t="s">
        <v>17</v>
      </c>
      <c r="D1449">
        <v>15</v>
      </c>
      <c r="E1449">
        <v>4</v>
      </c>
      <c r="F1449" t="s">
        <v>36</v>
      </c>
      <c r="G1449">
        <v>4</v>
      </c>
      <c r="H1449">
        <v>4</v>
      </c>
      <c r="I1449" t="s">
        <v>30</v>
      </c>
      <c r="J1449">
        <v>5406</v>
      </c>
      <c r="K1449">
        <v>1</v>
      </c>
      <c r="L1449">
        <v>2</v>
      </c>
      <c r="M1449">
        <v>15</v>
      </c>
      <c r="N1449" t="s">
        <v>25</v>
      </c>
      <c r="O1449" t="s">
        <v>21</v>
      </c>
      <c r="P1449">
        <v>50985619</v>
      </c>
    </row>
    <row r="1450" spans="1:16" ht="14.25" x14ac:dyDescent="0.2">
      <c r="A1450">
        <v>41</v>
      </c>
      <c r="B1450" t="s">
        <v>22</v>
      </c>
      <c r="C1450" t="s">
        <v>17</v>
      </c>
      <c r="D1450">
        <v>3</v>
      </c>
      <c r="E1450">
        <v>3</v>
      </c>
      <c r="F1450" t="s">
        <v>18</v>
      </c>
      <c r="G1450">
        <v>3</v>
      </c>
      <c r="H1450">
        <v>2</v>
      </c>
      <c r="I1450" t="s">
        <v>30</v>
      </c>
      <c r="J1450">
        <v>8938</v>
      </c>
      <c r="K1450">
        <v>2</v>
      </c>
      <c r="L1450">
        <v>3</v>
      </c>
      <c r="M1450">
        <v>5</v>
      </c>
      <c r="N1450" t="s">
        <v>25</v>
      </c>
      <c r="O1450" t="s">
        <v>21</v>
      </c>
      <c r="P1450">
        <v>57155950</v>
      </c>
    </row>
    <row r="1451" spans="1:16" ht="14.25" x14ac:dyDescent="0.2">
      <c r="A1451">
        <v>32</v>
      </c>
      <c r="B1451" t="s">
        <v>22</v>
      </c>
      <c r="C1451" t="s">
        <v>23</v>
      </c>
      <c r="D1451">
        <v>2</v>
      </c>
      <c r="E1451">
        <v>3</v>
      </c>
      <c r="F1451" t="s">
        <v>37</v>
      </c>
      <c r="G1451">
        <v>4</v>
      </c>
      <c r="H1451">
        <v>1</v>
      </c>
      <c r="I1451" t="s">
        <v>19</v>
      </c>
      <c r="J1451">
        <v>2439</v>
      </c>
      <c r="K1451">
        <v>1</v>
      </c>
      <c r="L1451">
        <v>3</v>
      </c>
      <c r="M1451">
        <v>4</v>
      </c>
      <c r="N1451" t="s">
        <v>25</v>
      </c>
      <c r="O1451" t="s">
        <v>26</v>
      </c>
      <c r="P1451">
        <v>86869357</v>
      </c>
    </row>
    <row r="1452" spans="1:16" ht="14.25" x14ac:dyDescent="0.2">
      <c r="A1452">
        <v>35</v>
      </c>
      <c r="B1452" t="s">
        <v>22</v>
      </c>
      <c r="C1452" t="s">
        <v>38</v>
      </c>
      <c r="D1452">
        <v>26</v>
      </c>
      <c r="E1452">
        <v>4</v>
      </c>
      <c r="F1452" t="s">
        <v>18</v>
      </c>
      <c r="G1452">
        <v>3</v>
      </c>
      <c r="H1452">
        <v>4</v>
      </c>
      <c r="I1452" t="s">
        <v>19</v>
      </c>
      <c r="J1452">
        <v>8837</v>
      </c>
      <c r="K1452">
        <v>1</v>
      </c>
      <c r="L1452">
        <v>3</v>
      </c>
      <c r="M1452">
        <v>9</v>
      </c>
      <c r="N1452" t="s">
        <v>20</v>
      </c>
      <c r="O1452" t="s">
        <v>38</v>
      </c>
      <c r="P1452">
        <v>89848154</v>
      </c>
    </row>
    <row r="1453" spans="1:16" ht="14.25" x14ac:dyDescent="0.2">
      <c r="A1453">
        <v>38</v>
      </c>
      <c r="B1453" t="s">
        <v>22</v>
      </c>
      <c r="C1453" t="s">
        <v>17</v>
      </c>
      <c r="D1453">
        <v>10</v>
      </c>
      <c r="E1453">
        <v>2</v>
      </c>
      <c r="F1453" t="s">
        <v>18</v>
      </c>
      <c r="G1453">
        <v>1</v>
      </c>
      <c r="H1453">
        <v>4</v>
      </c>
      <c r="I1453" t="s">
        <v>24</v>
      </c>
      <c r="J1453">
        <v>5343</v>
      </c>
      <c r="K1453">
        <v>1</v>
      </c>
      <c r="L1453">
        <v>3</v>
      </c>
      <c r="M1453">
        <v>10</v>
      </c>
      <c r="N1453" t="s">
        <v>20</v>
      </c>
      <c r="O1453" t="s">
        <v>21</v>
      </c>
      <c r="P1453">
        <v>36839571</v>
      </c>
    </row>
    <row r="1454" spans="1:16" ht="14.25" x14ac:dyDescent="0.2">
      <c r="A1454">
        <v>50</v>
      </c>
      <c r="B1454" t="s">
        <v>16</v>
      </c>
      <c r="C1454" t="s">
        <v>17</v>
      </c>
      <c r="D1454">
        <v>1</v>
      </c>
      <c r="E1454">
        <v>4</v>
      </c>
      <c r="F1454" t="s">
        <v>18</v>
      </c>
      <c r="G1454">
        <v>2</v>
      </c>
      <c r="H1454">
        <v>3</v>
      </c>
      <c r="I1454" t="s">
        <v>30</v>
      </c>
      <c r="J1454">
        <v>6728</v>
      </c>
      <c r="K1454">
        <v>7</v>
      </c>
      <c r="L1454">
        <v>3</v>
      </c>
      <c r="M1454">
        <v>6</v>
      </c>
      <c r="N1454" t="s">
        <v>25</v>
      </c>
      <c r="O1454" t="s">
        <v>21</v>
      </c>
      <c r="P1454">
        <v>33223911</v>
      </c>
    </row>
    <row r="1455" spans="1:16" ht="14.25" x14ac:dyDescent="0.2">
      <c r="A1455">
        <v>36</v>
      </c>
      <c r="B1455" t="s">
        <v>22</v>
      </c>
      <c r="C1455" t="s">
        <v>17</v>
      </c>
      <c r="D1455">
        <v>11</v>
      </c>
      <c r="E1455">
        <v>4</v>
      </c>
      <c r="F1455" t="s">
        <v>36</v>
      </c>
      <c r="G1455">
        <v>2</v>
      </c>
      <c r="H1455">
        <v>4</v>
      </c>
      <c r="I1455" t="s">
        <v>24</v>
      </c>
      <c r="J1455">
        <v>6652</v>
      </c>
      <c r="K1455">
        <v>4</v>
      </c>
      <c r="L1455">
        <v>2</v>
      </c>
      <c r="M1455">
        <v>6</v>
      </c>
      <c r="N1455" t="s">
        <v>20</v>
      </c>
      <c r="O1455" t="s">
        <v>21</v>
      </c>
      <c r="P1455">
        <v>14985445</v>
      </c>
    </row>
    <row r="1456" spans="1:16" ht="14.25" x14ac:dyDescent="0.2">
      <c r="A1456">
        <v>45</v>
      </c>
      <c r="B1456" t="s">
        <v>22</v>
      </c>
      <c r="C1456" t="s">
        <v>17</v>
      </c>
      <c r="D1456">
        <v>20</v>
      </c>
      <c r="E1456">
        <v>3</v>
      </c>
      <c r="F1456" t="s">
        <v>18</v>
      </c>
      <c r="G1456">
        <v>4</v>
      </c>
      <c r="H1456">
        <v>3</v>
      </c>
      <c r="I1456" t="s">
        <v>19</v>
      </c>
      <c r="J1456">
        <v>4850</v>
      </c>
      <c r="K1456">
        <v>8</v>
      </c>
      <c r="L1456">
        <v>3</v>
      </c>
      <c r="M1456">
        <v>5</v>
      </c>
      <c r="N1456" t="s">
        <v>20</v>
      </c>
      <c r="O1456" t="s">
        <v>21</v>
      </c>
      <c r="P1456">
        <v>23363262</v>
      </c>
    </row>
    <row r="1457" spans="1:16" ht="14.25" x14ac:dyDescent="0.2">
      <c r="A1457">
        <v>40</v>
      </c>
      <c r="B1457" t="s">
        <v>22</v>
      </c>
      <c r="C1457" t="s">
        <v>23</v>
      </c>
      <c r="D1457">
        <v>2</v>
      </c>
      <c r="E1457">
        <v>4</v>
      </c>
      <c r="F1457" t="s">
        <v>18</v>
      </c>
      <c r="G1457">
        <v>3</v>
      </c>
      <c r="H1457">
        <v>3</v>
      </c>
      <c r="I1457" t="s">
        <v>19</v>
      </c>
      <c r="J1457">
        <v>2809</v>
      </c>
      <c r="K1457">
        <v>2</v>
      </c>
      <c r="L1457">
        <v>3</v>
      </c>
      <c r="M1457">
        <v>2</v>
      </c>
      <c r="N1457" t="s">
        <v>25</v>
      </c>
      <c r="O1457" t="s">
        <v>26</v>
      </c>
      <c r="P1457">
        <v>81727647</v>
      </c>
    </row>
    <row r="1458" spans="1:16" ht="14.25" x14ac:dyDescent="0.2">
      <c r="A1458">
        <v>35</v>
      </c>
      <c r="B1458" t="s">
        <v>22</v>
      </c>
      <c r="C1458" t="s">
        <v>23</v>
      </c>
      <c r="D1458">
        <v>18</v>
      </c>
      <c r="E1458">
        <v>4</v>
      </c>
      <c r="F1458" t="s">
        <v>18</v>
      </c>
      <c r="G1458">
        <v>3</v>
      </c>
      <c r="H1458">
        <v>3</v>
      </c>
      <c r="I1458" t="s">
        <v>24</v>
      </c>
      <c r="J1458">
        <v>5689</v>
      </c>
      <c r="K1458">
        <v>1</v>
      </c>
      <c r="L1458">
        <v>4</v>
      </c>
      <c r="M1458">
        <v>10</v>
      </c>
      <c r="N1458" t="s">
        <v>25</v>
      </c>
      <c r="O1458" t="s">
        <v>32</v>
      </c>
      <c r="P1458">
        <v>75459303</v>
      </c>
    </row>
    <row r="1459" spans="1:16" ht="14.25" x14ac:dyDescent="0.2">
      <c r="A1459">
        <v>40</v>
      </c>
      <c r="B1459" t="s">
        <v>22</v>
      </c>
      <c r="C1459" t="s">
        <v>23</v>
      </c>
      <c r="D1459">
        <v>2</v>
      </c>
      <c r="E1459">
        <v>4</v>
      </c>
      <c r="F1459" t="s">
        <v>29</v>
      </c>
      <c r="G1459">
        <v>3</v>
      </c>
      <c r="H1459">
        <v>3</v>
      </c>
      <c r="I1459" t="s">
        <v>24</v>
      </c>
      <c r="J1459">
        <v>2001</v>
      </c>
      <c r="K1459">
        <v>2</v>
      </c>
      <c r="L1459">
        <v>3</v>
      </c>
      <c r="M1459">
        <v>5</v>
      </c>
      <c r="N1459" t="s">
        <v>20</v>
      </c>
      <c r="O1459" t="s">
        <v>26</v>
      </c>
      <c r="P1459">
        <v>39330684</v>
      </c>
    </row>
    <row r="1460" spans="1:16" ht="14.25" x14ac:dyDescent="0.2">
      <c r="A1460">
        <v>35</v>
      </c>
      <c r="B1460" t="s">
        <v>22</v>
      </c>
      <c r="C1460" t="s">
        <v>23</v>
      </c>
      <c r="D1460">
        <v>1</v>
      </c>
      <c r="E1460">
        <v>4</v>
      </c>
      <c r="F1460" t="s">
        <v>18</v>
      </c>
      <c r="G1460">
        <v>3</v>
      </c>
      <c r="H1460">
        <v>4</v>
      </c>
      <c r="I1460" t="s">
        <v>24</v>
      </c>
      <c r="J1460">
        <v>2977</v>
      </c>
      <c r="K1460">
        <v>1</v>
      </c>
      <c r="L1460">
        <v>3</v>
      </c>
      <c r="M1460">
        <v>4</v>
      </c>
      <c r="N1460" t="s">
        <v>20</v>
      </c>
      <c r="O1460" t="s">
        <v>26</v>
      </c>
      <c r="P1460">
        <v>48345801</v>
      </c>
    </row>
    <row r="1461" spans="1:16" ht="14.25" x14ac:dyDescent="0.2">
      <c r="A1461">
        <v>29</v>
      </c>
      <c r="B1461" t="s">
        <v>22</v>
      </c>
      <c r="C1461" t="s">
        <v>23</v>
      </c>
      <c r="D1461">
        <v>13</v>
      </c>
      <c r="E1461">
        <v>2</v>
      </c>
      <c r="F1461" t="s">
        <v>27</v>
      </c>
      <c r="G1461">
        <v>4</v>
      </c>
      <c r="H1461">
        <v>2</v>
      </c>
      <c r="I1461" t="s">
        <v>24</v>
      </c>
      <c r="J1461">
        <v>4025</v>
      </c>
      <c r="K1461">
        <v>4</v>
      </c>
      <c r="L1461">
        <v>3</v>
      </c>
      <c r="M1461">
        <v>4</v>
      </c>
      <c r="N1461" t="s">
        <v>25</v>
      </c>
      <c r="O1461" t="s">
        <v>28</v>
      </c>
      <c r="P1461">
        <v>25956610</v>
      </c>
    </row>
    <row r="1462" spans="1:16" ht="14.25" x14ac:dyDescent="0.2">
      <c r="A1462">
        <v>29</v>
      </c>
      <c r="B1462" t="s">
        <v>22</v>
      </c>
      <c r="C1462" t="s">
        <v>23</v>
      </c>
      <c r="D1462">
        <v>28</v>
      </c>
      <c r="E1462">
        <v>4</v>
      </c>
      <c r="F1462" t="s">
        <v>29</v>
      </c>
      <c r="G1462">
        <v>4</v>
      </c>
      <c r="H1462">
        <v>1</v>
      </c>
      <c r="I1462" t="s">
        <v>19</v>
      </c>
      <c r="J1462">
        <v>3785</v>
      </c>
      <c r="K1462">
        <v>1</v>
      </c>
      <c r="L1462">
        <v>1</v>
      </c>
      <c r="M1462">
        <v>5</v>
      </c>
      <c r="N1462" t="s">
        <v>20</v>
      </c>
      <c r="O1462" t="s">
        <v>26</v>
      </c>
      <c r="P1462">
        <v>11926037</v>
      </c>
    </row>
    <row r="1463" spans="1:16" ht="14.25" x14ac:dyDescent="0.2">
      <c r="A1463">
        <v>50</v>
      </c>
      <c r="B1463" t="s">
        <v>16</v>
      </c>
      <c r="C1463" t="s">
        <v>17</v>
      </c>
      <c r="D1463">
        <v>28</v>
      </c>
      <c r="E1463">
        <v>3</v>
      </c>
      <c r="F1463" t="s">
        <v>36</v>
      </c>
      <c r="G1463">
        <v>4</v>
      </c>
      <c r="H1463">
        <v>1</v>
      </c>
      <c r="I1463" t="s">
        <v>30</v>
      </c>
      <c r="J1463">
        <v>10854</v>
      </c>
      <c r="K1463">
        <v>4</v>
      </c>
      <c r="L1463">
        <v>3</v>
      </c>
      <c r="M1463">
        <v>3</v>
      </c>
      <c r="N1463" t="s">
        <v>25</v>
      </c>
      <c r="O1463" t="s">
        <v>21</v>
      </c>
      <c r="P1463">
        <v>25715481</v>
      </c>
    </row>
    <row r="1464" spans="1:16" ht="14.25" x14ac:dyDescent="0.2">
      <c r="A1464">
        <v>39</v>
      </c>
      <c r="B1464" t="s">
        <v>22</v>
      </c>
      <c r="C1464" t="s">
        <v>17</v>
      </c>
      <c r="D1464">
        <v>24</v>
      </c>
      <c r="E1464">
        <v>1</v>
      </c>
      <c r="F1464" t="s">
        <v>36</v>
      </c>
      <c r="G1464">
        <v>2</v>
      </c>
      <c r="H1464">
        <v>4</v>
      </c>
      <c r="I1464" t="s">
        <v>24</v>
      </c>
      <c r="J1464">
        <v>12031</v>
      </c>
      <c r="K1464">
        <v>0</v>
      </c>
      <c r="L1464">
        <v>2</v>
      </c>
      <c r="M1464">
        <v>20</v>
      </c>
      <c r="N1464" t="s">
        <v>20</v>
      </c>
      <c r="O1464" t="s">
        <v>21</v>
      </c>
      <c r="P1464">
        <v>87798001</v>
      </c>
    </row>
    <row r="1465" spans="1:16" ht="14.25" x14ac:dyDescent="0.2">
      <c r="A1465">
        <v>31</v>
      </c>
      <c r="B1465" t="s">
        <v>22</v>
      </c>
      <c r="C1465" t="s">
        <v>23</v>
      </c>
      <c r="D1465">
        <v>5</v>
      </c>
      <c r="E1465">
        <v>3</v>
      </c>
      <c r="F1465" t="s">
        <v>29</v>
      </c>
      <c r="G1465">
        <v>2</v>
      </c>
      <c r="H1465">
        <v>1</v>
      </c>
      <c r="I1465" t="s">
        <v>19</v>
      </c>
      <c r="J1465">
        <v>9936</v>
      </c>
      <c r="K1465">
        <v>0</v>
      </c>
      <c r="L1465">
        <v>3</v>
      </c>
      <c r="M1465">
        <v>9</v>
      </c>
      <c r="N1465" t="s">
        <v>25</v>
      </c>
      <c r="O1465" t="s">
        <v>31</v>
      </c>
      <c r="P1465">
        <v>40324466</v>
      </c>
    </row>
    <row r="1466" spans="1:16" ht="14.25" x14ac:dyDescent="0.2">
      <c r="A1466">
        <v>26</v>
      </c>
      <c r="B1466" t="s">
        <v>22</v>
      </c>
      <c r="C1466" t="s">
        <v>17</v>
      </c>
      <c r="D1466">
        <v>5</v>
      </c>
      <c r="E1466">
        <v>3</v>
      </c>
      <c r="F1466" t="s">
        <v>27</v>
      </c>
      <c r="G1466">
        <v>4</v>
      </c>
      <c r="H1466">
        <v>3</v>
      </c>
      <c r="I1466" t="s">
        <v>19</v>
      </c>
      <c r="J1466">
        <v>2966</v>
      </c>
      <c r="K1466">
        <v>0</v>
      </c>
      <c r="L1466">
        <v>3</v>
      </c>
      <c r="M1466">
        <v>4</v>
      </c>
      <c r="N1466" t="s">
        <v>20</v>
      </c>
      <c r="O1466" t="s">
        <v>34</v>
      </c>
      <c r="P1466">
        <v>49365366</v>
      </c>
    </row>
    <row r="1467" spans="1:16" ht="14.25" x14ac:dyDescent="0.2">
      <c r="A1467">
        <v>36</v>
      </c>
      <c r="B1467" t="s">
        <v>22</v>
      </c>
      <c r="C1467" t="s">
        <v>23</v>
      </c>
      <c r="D1467">
        <v>23</v>
      </c>
      <c r="E1467">
        <v>2</v>
      </c>
      <c r="F1467" t="s">
        <v>29</v>
      </c>
      <c r="G1467">
        <v>3</v>
      </c>
      <c r="H1467">
        <v>4</v>
      </c>
      <c r="I1467" t="s">
        <v>24</v>
      </c>
      <c r="J1467">
        <v>2571</v>
      </c>
      <c r="K1467">
        <v>4</v>
      </c>
      <c r="L1467">
        <v>3</v>
      </c>
      <c r="M1467">
        <v>5</v>
      </c>
      <c r="N1467" t="s">
        <v>25</v>
      </c>
      <c r="O1467" t="s">
        <v>28</v>
      </c>
      <c r="P1467">
        <v>88378585</v>
      </c>
    </row>
    <row r="1468" spans="1:16" ht="14.25" x14ac:dyDescent="0.2">
      <c r="A1468">
        <v>39</v>
      </c>
      <c r="B1468" t="s">
        <v>22</v>
      </c>
      <c r="C1468" t="s">
        <v>23</v>
      </c>
      <c r="D1468">
        <v>6</v>
      </c>
      <c r="E1468">
        <v>1</v>
      </c>
      <c r="F1468" t="s">
        <v>29</v>
      </c>
      <c r="G1468">
        <v>4</v>
      </c>
      <c r="H1468">
        <v>1</v>
      </c>
      <c r="I1468" t="s">
        <v>24</v>
      </c>
      <c r="J1468">
        <v>9991</v>
      </c>
      <c r="K1468">
        <v>4</v>
      </c>
      <c r="L1468">
        <v>3</v>
      </c>
      <c r="M1468">
        <v>7</v>
      </c>
      <c r="N1468" t="s">
        <v>25</v>
      </c>
      <c r="O1468" t="s">
        <v>32</v>
      </c>
      <c r="P1468">
        <v>61623424</v>
      </c>
    </row>
    <row r="1469" spans="1:16" ht="14.25" x14ac:dyDescent="0.2">
      <c r="A1469">
        <v>27</v>
      </c>
      <c r="B1469" t="s">
        <v>22</v>
      </c>
      <c r="C1469" t="s">
        <v>23</v>
      </c>
      <c r="D1469">
        <v>4</v>
      </c>
      <c r="E1469">
        <v>3</v>
      </c>
      <c r="F1469" t="s">
        <v>18</v>
      </c>
      <c r="G1469">
        <v>2</v>
      </c>
      <c r="H1469">
        <v>2</v>
      </c>
      <c r="I1469" t="s">
        <v>24</v>
      </c>
      <c r="J1469">
        <v>6142</v>
      </c>
      <c r="K1469">
        <v>1</v>
      </c>
      <c r="L1469">
        <v>3</v>
      </c>
      <c r="M1469">
        <v>6</v>
      </c>
      <c r="N1469" t="s">
        <v>25</v>
      </c>
      <c r="O1469" t="s">
        <v>31</v>
      </c>
      <c r="P1469">
        <v>81472308</v>
      </c>
    </row>
    <row r="1470" spans="1:16" ht="14.25" x14ac:dyDescent="0.2">
      <c r="A1470">
        <v>49</v>
      </c>
      <c r="B1470" t="s">
        <v>22</v>
      </c>
      <c r="C1470" t="s">
        <v>17</v>
      </c>
      <c r="D1470">
        <v>2</v>
      </c>
      <c r="E1470">
        <v>3</v>
      </c>
      <c r="F1470" t="s">
        <v>29</v>
      </c>
      <c r="G1470">
        <v>4</v>
      </c>
      <c r="H1470">
        <v>2</v>
      </c>
      <c r="I1470" t="s">
        <v>24</v>
      </c>
      <c r="J1470">
        <v>5390</v>
      </c>
      <c r="K1470">
        <v>2</v>
      </c>
      <c r="L1470">
        <v>2</v>
      </c>
      <c r="M1470">
        <v>9</v>
      </c>
      <c r="N1470" t="s">
        <v>25</v>
      </c>
      <c r="O1470" t="s">
        <v>21</v>
      </c>
      <c r="P1470">
        <v>77079853</v>
      </c>
    </row>
    <row r="1471" spans="1:16" ht="14.25" x14ac:dyDescent="0.2">
      <c r="A1471">
        <v>34</v>
      </c>
      <c r="B1471" t="s">
        <v>22</v>
      </c>
      <c r="C1471" t="s">
        <v>23</v>
      </c>
      <c r="D1471">
        <v>8</v>
      </c>
      <c r="E1471">
        <v>3</v>
      </c>
      <c r="F1471" t="s">
        <v>29</v>
      </c>
      <c r="G1471">
        <v>2</v>
      </c>
      <c r="H1471">
        <v>3</v>
      </c>
      <c r="I1471" t="s">
        <v>24</v>
      </c>
      <c r="J1471">
        <v>4404</v>
      </c>
      <c r="K1471">
        <v>2</v>
      </c>
      <c r="L1471">
        <v>4</v>
      </c>
      <c r="M1471">
        <v>4</v>
      </c>
      <c r="N1471" t="s">
        <v>25</v>
      </c>
      <c r="O1471" t="s">
        <v>28</v>
      </c>
      <c r="P1471">
        <v>65371512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0AE58-7FDF-45BB-8C4E-AAC23848875C}">
  <dimension ref="A1:T1471"/>
  <sheetViews>
    <sheetView topLeftCell="A2" workbookViewId="0">
      <selection activeCell="C4" sqref="A2:S1471"/>
    </sheetView>
  </sheetViews>
  <sheetFormatPr defaultRowHeight="15" x14ac:dyDescent="0.2"/>
  <cols>
    <col min="1" max="1" width="13.75" customWidth="1"/>
    <col min="2" max="2" width="6.75" bestFit="1" customWidth="1"/>
    <col min="3" max="3" width="9.75" customWidth="1"/>
    <col min="4" max="4" width="14.875" customWidth="1"/>
    <col min="5" max="5" width="10.625" customWidth="1"/>
    <col min="6" max="6" width="14.375" customWidth="1"/>
    <col min="7" max="7" width="24.875" customWidth="1"/>
    <col min="8" max="8" width="23.75" customWidth="1"/>
    <col min="9" max="9" width="20.5" customWidth="1"/>
    <col min="10" max="10" width="11.75" customWidth="1"/>
    <col min="11" max="11" width="16.75" customWidth="1"/>
    <col min="12" max="12" width="24.75" customWidth="1"/>
    <col min="13" max="13" width="16.375" customWidth="1"/>
    <col min="14" max="14" width="18.625" style="3" customWidth="1"/>
    <col min="15" max="15" width="24.5" style="3" customWidth="1"/>
    <col min="16" max="16" width="24.375" customWidth="1"/>
    <col min="17" max="17" width="18" customWidth="1"/>
    <col min="18" max="18" width="18.25" customWidth="1"/>
    <col min="19" max="19" width="24.375" customWidth="1"/>
    <col min="20" max="20" width="17.25" style="3" customWidth="1"/>
  </cols>
  <sheetData>
    <row r="1" spans="1:19" ht="14.25" x14ac:dyDescent="0.2">
      <c r="A1" t="s">
        <v>15</v>
      </c>
      <c r="B1" t="s">
        <v>0</v>
      </c>
      <c r="C1" t="s">
        <v>13</v>
      </c>
      <c r="D1" t="s">
        <v>8</v>
      </c>
      <c r="E1" t="s">
        <v>1</v>
      </c>
      <c r="F1" t="s">
        <v>41</v>
      </c>
      <c r="G1" t="s">
        <v>14</v>
      </c>
      <c r="H1" t="s">
        <v>2</v>
      </c>
      <c r="I1" t="s">
        <v>3</v>
      </c>
      <c r="J1" t="s">
        <v>4</v>
      </c>
      <c r="K1" t="s">
        <v>5</v>
      </c>
      <c r="L1" t="s">
        <v>6</v>
      </c>
      <c r="M1" t="s">
        <v>7</v>
      </c>
      <c r="N1" s="3" t="s">
        <v>9</v>
      </c>
      <c r="O1" s="3" t="s">
        <v>57</v>
      </c>
      <c r="P1" t="s">
        <v>10</v>
      </c>
      <c r="Q1" t="s">
        <v>11</v>
      </c>
      <c r="R1" t="s">
        <v>12</v>
      </c>
      <c r="S1" t="s">
        <v>58</v>
      </c>
    </row>
    <row r="2" spans="1:19" ht="14.25" x14ac:dyDescent="0.2">
      <c r="A2">
        <v>10969592</v>
      </c>
      <c r="B2">
        <v>41</v>
      </c>
      <c r="C2" t="s">
        <v>20</v>
      </c>
      <c r="D2" t="s">
        <v>19</v>
      </c>
      <c r="E2" t="s">
        <v>16</v>
      </c>
      <c r="F2">
        <f>IF(Table2[[#This Row],[Attrition]]="Yes", 1, 0)</f>
        <v>1</v>
      </c>
      <c r="G2" t="s">
        <v>21</v>
      </c>
      <c r="H2" t="s">
        <v>17</v>
      </c>
      <c r="I2">
        <v>1</v>
      </c>
      <c r="J2">
        <v>2</v>
      </c>
      <c r="K2" t="s">
        <v>18</v>
      </c>
      <c r="L2">
        <v>2</v>
      </c>
      <c r="M2">
        <v>4</v>
      </c>
      <c r="N2" s="3">
        <v>5993</v>
      </c>
      <c r="O2" s="3" t="str">
        <f>IF(Table2[[#This Row],[MonthlyIncome]]&lt;=5000, "$1001 - $5000", IF(Table2[[#This Row],[MonthlyIncome]]&lt;=9000, "$5001 - $9000", IF(Table2[[#This Row],[MonthlyIncome]]&lt;=13000, "$9001 - $13000", IF(Table2[[#This Row],[MonthlyIncome]]&lt;=17000, "$13001 - $17000", IF(Table2[[#This Row],[MonthlyIncome]]&lt;=21000, "$17001 - $21000")))))</f>
        <v>$5001 - $9000</v>
      </c>
      <c r="P2">
        <v>8</v>
      </c>
      <c r="Q2">
        <v>1</v>
      </c>
      <c r="R2">
        <v>6</v>
      </c>
      <c r="S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 spans="1:19" ht="14.25" x14ac:dyDescent="0.2">
      <c r="A3">
        <v>42652422</v>
      </c>
      <c r="B3">
        <v>49</v>
      </c>
      <c r="C3" t="s">
        <v>25</v>
      </c>
      <c r="D3" t="s">
        <v>24</v>
      </c>
      <c r="E3" t="s">
        <v>22</v>
      </c>
      <c r="F3">
        <f>IF(Table2[[#This Row],[Attrition]]="Yes", 1, 0)</f>
        <v>0</v>
      </c>
      <c r="G3" t="s">
        <v>26</v>
      </c>
      <c r="H3" t="s">
        <v>23</v>
      </c>
      <c r="I3">
        <v>8</v>
      </c>
      <c r="J3">
        <v>1</v>
      </c>
      <c r="K3" t="s">
        <v>18</v>
      </c>
      <c r="L3">
        <v>3</v>
      </c>
      <c r="M3">
        <v>2</v>
      </c>
      <c r="N3" s="3">
        <v>5130</v>
      </c>
      <c r="O3" s="3" t="str">
        <f>IF(Table2[[#This Row],[MonthlyIncome]]&lt;=5000, "$1001 - $5000", IF(Table2[[#This Row],[MonthlyIncome]]&lt;=9000, "$5001 - $9000", IF(Table2[[#This Row],[MonthlyIncome]]&lt;=13000, "$9001 - $13000", IF(Table2[[#This Row],[MonthlyIncome]]&lt;=17000, "$13001 - $17000", IF(Table2[[#This Row],[MonthlyIncome]]&lt;=21000, "$17001 - $21000")))))</f>
        <v>$5001 - $9000</v>
      </c>
      <c r="P3">
        <v>1</v>
      </c>
      <c r="Q3">
        <v>3</v>
      </c>
      <c r="R3">
        <v>10</v>
      </c>
      <c r="S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 spans="1:19" ht="14.25" x14ac:dyDescent="0.2">
      <c r="A4">
        <v>83476539</v>
      </c>
      <c r="B4">
        <v>37</v>
      </c>
      <c r="C4" t="s">
        <v>25</v>
      </c>
      <c r="D4" t="s">
        <v>19</v>
      </c>
      <c r="E4" t="s">
        <v>16</v>
      </c>
      <c r="F4">
        <f>IF(Table2[[#This Row],[Attrition]]="Yes", 1, 0)</f>
        <v>1</v>
      </c>
      <c r="G4" t="s">
        <v>28</v>
      </c>
      <c r="H4" t="s">
        <v>23</v>
      </c>
      <c r="I4">
        <v>2</v>
      </c>
      <c r="J4">
        <v>2</v>
      </c>
      <c r="K4" t="s">
        <v>27</v>
      </c>
      <c r="L4">
        <v>4</v>
      </c>
      <c r="M4">
        <v>3</v>
      </c>
      <c r="N4" s="3">
        <v>2090</v>
      </c>
      <c r="O4" s="3" t="str">
        <f>IF(Table2[[#This Row],[MonthlyIncome]]&lt;=5000, "$1001 - $5000", IF(Table2[[#This Row],[MonthlyIncome]]&lt;=9000, "$5001 - $9000", IF(Table2[[#This Row],[MonthlyIncome]]&lt;=13000, "$9001 - $13000", IF(Table2[[#This Row],[MonthlyIncome]]&lt;=17000, "$13001 - $17000", IF(Table2[[#This Row],[MonthlyIncome]]&lt;=21000, "$17001 - $21000")))))</f>
        <v>$1001 - $5000</v>
      </c>
      <c r="P4">
        <v>6</v>
      </c>
      <c r="Q4">
        <v>3</v>
      </c>
      <c r="R4">
        <v>0</v>
      </c>
      <c r="S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 spans="1:19" ht="14.25" x14ac:dyDescent="0.2">
      <c r="A5">
        <v>16114404</v>
      </c>
      <c r="B5">
        <v>33</v>
      </c>
      <c r="C5" t="s">
        <v>20</v>
      </c>
      <c r="D5" t="s">
        <v>24</v>
      </c>
      <c r="E5" t="s">
        <v>22</v>
      </c>
      <c r="F5">
        <f>IF(Table2[[#This Row],[Attrition]]="Yes", 1, 0)</f>
        <v>0</v>
      </c>
      <c r="G5" t="s">
        <v>26</v>
      </c>
      <c r="H5" t="s">
        <v>23</v>
      </c>
      <c r="I5">
        <v>3</v>
      </c>
      <c r="J5">
        <v>4</v>
      </c>
      <c r="K5" t="s">
        <v>18</v>
      </c>
      <c r="L5">
        <v>4</v>
      </c>
      <c r="M5">
        <v>3</v>
      </c>
      <c r="N5" s="3">
        <v>2909</v>
      </c>
      <c r="O5" s="3" t="str">
        <f>IF(Table2[[#This Row],[MonthlyIncome]]&lt;=5000, "$1001 - $5000", IF(Table2[[#This Row],[MonthlyIncome]]&lt;=9000, "$5001 - $9000", IF(Table2[[#This Row],[MonthlyIncome]]&lt;=13000, "$9001 - $13000", IF(Table2[[#This Row],[MonthlyIncome]]&lt;=17000, "$13001 - $17000", IF(Table2[[#This Row],[MonthlyIncome]]&lt;=21000, "$17001 - $21000")))))</f>
        <v>$1001 - $5000</v>
      </c>
      <c r="P5">
        <v>1</v>
      </c>
      <c r="Q5">
        <v>3</v>
      </c>
      <c r="R5">
        <v>8</v>
      </c>
      <c r="S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 spans="1:19" ht="14.25" x14ac:dyDescent="0.2">
      <c r="A6">
        <v>47388211</v>
      </c>
      <c r="B6">
        <v>27</v>
      </c>
      <c r="C6" t="s">
        <v>25</v>
      </c>
      <c r="D6" t="s">
        <v>24</v>
      </c>
      <c r="E6" t="s">
        <v>22</v>
      </c>
      <c r="F6">
        <f>IF(Table2[[#This Row],[Attrition]]="Yes", 1, 0)</f>
        <v>0</v>
      </c>
      <c r="G6" t="s">
        <v>28</v>
      </c>
      <c r="H6" t="s">
        <v>23</v>
      </c>
      <c r="I6">
        <v>2</v>
      </c>
      <c r="J6">
        <v>1</v>
      </c>
      <c r="K6" t="s">
        <v>29</v>
      </c>
      <c r="L6">
        <v>1</v>
      </c>
      <c r="M6">
        <v>2</v>
      </c>
      <c r="N6" s="3">
        <v>3468</v>
      </c>
      <c r="O6" s="3" t="str">
        <f>IF(Table2[[#This Row],[MonthlyIncome]]&lt;=5000, "$1001 - $5000", IF(Table2[[#This Row],[MonthlyIncome]]&lt;=9000, "$5001 - $9000", IF(Table2[[#This Row],[MonthlyIncome]]&lt;=13000, "$9001 - $13000", IF(Table2[[#This Row],[MonthlyIncome]]&lt;=17000, "$13001 - $17000", IF(Table2[[#This Row],[MonthlyIncome]]&lt;=21000, "$17001 - $21000")))))</f>
        <v>$1001 - $5000</v>
      </c>
      <c r="P6">
        <v>9</v>
      </c>
      <c r="Q6">
        <v>3</v>
      </c>
      <c r="R6">
        <v>2</v>
      </c>
      <c r="S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 spans="1:19" ht="14.25" x14ac:dyDescent="0.2">
      <c r="A7">
        <v>53321192</v>
      </c>
      <c r="B7">
        <v>32</v>
      </c>
      <c r="C7" t="s">
        <v>25</v>
      </c>
      <c r="D7" t="s">
        <v>19</v>
      </c>
      <c r="E7" t="s">
        <v>22</v>
      </c>
      <c r="F7">
        <f>IF(Table2[[#This Row],[Attrition]]="Yes", 1, 0)</f>
        <v>0</v>
      </c>
      <c r="G7" t="s">
        <v>28</v>
      </c>
      <c r="H7" t="s">
        <v>23</v>
      </c>
      <c r="I7">
        <v>2</v>
      </c>
      <c r="J7">
        <v>2</v>
      </c>
      <c r="K7" t="s">
        <v>18</v>
      </c>
      <c r="L7">
        <v>4</v>
      </c>
      <c r="M7">
        <v>4</v>
      </c>
      <c r="N7" s="3">
        <v>3068</v>
      </c>
      <c r="O7" s="3" t="str">
        <f>IF(Table2[[#This Row],[MonthlyIncome]]&lt;=5000, "$1001 - $5000", IF(Table2[[#This Row],[MonthlyIncome]]&lt;=9000, "$5001 - $9000", IF(Table2[[#This Row],[MonthlyIncome]]&lt;=13000, "$9001 - $13000", IF(Table2[[#This Row],[MonthlyIncome]]&lt;=17000, "$13001 - $17000", IF(Table2[[#This Row],[MonthlyIncome]]&lt;=21000, "$17001 - $21000")))))</f>
        <v>$1001 - $5000</v>
      </c>
      <c r="P7">
        <v>0</v>
      </c>
      <c r="Q7">
        <v>2</v>
      </c>
      <c r="R7">
        <v>7</v>
      </c>
      <c r="S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 spans="1:19" ht="14.25" x14ac:dyDescent="0.2">
      <c r="A8">
        <v>54216927</v>
      </c>
      <c r="B8">
        <v>59</v>
      </c>
      <c r="C8" t="s">
        <v>20</v>
      </c>
      <c r="D8" t="s">
        <v>24</v>
      </c>
      <c r="E8" t="s">
        <v>22</v>
      </c>
      <c r="F8">
        <f>IF(Table2[[#This Row],[Attrition]]="Yes", 1, 0)</f>
        <v>0</v>
      </c>
      <c r="G8" t="s">
        <v>28</v>
      </c>
      <c r="H8" t="s">
        <v>23</v>
      </c>
      <c r="I8">
        <v>3</v>
      </c>
      <c r="J8">
        <v>3</v>
      </c>
      <c r="K8" t="s">
        <v>29</v>
      </c>
      <c r="L8">
        <v>3</v>
      </c>
      <c r="M8">
        <v>1</v>
      </c>
      <c r="N8" s="3">
        <v>2670</v>
      </c>
      <c r="O8" s="3" t="str">
        <f>IF(Table2[[#This Row],[MonthlyIncome]]&lt;=5000, "$1001 - $5000", IF(Table2[[#This Row],[MonthlyIncome]]&lt;=9000, "$5001 - $9000", IF(Table2[[#This Row],[MonthlyIncome]]&lt;=13000, "$9001 - $13000", IF(Table2[[#This Row],[MonthlyIncome]]&lt;=17000, "$13001 - $17000", IF(Table2[[#This Row],[MonthlyIncome]]&lt;=21000, "$17001 - $21000")))))</f>
        <v>$1001 - $5000</v>
      </c>
      <c r="P8">
        <v>4</v>
      </c>
      <c r="Q8">
        <v>2</v>
      </c>
      <c r="R8">
        <v>1</v>
      </c>
      <c r="S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 spans="1:19" ht="14.25" x14ac:dyDescent="0.2">
      <c r="A9">
        <v>52208262</v>
      </c>
      <c r="B9">
        <v>30</v>
      </c>
      <c r="C9" t="s">
        <v>25</v>
      </c>
      <c r="D9" t="s">
        <v>30</v>
      </c>
      <c r="E9" t="s">
        <v>22</v>
      </c>
      <c r="F9">
        <f>IF(Table2[[#This Row],[Attrition]]="Yes", 1, 0)</f>
        <v>0</v>
      </c>
      <c r="G9" t="s">
        <v>28</v>
      </c>
      <c r="H9" t="s">
        <v>23</v>
      </c>
      <c r="I9">
        <v>24</v>
      </c>
      <c r="J9">
        <v>1</v>
      </c>
      <c r="K9" t="s">
        <v>18</v>
      </c>
      <c r="L9">
        <v>4</v>
      </c>
      <c r="M9">
        <v>3</v>
      </c>
      <c r="N9" s="3">
        <v>2693</v>
      </c>
      <c r="O9" s="3" t="str">
        <f>IF(Table2[[#This Row],[MonthlyIncome]]&lt;=5000, "$1001 - $5000", IF(Table2[[#This Row],[MonthlyIncome]]&lt;=9000, "$5001 - $9000", IF(Table2[[#This Row],[MonthlyIncome]]&lt;=13000, "$9001 - $13000", IF(Table2[[#This Row],[MonthlyIncome]]&lt;=17000, "$13001 - $17000", IF(Table2[[#This Row],[MonthlyIncome]]&lt;=21000, "$17001 - $21000")))))</f>
        <v>$1001 - $5000</v>
      </c>
      <c r="P9">
        <v>1</v>
      </c>
      <c r="Q9">
        <v>3</v>
      </c>
      <c r="R9">
        <v>1</v>
      </c>
      <c r="S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 spans="1:19" ht="14.25" x14ac:dyDescent="0.2">
      <c r="A10">
        <v>59009022</v>
      </c>
      <c r="B10">
        <v>38</v>
      </c>
      <c r="C10" t="s">
        <v>25</v>
      </c>
      <c r="D10" t="s">
        <v>19</v>
      </c>
      <c r="E10" t="s">
        <v>22</v>
      </c>
      <c r="F10">
        <f>IF(Table2[[#This Row],[Attrition]]="Yes", 1, 0)</f>
        <v>0</v>
      </c>
      <c r="G10" t="s">
        <v>31</v>
      </c>
      <c r="H10" t="s">
        <v>23</v>
      </c>
      <c r="I10">
        <v>23</v>
      </c>
      <c r="J10">
        <v>3</v>
      </c>
      <c r="K10" t="s">
        <v>18</v>
      </c>
      <c r="L10">
        <v>4</v>
      </c>
      <c r="M10">
        <v>3</v>
      </c>
      <c r="N10" s="3">
        <v>9526</v>
      </c>
      <c r="O10" s="3" t="str">
        <f>IF(Table2[[#This Row],[MonthlyIncome]]&lt;=5000, "$1001 - $5000", IF(Table2[[#This Row],[MonthlyIncome]]&lt;=9000, "$5001 - $9000", IF(Table2[[#This Row],[MonthlyIncome]]&lt;=13000, "$9001 - $13000", IF(Table2[[#This Row],[MonthlyIncome]]&lt;=17000, "$13001 - $17000", IF(Table2[[#This Row],[MonthlyIncome]]&lt;=21000, "$17001 - $21000")))))</f>
        <v>$9001 - $13000</v>
      </c>
      <c r="P10">
        <v>0</v>
      </c>
      <c r="Q10">
        <v>3</v>
      </c>
      <c r="R10">
        <v>9</v>
      </c>
      <c r="S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 spans="1:19" ht="14.25" x14ac:dyDescent="0.2">
      <c r="A11">
        <v>59640268</v>
      </c>
      <c r="B11">
        <v>36</v>
      </c>
      <c r="C11" t="s">
        <v>25</v>
      </c>
      <c r="D11" t="s">
        <v>24</v>
      </c>
      <c r="E11" t="s">
        <v>22</v>
      </c>
      <c r="F11">
        <f>IF(Table2[[#This Row],[Attrition]]="Yes", 1, 0)</f>
        <v>0</v>
      </c>
      <c r="G11" t="s">
        <v>32</v>
      </c>
      <c r="H11" t="s">
        <v>23</v>
      </c>
      <c r="I11">
        <v>27</v>
      </c>
      <c r="J11">
        <v>3</v>
      </c>
      <c r="K11" t="s">
        <v>29</v>
      </c>
      <c r="L11">
        <v>3</v>
      </c>
      <c r="M11">
        <v>3</v>
      </c>
      <c r="N11" s="3">
        <v>5237</v>
      </c>
      <c r="O11" s="3" t="str">
        <f>IF(Table2[[#This Row],[MonthlyIncome]]&lt;=5000, "$1001 - $5000", IF(Table2[[#This Row],[MonthlyIncome]]&lt;=9000, "$5001 - $9000", IF(Table2[[#This Row],[MonthlyIncome]]&lt;=13000, "$9001 - $13000", IF(Table2[[#This Row],[MonthlyIncome]]&lt;=17000, "$13001 - $17000", IF(Table2[[#This Row],[MonthlyIncome]]&lt;=21000, "$17001 - $21000")))))</f>
        <v>$5001 - $9000</v>
      </c>
      <c r="P11">
        <v>6</v>
      </c>
      <c r="Q11">
        <v>2</v>
      </c>
      <c r="R11">
        <v>7</v>
      </c>
      <c r="S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 spans="1:19" ht="14.25" x14ac:dyDescent="0.2">
      <c r="A12">
        <v>71400736</v>
      </c>
      <c r="B12">
        <v>35</v>
      </c>
      <c r="C12" t="s">
        <v>25</v>
      </c>
      <c r="D12" t="s">
        <v>24</v>
      </c>
      <c r="E12" t="s">
        <v>22</v>
      </c>
      <c r="F12">
        <f>IF(Table2[[#This Row],[Attrition]]="Yes", 1, 0)</f>
        <v>0</v>
      </c>
      <c r="G12" t="s">
        <v>28</v>
      </c>
      <c r="H12" t="s">
        <v>23</v>
      </c>
      <c r="I12">
        <v>16</v>
      </c>
      <c r="J12">
        <v>3</v>
      </c>
      <c r="K12" t="s">
        <v>29</v>
      </c>
      <c r="L12">
        <v>1</v>
      </c>
      <c r="M12">
        <v>2</v>
      </c>
      <c r="N12" s="3">
        <v>2426</v>
      </c>
      <c r="O12" s="3" t="str">
        <f>IF(Table2[[#This Row],[MonthlyIncome]]&lt;=5000, "$1001 - $5000", IF(Table2[[#This Row],[MonthlyIncome]]&lt;=9000, "$5001 - $9000", IF(Table2[[#This Row],[MonthlyIncome]]&lt;=13000, "$9001 - $13000", IF(Table2[[#This Row],[MonthlyIncome]]&lt;=17000, "$13001 - $17000", IF(Table2[[#This Row],[MonthlyIncome]]&lt;=21000, "$17001 - $21000")))))</f>
        <v>$1001 - $5000</v>
      </c>
      <c r="P12">
        <v>0</v>
      </c>
      <c r="Q12">
        <v>3</v>
      </c>
      <c r="R12">
        <v>5</v>
      </c>
      <c r="S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 spans="1:19" ht="14.25" x14ac:dyDescent="0.2">
      <c r="A13">
        <v>50018440</v>
      </c>
      <c r="B13">
        <v>29</v>
      </c>
      <c r="C13" t="s">
        <v>20</v>
      </c>
      <c r="D13" t="s">
        <v>19</v>
      </c>
      <c r="E13" t="s">
        <v>22</v>
      </c>
      <c r="F13">
        <f>IF(Table2[[#This Row],[Attrition]]="Yes", 1, 0)</f>
        <v>0</v>
      </c>
      <c r="G13" t="s">
        <v>28</v>
      </c>
      <c r="H13" t="s">
        <v>23</v>
      </c>
      <c r="I13">
        <v>15</v>
      </c>
      <c r="J13">
        <v>2</v>
      </c>
      <c r="K13" t="s">
        <v>18</v>
      </c>
      <c r="L13">
        <v>4</v>
      </c>
      <c r="M13">
        <v>3</v>
      </c>
      <c r="N13" s="3">
        <v>4193</v>
      </c>
      <c r="O13" s="3" t="str">
        <f>IF(Table2[[#This Row],[MonthlyIncome]]&lt;=5000, "$1001 - $5000", IF(Table2[[#This Row],[MonthlyIncome]]&lt;=9000, "$5001 - $9000", IF(Table2[[#This Row],[MonthlyIncome]]&lt;=13000, "$9001 - $13000", IF(Table2[[#This Row],[MonthlyIncome]]&lt;=17000, "$13001 - $17000", IF(Table2[[#This Row],[MonthlyIncome]]&lt;=21000, "$17001 - $21000")))))</f>
        <v>$1001 - $5000</v>
      </c>
      <c r="P13">
        <v>0</v>
      </c>
      <c r="Q13">
        <v>3</v>
      </c>
      <c r="R13">
        <v>9</v>
      </c>
      <c r="S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 spans="1:19" ht="14.25" x14ac:dyDescent="0.2">
      <c r="A14">
        <v>13501715</v>
      </c>
      <c r="B14">
        <v>31</v>
      </c>
      <c r="C14" t="s">
        <v>25</v>
      </c>
      <c r="D14" t="s">
        <v>30</v>
      </c>
      <c r="E14" t="s">
        <v>22</v>
      </c>
      <c r="F14">
        <f>IF(Table2[[#This Row],[Attrition]]="Yes", 1, 0)</f>
        <v>0</v>
      </c>
      <c r="G14" t="s">
        <v>26</v>
      </c>
      <c r="H14" t="s">
        <v>23</v>
      </c>
      <c r="I14">
        <v>26</v>
      </c>
      <c r="J14">
        <v>1</v>
      </c>
      <c r="K14" t="s">
        <v>18</v>
      </c>
      <c r="L14">
        <v>1</v>
      </c>
      <c r="M14">
        <v>3</v>
      </c>
      <c r="N14" s="3">
        <v>2911</v>
      </c>
      <c r="O14" s="3" t="str">
        <f>IF(Table2[[#This Row],[MonthlyIncome]]&lt;=5000, "$1001 - $5000", IF(Table2[[#This Row],[MonthlyIncome]]&lt;=9000, "$5001 - $9000", IF(Table2[[#This Row],[MonthlyIncome]]&lt;=13000, "$9001 - $13000", IF(Table2[[#This Row],[MonthlyIncome]]&lt;=17000, "$13001 - $17000", IF(Table2[[#This Row],[MonthlyIncome]]&lt;=21000, "$17001 - $21000")))))</f>
        <v>$1001 - $5000</v>
      </c>
      <c r="P14">
        <v>1</v>
      </c>
      <c r="Q14">
        <v>2</v>
      </c>
      <c r="R14">
        <v>5</v>
      </c>
      <c r="S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5" spans="1:19" ht="14.25" x14ac:dyDescent="0.2">
      <c r="A15">
        <v>89870835</v>
      </c>
      <c r="B15">
        <v>34</v>
      </c>
      <c r="C15" t="s">
        <v>25</v>
      </c>
      <c r="D15" t="s">
        <v>30</v>
      </c>
      <c r="E15" t="s">
        <v>22</v>
      </c>
      <c r="F15">
        <f>IF(Table2[[#This Row],[Attrition]]="Yes", 1, 0)</f>
        <v>0</v>
      </c>
      <c r="G15" t="s">
        <v>28</v>
      </c>
      <c r="H15" t="s">
        <v>23</v>
      </c>
      <c r="I15">
        <v>19</v>
      </c>
      <c r="J15">
        <v>2</v>
      </c>
      <c r="K15" t="s">
        <v>29</v>
      </c>
      <c r="L15">
        <v>2</v>
      </c>
      <c r="M15">
        <v>4</v>
      </c>
      <c r="N15" s="3">
        <v>2661</v>
      </c>
      <c r="O15" s="3" t="str">
        <f>IF(Table2[[#This Row],[MonthlyIncome]]&lt;=5000, "$1001 - $5000", IF(Table2[[#This Row],[MonthlyIncome]]&lt;=9000, "$5001 - $9000", IF(Table2[[#This Row],[MonthlyIncome]]&lt;=13000, "$9001 - $13000", IF(Table2[[#This Row],[MonthlyIncome]]&lt;=17000, "$13001 - $17000", IF(Table2[[#This Row],[MonthlyIncome]]&lt;=21000, "$17001 - $21000")))))</f>
        <v>$1001 - $5000</v>
      </c>
      <c r="P15">
        <v>0</v>
      </c>
      <c r="Q15">
        <v>3</v>
      </c>
      <c r="R15">
        <v>2</v>
      </c>
      <c r="S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6" spans="1:19" ht="14.25" x14ac:dyDescent="0.2">
      <c r="A16">
        <v>49334147</v>
      </c>
      <c r="B16">
        <v>28</v>
      </c>
      <c r="C16" t="s">
        <v>25</v>
      </c>
      <c r="D16" t="s">
        <v>19</v>
      </c>
      <c r="E16" t="s">
        <v>16</v>
      </c>
      <c r="F16">
        <f>IF(Table2[[#This Row],[Attrition]]="Yes", 1, 0)</f>
        <v>1</v>
      </c>
      <c r="G16" t="s">
        <v>28</v>
      </c>
      <c r="H16" t="s">
        <v>23</v>
      </c>
      <c r="I16">
        <v>24</v>
      </c>
      <c r="J16">
        <v>3</v>
      </c>
      <c r="K16" t="s">
        <v>18</v>
      </c>
      <c r="L16">
        <v>3</v>
      </c>
      <c r="M16">
        <v>3</v>
      </c>
      <c r="N16" s="3">
        <v>2028</v>
      </c>
      <c r="O16" s="3" t="str">
        <f>IF(Table2[[#This Row],[MonthlyIncome]]&lt;=5000, "$1001 - $5000", IF(Table2[[#This Row],[MonthlyIncome]]&lt;=9000, "$5001 - $9000", IF(Table2[[#This Row],[MonthlyIncome]]&lt;=13000, "$9001 - $13000", IF(Table2[[#This Row],[MonthlyIncome]]&lt;=17000, "$13001 - $17000", IF(Table2[[#This Row],[MonthlyIncome]]&lt;=21000, "$17001 - $21000")))))</f>
        <v>$1001 - $5000</v>
      </c>
      <c r="P16">
        <v>5</v>
      </c>
      <c r="Q16">
        <v>3</v>
      </c>
      <c r="R16">
        <v>4</v>
      </c>
      <c r="S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7" spans="1:19" ht="14.25" x14ac:dyDescent="0.2">
      <c r="A17">
        <v>58384894</v>
      </c>
      <c r="B17">
        <v>29</v>
      </c>
      <c r="C17" t="s">
        <v>20</v>
      </c>
      <c r="D17" t="s">
        <v>30</v>
      </c>
      <c r="E17" t="s">
        <v>22</v>
      </c>
      <c r="F17">
        <f>IF(Table2[[#This Row],[Attrition]]="Yes", 1, 0)</f>
        <v>0</v>
      </c>
      <c r="G17" t="s">
        <v>31</v>
      </c>
      <c r="H17" t="s">
        <v>23</v>
      </c>
      <c r="I17">
        <v>21</v>
      </c>
      <c r="J17">
        <v>4</v>
      </c>
      <c r="K17" t="s">
        <v>18</v>
      </c>
      <c r="L17">
        <v>2</v>
      </c>
      <c r="M17">
        <v>1</v>
      </c>
      <c r="N17" s="3">
        <v>9980</v>
      </c>
      <c r="O17" s="3" t="str">
        <f>IF(Table2[[#This Row],[MonthlyIncome]]&lt;=5000, "$1001 - $5000", IF(Table2[[#This Row],[MonthlyIncome]]&lt;=9000, "$5001 - $9000", IF(Table2[[#This Row],[MonthlyIncome]]&lt;=13000, "$9001 - $13000", IF(Table2[[#This Row],[MonthlyIncome]]&lt;=17000, "$13001 - $17000", IF(Table2[[#This Row],[MonthlyIncome]]&lt;=21000, "$17001 - $21000")))))</f>
        <v>$9001 - $13000</v>
      </c>
      <c r="P17">
        <v>1</v>
      </c>
      <c r="Q17">
        <v>3</v>
      </c>
      <c r="R17">
        <v>10</v>
      </c>
      <c r="S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8" spans="1:19" ht="14.25" x14ac:dyDescent="0.2">
      <c r="A18">
        <v>34744758</v>
      </c>
      <c r="B18">
        <v>32</v>
      </c>
      <c r="C18" t="s">
        <v>25</v>
      </c>
      <c r="D18" t="s">
        <v>30</v>
      </c>
      <c r="E18" t="s">
        <v>22</v>
      </c>
      <c r="F18">
        <f>IF(Table2[[#This Row],[Attrition]]="Yes", 1, 0)</f>
        <v>0</v>
      </c>
      <c r="G18" t="s">
        <v>26</v>
      </c>
      <c r="H18" t="s">
        <v>23</v>
      </c>
      <c r="I18">
        <v>5</v>
      </c>
      <c r="J18">
        <v>2</v>
      </c>
      <c r="K18" t="s">
        <v>18</v>
      </c>
      <c r="L18">
        <v>1</v>
      </c>
      <c r="M18">
        <v>2</v>
      </c>
      <c r="N18" s="3">
        <v>3298</v>
      </c>
      <c r="O18" s="3" t="str">
        <f>IF(Table2[[#This Row],[MonthlyIncome]]&lt;=5000, "$1001 - $5000", IF(Table2[[#This Row],[MonthlyIncome]]&lt;=9000, "$5001 - $9000", IF(Table2[[#This Row],[MonthlyIncome]]&lt;=13000, "$9001 - $13000", IF(Table2[[#This Row],[MonthlyIncome]]&lt;=17000, "$13001 - $17000", IF(Table2[[#This Row],[MonthlyIncome]]&lt;=21000, "$17001 - $21000")))))</f>
        <v>$1001 - $5000</v>
      </c>
      <c r="P18">
        <v>0</v>
      </c>
      <c r="Q18">
        <v>2</v>
      </c>
      <c r="R18">
        <v>6</v>
      </c>
      <c r="S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9" spans="1:19" ht="14.25" x14ac:dyDescent="0.2">
      <c r="A19">
        <v>44353582</v>
      </c>
      <c r="B19">
        <v>22</v>
      </c>
      <c r="C19" t="s">
        <v>25</v>
      </c>
      <c r="D19" t="s">
        <v>30</v>
      </c>
      <c r="E19" t="s">
        <v>22</v>
      </c>
      <c r="F19">
        <f>IF(Table2[[#This Row],[Attrition]]="Yes", 1, 0)</f>
        <v>0</v>
      </c>
      <c r="G19" t="s">
        <v>28</v>
      </c>
      <c r="H19" t="s">
        <v>23</v>
      </c>
      <c r="I19">
        <v>16</v>
      </c>
      <c r="J19">
        <v>2</v>
      </c>
      <c r="K19" t="s">
        <v>29</v>
      </c>
      <c r="L19">
        <v>4</v>
      </c>
      <c r="M19">
        <v>4</v>
      </c>
      <c r="N19" s="3">
        <v>2935</v>
      </c>
      <c r="O19" s="3" t="str">
        <f>IF(Table2[[#This Row],[MonthlyIncome]]&lt;=5000, "$1001 - $5000", IF(Table2[[#This Row],[MonthlyIncome]]&lt;=9000, "$5001 - $9000", IF(Table2[[#This Row],[MonthlyIncome]]&lt;=13000, "$9001 - $13000", IF(Table2[[#This Row],[MonthlyIncome]]&lt;=17000, "$13001 - $17000", IF(Table2[[#This Row],[MonthlyIncome]]&lt;=21000, "$17001 - $21000")))))</f>
        <v>$1001 - $5000</v>
      </c>
      <c r="P19">
        <v>1</v>
      </c>
      <c r="Q19">
        <v>2</v>
      </c>
      <c r="R19">
        <v>1</v>
      </c>
      <c r="S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0" spans="1:19" ht="14.25" x14ac:dyDescent="0.2">
      <c r="A20">
        <v>34548606</v>
      </c>
      <c r="B20">
        <v>53</v>
      </c>
      <c r="C20" t="s">
        <v>20</v>
      </c>
      <c r="D20" t="s">
        <v>24</v>
      </c>
      <c r="E20" t="s">
        <v>22</v>
      </c>
      <c r="F20">
        <f>IF(Table2[[#This Row],[Attrition]]="Yes", 1, 0)</f>
        <v>0</v>
      </c>
      <c r="G20" t="s">
        <v>33</v>
      </c>
      <c r="H20" t="s">
        <v>17</v>
      </c>
      <c r="I20">
        <v>2</v>
      </c>
      <c r="J20">
        <v>4</v>
      </c>
      <c r="K20" t="s">
        <v>18</v>
      </c>
      <c r="L20">
        <v>1</v>
      </c>
      <c r="M20">
        <v>4</v>
      </c>
      <c r="N20" s="3">
        <v>15427</v>
      </c>
      <c r="O20" s="3" t="str">
        <f>IF(Table2[[#This Row],[MonthlyIncome]]&lt;=5000, "$1001 - $5000", IF(Table2[[#This Row],[MonthlyIncome]]&lt;=9000, "$5001 - $9000", IF(Table2[[#This Row],[MonthlyIncome]]&lt;=13000, "$9001 - $13000", IF(Table2[[#This Row],[MonthlyIncome]]&lt;=17000, "$13001 - $17000", IF(Table2[[#This Row],[MonthlyIncome]]&lt;=21000, "$17001 - $21000")))))</f>
        <v>$13001 - $17000</v>
      </c>
      <c r="P20">
        <v>2</v>
      </c>
      <c r="Q20">
        <v>3</v>
      </c>
      <c r="R20">
        <v>25</v>
      </c>
      <c r="S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25 - 30 Years</v>
      </c>
    </row>
    <row r="21" spans="1:19" ht="14.25" x14ac:dyDescent="0.2">
      <c r="A21">
        <v>10822994</v>
      </c>
      <c r="B21">
        <v>38</v>
      </c>
      <c r="C21" t="s">
        <v>25</v>
      </c>
      <c r="D21" t="s">
        <v>19</v>
      </c>
      <c r="E21" t="s">
        <v>22</v>
      </c>
      <c r="F21">
        <f>IF(Table2[[#This Row],[Attrition]]="Yes", 1, 0)</f>
        <v>0</v>
      </c>
      <c r="G21" t="s">
        <v>26</v>
      </c>
      <c r="H21" t="s">
        <v>23</v>
      </c>
      <c r="I21">
        <v>2</v>
      </c>
      <c r="J21">
        <v>3</v>
      </c>
      <c r="K21" t="s">
        <v>18</v>
      </c>
      <c r="L21">
        <v>4</v>
      </c>
      <c r="M21">
        <v>4</v>
      </c>
      <c r="N21" s="3">
        <v>3944</v>
      </c>
      <c r="O21" s="3" t="str">
        <f>IF(Table2[[#This Row],[MonthlyIncome]]&lt;=5000, "$1001 - $5000", IF(Table2[[#This Row],[MonthlyIncome]]&lt;=9000, "$5001 - $9000", IF(Table2[[#This Row],[MonthlyIncome]]&lt;=13000, "$9001 - $13000", IF(Table2[[#This Row],[MonthlyIncome]]&lt;=17000, "$13001 - $17000", IF(Table2[[#This Row],[MonthlyIncome]]&lt;=21000, "$17001 - $21000")))))</f>
        <v>$1001 - $5000</v>
      </c>
      <c r="P21">
        <v>5</v>
      </c>
      <c r="Q21">
        <v>3</v>
      </c>
      <c r="R21">
        <v>3</v>
      </c>
      <c r="S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2" spans="1:19" ht="14.25" x14ac:dyDescent="0.2">
      <c r="A22">
        <v>28343940</v>
      </c>
      <c r="B22">
        <v>24</v>
      </c>
      <c r="C22" t="s">
        <v>20</v>
      </c>
      <c r="D22" t="s">
        <v>30</v>
      </c>
      <c r="E22" t="s">
        <v>22</v>
      </c>
      <c r="F22">
        <f>IF(Table2[[#This Row],[Attrition]]="Yes", 1, 0)</f>
        <v>0</v>
      </c>
      <c r="G22" t="s">
        <v>31</v>
      </c>
      <c r="H22" t="s">
        <v>23</v>
      </c>
      <c r="I22">
        <v>11</v>
      </c>
      <c r="J22">
        <v>2</v>
      </c>
      <c r="K22" t="s">
        <v>27</v>
      </c>
      <c r="L22">
        <v>1</v>
      </c>
      <c r="M22">
        <v>3</v>
      </c>
      <c r="N22" s="3">
        <v>4011</v>
      </c>
      <c r="O22" s="3" t="str">
        <f>IF(Table2[[#This Row],[MonthlyIncome]]&lt;=5000, "$1001 - $5000", IF(Table2[[#This Row],[MonthlyIncome]]&lt;=9000, "$5001 - $9000", IF(Table2[[#This Row],[MonthlyIncome]]&lt;=13000, "$9001 - $13000", IF(Table2[[#This Row],[MonthlyIncome]]&lt;=17000, "$13001 - $17000", IF(Table2[[#This Row],[MonthlyIncome]]&lt;=21000, "$17001 - $21000")))))</f>
        <v>$1001 - $5000</v>
      </c>
      <c r="P22">
        <v>0</v>
      </c>
      <c r="Q22">
        <v>2</v>
      </c>
      <c r="R22">
        <v>4</v>
      </c>
      <c r="S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3" spans="1:19" ht="14.25" x14ac:dyDescent="0.2">
      <c r="A23">
        <v>85073438</v>
      </c>
      <c r="B23">
        <v>36</v>
      </c>
      <c r="C23" t="s">
        <v>25</v>
      </c>
      <c r="D23" t="s">
        <v>19</v>
      </c>
      <c r="E23" t="s">
        <v>16</v>
      </c>
      <c r="F23">
        <f>IF(Table2[[#This Row],[Attrition]]="Yes", 1, 0)</f>
        <v>1</v>
      </c>
      <c r="G23" t="s">
        <v>34</v>
      </c>
      <c r="H23" t="s">
        <v>17</v>
      </c>
      <c r="I23">
        <v>9</v>
      </c>
      <c r="J23">
        <v>4</v>
      </c>
      <c r="K23" t="s">
        <v>18</v>
      </c>
      <c r="L23">
        <v>3</v>
      </c>
      <c r="M23">
        <v>1</v>
      </c>
      <c r="N23" s="3">
        <v>3407</v>
      </c>
      <c r="O23" s="3" t="str">
        <f>IF(Table2[[#This Row],[MonthlyIncome]]&lt;=5000, "$1001 - $5000", IF(Table2[[#This Row],[MonthlyIncome]]&lt;=9000, "$5001 - $9000", IF(Table2[[#This Row],[MonthlyIncome]]&lt;=13000, "$9001 - $13000", IF(Table2[[#This Row],[MonthlyIncome]]&lt;=17000, "$13001 - $17000", IF(Table2[[#This Row],[MonthlyIncome]]&lt;=21000, "$17001 - $21000")))))</f>
        <v>$1001 - $5000</v>
      </c>
      <c r="P23">
        <v>7</v>
      </c>
      <c r="Q23">
        <v>3</v>
      </c>
      <c r="R23">
        <v>5</v>
      </c>
      <c r="S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4" spans="1:19" ht="14.25" x14ac:dyDescent="0.2">
      <c r="A24">
        <v>77328218</v>
      </c>
      <c r="B24">
        <v>34</v>
      </c>
      <c r="C24" t="s">
        <v>20</v>
      </c>
      <c r="D24" t="s">
        <v>19</v>
      </c>
      <c r="E24" t="s">
        <v>22</v>
      </c>
      <c r="F24">
        <f>IF(Table2[[#This Row],[Attrition]]="Yes", 1, 0)</f>
        <v>0</v>
      </c>
      <c r="G24" t="s">
        <v>35</v>
      </c>
      <c r="H24" t="s">
        <v>23</v>
      </c>
      <c r="I24">
        <v>7</v>
      </c>
      <c r="J24">
        <v>4</v>
      </c>
      <c r="K24" t="s">
        <v>18</v>
      </c>
      <c r="L24">
        <v>1</v>
      </c>
      <c r="M24">
        <v>2</v>
      </c>
      <c r="N24" s="3">
        <v>11994</v>
      </c>
      <c r="O24" s="3" t="str">
        <f>IF(Table2[[#This Row],[MonthlyIncome]]&lt;=5000, "$1001 - $5000", IF(Table2[[#This Row],[MonthlyIncome]]&lt;=9000, "$5001 - $9000", IF(Table2[[#This Row],[MonthlyIncome]]&lt;=13000, "$9001 - $13000", IF(Table2[[#This Row],[MonthlyIncome]]&lt;=17000, "$13001 - $17000", IF(Table2[[#This Row],[MonthlyIncome]]&lt;=21000, "$17001 - $21000")))))</f>
        <v>$9001 - $13000</v>
      </c>
      <c r="P24">
        <v>0</v>
      </c>
      <c r="Q24">
        <v>3</v>
      </c>
      <c r="R24">
        <v>12</v>
      </c>
      <c r="S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5" spans="1:19" ht="14.25" x14ac:dyDescent="0.2">
      <c r="A25">
        <v>31809771</v>
      </c>
      <c r="B25">
        <v>21</v>
      </c>
      <c r="C25" t="s">
        <v>25</v>
      </c>
      <c r="D25" t="s">
        <v>19</v>
      </c>
      <c r="E25" t="s">
        <v>22</v>
      </c>
      <c r="F25">
        <f>IF(Table2[[#This Row],[Attrition]]="Yes", 1, 0)</f>
        <v>0</v>
      </c>
      <c r="G25" t="s">
        <v>26</v>
      </c>
      <c r="H25" t="s">
        <v>23</v>
      </c>
      <c r="I25">
        <v>15</v>
      </c>
      <c r="J25">
        <v>2</v>
      </c>
      <c r="K25" t="s">
        <v>18</v>
      </c>
      <c r="L25">
        <v>3</v>
      </c>
      <c r="M25">
        <v>4</v>
      </c>
      <c r="N25" s="3">
        <v>1232</v>
      </c>
      <c r="O25" s="3" t="str">
        <f>IF(Table2[[#This Row],[MonthlyIncome]]&lt;=5000, "$1001 - $5000", IF(Table2[[#This Row],[MonthlyIncome]]&lt;=9000, "$5001 - $9000", IF(Table2[[#This Row],[MonthlyIncome]]&lt;=13000, "$9001 - $13000", IF(Table2[[#This Row],[MonthlyIncome]]&lt;=17000, "$13001 - $17000", IF(Table2[[#This Row],[MonthlyIncome]]&lt;=21000, "$17001 - $21000")))))</f>
        <v>$1001 - $5000</v>
      </c>
      <c r="P25">
        <v>1</v>
      </c>
      <c r="Q25">
        <v>3</v>
      </c>
      <c r="R25">
        <v>0</v>
      </c>
      <c r="S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6" spans="1:19" ht="14.25" x14ac:dyDescent="0.2">
      <c r="A26">
        <v>19540912</v>
      </c>
      <c r="B26">
        <v>34</v>
      </c>
      <c r="C26" t="s">
        <v>25</v>
      </c>
      <c r="D26" t="s">
        <v>19</v>
      </c>
      <c r="E26" t="s">
        <v>16</v>
      </c>
      <c r="F26">
        <f>IF(Table2[[#This Row],[Attrition]]="Yes", 1, 0)</f>
        <v>1</v>
      </c>
      <c r="G26" t="s">
        <v>26</v>
      </c>
      <c r="H26" t="s">
        <v>23</v>
      </c>
      <c r="I26">
        <v>6</v>
      </c>
      <c r="J26">
        <v>1</v>
      </c>
      <c r="K26" t="s">
        <v>29</v>
      </c>
      <c r="L26">
        <v>2</v>
      </c>
      <c r="M26">
        <v>1</v>
      </c>
      <c r="N26" s="3">
        <v>2960</v>
      </c>
      <c r="O26" s="3" t="str">
        <f>IF(Table2[[#This Row],[MonthlyIncome]]&lt;=5000, "$1001 - $5000", IF(Table2[[#This Row],[MonthlyIncome]]&lt;=9000, "$5001 - $9000", IF(Table2[[#This Row],[MonthlyIncome]]&lt;=13000, "$9001 - $13000", IF(Table2[[#This Row],[MonthlyIncome]]&lt;=17000, "$13001 - $17000", IF(Table2[[#This Row],[MonthlyIncome]]&lt;=21000, "$17001 - $21000")))))</f>
        <v>$1001 - $5000</v>
      </c>
      <c r="P26">
        <v>2</v>
      </c>
      <c r="Q26">
        <v>3</v>
      </c>
      <c r="R26">
        <v>4</v>
      </c>
      <c r="S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7" spans="1:19" ht="14.25" x14ac:dyDescent="0.2">
      <c r="A27">
        <v>22563839</v>
      </c>
      <c r="B27">
        <v>53</v>
      </c>
      <c r="C27" t="s">
        <v>20</v>
      </c>
      <c r="D27" t="s">
        <v>30</v>
      </c>
      <c r="E27" t="s">
        <v>22</v>
      </c>
      <c r="F27">
        <f>IF(Table2[[#This Row],[Attrition]]="Yes", 1, 0)</f>
        <v>0</v>
      </c>
      <c r="G27" t="s">
        <v>33</v>
      </c>
      <c r="H27" t="s">
        <v>23</v>
      </c>
      <c r="I27">
        <v>5</v>
      </c>
      <c r="J27">
        <v>3</v>
      </c>
      <c r="K27" t="s">
        <v>27</v>
      </c>
      <c r="L27">
        <v>3</v>
      </c>
      <c r="M27">
        <v>3</v>
      </c>
      <c r="N27" s="3">
        <v>19094</v>
      </c>
      <c r="O27" s="3" t="str">
        <f>IF(Table2[[#This Row],[MonthlyIncome]]&lt;=5000, "$1001 - $5000", IF(Table2[[#This Row],[MonthlyIncome]]&lt;=9000, "$5001 - $9000", IF(Table2[[#This Row],[MonthlyIncome]]&lt;=13000, "$9001 - $13000", IF(Table2[[#This Row],[MonthlyIncome]]&lt;=17000, "$13001 - $17000", IF(Table2[[#This Row],[MonthlyIncome]]&lt;=21000, "$17001 - $21000")))))</f>
        <v>$17001 - $21000</v>
      </c>
      <c r="P27">
        <v>4</v>
      </c>
      <c r="Q27">
        <v>2</v>
      </c>
      <c r="R27">
        <v>14</v>
      </c>
      <c r="S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8" spans="1:19" ht="14.25" x14ac:dyDescent="0.2">
      <c r="A28">
        <v>63449761</v>
      </c>
      <c r="B28">
        <v>32</v>
      </c>
      <c r="C28" t="s">
        <v>20</v>
      </c>
      <c r="D28" t="s">
        <v>19</v>
      </c>
      <c r="E28" t="s">
        <v>16</v>
      </c>
      <c r="F28">
        <f>IF(Table2[[#This Row],[Attrition]]="Yes", 1, 0)</f>
        <v>1</v>
      </c>
      <c r="G28" t="s">
        <v>26</v>
      </c>
      <c r="H28" t="s">
        <v>23</v>
      </c>
      <c r="I28">
        <v>16</v>
      </c>
      <c r="J28">
        <v>1</v>
      </c>
      <c r="K28" t="s">
        <v>18</v>
      </c>
      <c r="L28">
        <v>2</v>
      </c>
      <c r="M28">
        <v>1</v>
      </c>
      <c r="N28" s="3">
        <v>3919</v>
      </c>
      <c r="O28" s="3" t="str">
        <f>IF(Table2[[#This Row],[MonthlyIncome]]&lt;=5000, "$1001 - $5000", IF(Table2[[#This Row],[MonthlyIncome]]&lt;=9000, "$5001 - $9000", IF(Table2[[#This Row],[MonthlyIncome]]&lt;=13000, "$9001 - $13000", IF(Table2[[#This Row],[MonthlyIncome]]&lt;=17000, "$13001 - $17000", IF(Table2[[#This Row],[MonthlyIncome]]&lt;=21000, "$17001 - $21000")))))</f>
        <v>$1001 - $5000</v>
      </c>
      <c r="P28">
        <v>1</v>
      </c>
      <c r="Q28">
        <v>3</v>
      </c>
      <c r="R28">
        <v>10</v>
      </c>
      <c r="S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9" spans="1:19" ht="14.25" x14ac:dyDescent="0.2">
      <c r="A29">
        <v>68162395</v>
      </c>
      <c r="B29">
        <v>42</v>
      </c>
      <c r="C29" t="s">
        <v>25</v>
      </c>
      <c r="D29" t="s">
        <v>24</v>
      </c>
      <c r="E29" t="s">
        <v>22</v>
      </c>
      <c r="F29">
        <f>IF(Table2[[#This Row],[Attrition]]="Yes", 1, 0)</f>
        <v>0</v>
      </c>
      <c r="G29" t="s">
        <v>21</v>
      </c>
      <c r="H29" t="s">
        <v>17</v>
      </c>
      <c r="I29">
        <v>8</v>
      </c>
      <c r="J29">
        <v>4</v>
      </c>
      <c r="K29" t="s">
        <v>36</v>
      </c>
      <c r="L29">
        <v>3</v>
      </c>
      <c r="M29">
        <v>2</v>
      </c>
      <c r="N29" s="3">
        <v>6825</v>
      </c>
      <c r="O29" s="3" t="str">
        <f>IF(Table2[[#This Row],[MonthlyIncome]]&lt;=5000, "$1001 - $5000", IF(Table2[[#This Row],[MonthlyIncome]]&lt;=9000, "$5001 - $9000", IF(Table2[[#This Row],[MonthlyIncome]]&lt;=13000, "$9001 - $13000", IF(Table2[[#This Row],[MonthlyIncome]]&lt;=17000, "$13001 - $17000", IF(Table2[[#This Row],[MonthlyIncome]]&lt;=21000, "$17001 - $21000")))))</f>
        <v>$5001 - $9000</v>
      </c>
      <c r="P29">
        <v>0</v>
      </c>
      <c r="Q29">
        <v>3</v>
      </c>
      <c r="R29">
        <v>9</v>
      </c>
      <c r="S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0" spans="1:19" ht="14.25" x14ac:dyDescent="0.2">
      <c r="A30">
        <v>41225497</v>
      </c>
      <c r="B30">
        <v>44</v>
      </c>
      <c r="C30" t="s">
        <v>20</v>
      </c>
      <c r="D30" t="s">
        <v>24</v>
      </c>
      <c r="E30" t="s">
        <v>22</v>
      </c>
      <c r="F30">
        <f>IF(Table2[[#This Row],[Attrition]]="Yes", 1, 0)</f>
        <v>0</v>
      </c>
      <c r="G30" t="s">
        <v>32</v>
      </c>
      <c r="H30" t="s">
        <v>23</v>
      </c>
      <c r="I30">
        <v>7</v>
      </c>
      <c r="J30">
        <v>4</v>
      </c>
      <c r="K30" t="s">
        <v>29</v>
      </c>
      <c r="L30">
        <v>1</v>
      </c>
      <c r="M30">
        <v>4</v>
      </c>
      <c r="N30" s="3">
        <v>10248</v>
      </c>
      <c r="O30" s="3" t="str">
        <f>IF(Table2[[#This Row],[MonthlyIncome]]&lt;=5000, "$1001 - $5000", IF(Table2[[#This Row],[MonthlyIncome]]&lt;=9000, "$5001 - $9000", IF(Table2[[#This Row],[MonthlyIncome]]&lt;=13000, "$9001 - $13000", IF(Table2[[#This Row],[MonthlyIncome]]&lt;=17000, "$13001 - $17000", IF(Table2[[#This Row],[MonthlyIncome]]&lt;=21000, "$17001 - $21000")))))</f>
        <v>$9001 - $13000</v>
      </c>
      <c r="P30">
        <v>3</v>
      </c>
      <c r="Q30">
        <v>3</v>
      </c>
      <c r="R30">
        <v>22</v>
      </c>
      <c r="S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31" spans="1:19" ht="14.25" x14ac:dyDescent="0.2">
      <c r="A31">
        <v>12900289</v>
      </c>
      <c r="B31">
        <v>46</v>
      </c>
      <c r="C31" t="s">
        <v>20</v>
      </c>
      <c r="D31" t="s">
        <v>19</v>
      </c>
      <c r="E31" t="s">
        <v>22</v>
      </c>
      <c r="F31">
        <f>IF(Table2[[#This Row],[Attrition]]="Yes", 1, 0)</f>
        <v>0</v>
      </c>
      <c r="G31" t="s">
        <v>33</v>
      </c>
      <c r="H31" t="s">
        <v>17</v>
      </c>
      <c r="I31">
        <v>2</v>
      </c>
      <c r="J31">
        <v>4</v>
      </c>
      <c r="K31" t="s">
        <v>36</v>
      </c>
      <c r="L31">
        <v>2</v>
      </c>
      <c r="M31">
        <v>1</v>
      </c>
      <c r="N31" s="3">
        <v>18947</v>
      </c>
      <c r="O31" s="3" t="str">
        <f>IF(Table2[[#This Row],[MonthlyIncome]]&lt;=5000, "$1001 - $5000", IF(Table2[[#This Row],[MonthlyIncome]]&lt;=9000, "$5001 - $9000", IF(Table2[[#This Row],[MonthlyIncome]]&lt;=13000, "$9001 - $13000", IF(Table2[[#This Row],[MonthlyIncome]]&lt;=17000, "$13001 - $17000", IF(Table2[[#This Row],[MonthlyIncome]]&lt;=21000, "$17001 - $21000")))))</f>
        <v>$17001 - $21000</v>
      </c>
      <c r="P31">
        <v>3</v>
      </c>
      <c r="Q31">
        <v>2</v>
      </c>
      <c r="R31">
        <v>2</v>
      </c>
      <c r="S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2" spans="1:19" ht="14.25" x14ac:dyDescent="0.2">
      <c r="A32">
        <v>24528727</v>
      </c>
      <c r="B32">
        <v>33</v>
      </c>
      <c r="C32" t="s">
        <v>25</v>
      </c>
      <c r="D32" t="s">
        <v>19</v>
      </c>
      <c r="E32" t="s">
        <v>22</v>
      </c>
      <c r="F32">
        <f>IF(Table2[[#This Row],[Attrition]]="Yes", 1, 0)</f>
        <v>0</v>
      </c>
      <c r="G32" t="s">
        <v>28</v>
      </c>
      <c r="H32" t="s">
        <v>23</v>
      </c>
      <c r="I32">
        <v>2</v>
      </c>
      <c r="J32">
        <v>3</v>
      </c>
      <c r="K32" t="s">
        <v>29</v>
      </c>
      <c r="L32">
        <v>3</v>
      </c>
      <c r="M32">
        <v>4</v>
      </c>
      <c r="N32" s="3">
        <v>2496</v>
      </c>
      <c r="O32" s="3" t="str">
        <f>IF(Table2[[#This Row],[MonthlyIncome]]&lt;=5000, "$1001 - $5000", IF(Table2[[#This Row],[MonthlyIncome]]&lt;=9000, "$5001 - $9000", IF(Table2[[#This Row],[MonthlyIncome]]&lt;=13000, "$9001 - $13000", IF(Table2[[#This Row],[MonthlyIncome]]&lt;=17000, "$13001 - $17000", IF(Table2[[#This Row],[MonthlyIncome]]&lt;=21000, "$17001 - $21000")))))</f>
        <v>$1001 - $5000</v>
      </c>
      <c r="P32">
        <v>4</v>
      </c>
      <c r="Q32">
        <v>3</v>
      </c>
      <c r="R32">
        <v>1</v>
      </c>
      <c r="S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3" spans="1:19" ht="14.25" x14ac:dyDescent="0.2">
      <c r="A33">
        <v>33122893</v>
      </c>
      <c r="B33">
        <v>44</v>
      </c>
      <c r="C33" t="s">
        <v>25</v>
      </c>
      <c r="D33" t="s">
        <v>24</v>
      </c>
      <c r="E33" t="s">
        <v>22</v>
      </c>
      <c r="F33">
        <f>IF(Table2[[#This Row],[Attrition]]="Yes", 1, 0)</f>
        <v>0</v>
      </c>
      <c r="G33" t="s">
        <v>32</v>
      </c>
      <c r="H33" t="s">
        <v>23</v>
      </c>
      <c r="I33">
        <v>10</v>
      </c>
      <c r="J33">
        <v>4</v>
      </c>
      <c r="K33" t="s">
        <v>27</v>
      </c>
      <c r="L33">
        <v>4</v>
      </c>
      <c r="M33">
        <v>4</v>
      </c>
      <c r="N33" s="3">
        <v>6465</v>
      </c>
      <c r="O33" s="3" t="str">
        <f>IF(Table2[[#This Row],[MonthlyIncome]]&lt;=5000, "$1001 - $5000", IF(Table2[[#This Row],[MonthlyIncome]]&lt;=9000, "$5001 - $9000", IF(Table2[[#This Row],[MonthlyIncome]]&lt;=13000, "$9001 - $13000", IF(Table2[[#This Row],[MonthlyIncome]]&lt;=17000, "$13001 - $17000", IF(Table2[[#This Row],[MonthlyIncome]]&lt;=21000, "$17001 - $21000")))))</f>
        <v>$5001 - $9000</v>
      </c>
      <c r="P33">
        <v>2</v>
      </c>
      <c r="Q33">
        <v>4</v>
      </c>
      <c r="R33">
        <v>4</v>
      </c>
      <c r="S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4" spans="1:19" ht="14.25" x14ac:dyDescent="0.2">
      <c r="A34">
        <v>23769257</v>
      </c>
      <c r="B34">
        <v>30</v>
      </c>
      <c r="C34" t="s">
        <v>25</v>
      </c>
      <c r="D34" t="s">
        <v>19</v>
      </c>
      <c r="E34" t="s">
        <v>22</v>
      </c>
      <c r="F34">
        <f>IF(Table2[[#This Row],[Attrition]]="Yes", 1, 0)</f>
        <v>0</v>
      </c>
      <c r="G34" t="s">
        <v>28</v>
      </c>
      <c r="H34" t="s">
        <v>23</v>
      </c>
      <c r="I34">
        <v>9</v>
      </c>
      <c r="J34">
        <v>2</v>
      </c>
      <c r="K34" t="s">
        <v>29</v>
      </c>
      <c r="L34">
        <v>4</v>
      </c>
      <c r="M34">
        <v>3</v>
      </c>
      <c r="N34" s="3">
        <v>2206</v>
      </c>
      <c r="O34" s="3" t="str">
        <f>IF(Table2[[#This Row],[MonthlyIncome]]&lt;=5000, "$1001 - $5000", IF(Table2[[#This Row],[MonthlyIncome]]&lt;=9000, "$5001 - $9000", IF(Table2[[#This Row],[MonthlyIncome]]&lt;=13000, "$9001 - $13000", IF(Table2[[#This Row],[MonthlyIncome]]&lt;=17000, "$13001 - $17000", IF(Table2[[#This Row],[MonthlyIncome]]&lt;=21000, "$17001 - $21000")))))</f>
        <v>$1001 - $5000</v>
      </c>
      <c r="P34">
        <v>1</v>
      </c>
      <c r="Q34">
        <v>3</v>
      </c>
      <c r="R34">
        <v>10</v>
      </c>
      <c r="S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5" spans="1:19" ht="14.25" x14ac:dyDescent="0.2">
      <c r="A35">
        <v>14060586</v>
      </c>
      <c r="B35">
        <v>39</v>
      </c>
      <c r="C35" t="s">
        <v>25</v>
      </c>
      <c r="D35" t="s">
        <v>24</v>
      </c>
      <c r="E35" t="s">
        <v>16</v>
      </c>
      <c r="F35">
        <f>IF(Table2[[#This Row],[Attrition]]="Yes", 1, 0)</f>
        <v>1</v>
      </c>
      <c r="G35" t="s">
        <v>34</v>
      </c>
      <c r="H35" t="s">
        <v>17</v>
      </c>
      <c r="I35">
        <v>5</v>
      </c>
      <c r="J35">
        <v>3</v>
      </c>
      <c r="K35" t="s">
        <v>37</v>
      </c>
      <c r="L35">
        <v>4</v>
      </c>
      <c r="M35">
        <v>4</v>
      </c>
      <c r="N35" s="3">
        <v>2086</v>
      </c>
      <c r="O35" s="3" t="str">
        <f>IF(Table2[[#This Row],[MonthlyIncome]]&lt;=5000, "$1001 - $5000", IF(Table2[[#This Row],[MonthlyIncome]]&lt;=9000, "$5001 - $9000", IF(Table2[[#This Row],[MonthlyIncome]]&lt;=13000, "$9001 - $13000", IF(Table2[[#This Row],[MonthlyIncome]]&lt;=17000, "$13001 - $17000", IF(Table2[[#This Row],[MonthlyIncome]]&lt;=21000, "$17001 - $21000")))))</f>
        <v>$1001 - $5000</v>
      </c>
      <c r="P35">
        <v>3</v>
      </c>
      <c r="Q35">
        <v>4</v>
      </c>
      <c r="R35">
        <v>1</v>
      </c>
      <c r="S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6" spans="1:19" ht="14.25" x14ac:dyDescent="0.2">
      <c r="A36">
        <v>80493699</v>
      </c>
      <c r="B36">
        <v>24</v>
      </c>
      <c r="C36" t="s">
        <v>25</v>
      </c>
      <c r="D36" t="s">
        <v>24</v>
      </c>
      <c r="E36" t="s">
        <v>16</v>
      </c>
      <c r="F36">
        <f>IF(Table2[[#This Row],[Attrition]]="Yes", 1, 0)</f>
        <v>1</v>
      </c>
      <c r="G36" t="s">
        <v>26</v>
      </c>
      <c r="H36" t="s">
        <v>23</v>
      </c>
      <c r="I36">
        <v>1</v>
      </c>
      <c r="J36">
        <v>3</v>
      </c>
      <c r="K36" t="s">
        <v>29</v>
      </c>
      <c r="L36">
        <v>2</v>
      </c>
      <c r="M36">
        <v>4</v>
      </c>
      <c r="N36" s="3">
        <v>2293</v>
      </c>
      <c r="O36" s="3" t="str">
        <f>IF(Table2[[#This Row],[MonthlyIncome]]&lt;=5000, "$1001 - $5000", IF(Table2[[#This Row],[MonthlyIncome]]&lt;=9000, "$5001 - $9000", IF(Table2[[#This Row],[MonthlyIncome]]&lt;=13000, "$9001 - $13000", IF(Table2[[#This Row],[MonthlyIncome]]&lt;=17000, "$13001 - $17000", IF(Table2[[#This Row],[MonthlyIncome]]&lt;=21000, "$17001 - $21000")))))</f>
        <v>$1001 - $5000</v>
      </c>
      <c r="P36">
        <v>2</v>
      </c>
      <c r="Q36">
        <v>2</v>
      </c>
      <c r="R36">
        <v>2</v>
      </c>
      <c r="S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7" spans="1:19" ht="14.25" x14ac:dyDescent="0.2">
      <c r="A37">
        <v>36663195</v>
      </c>
      <c r="B37">
        <v>43</v>
      </c>
      <c r="C37" t="s">
        <v>20</v>
      </c>
      <c r="D37" t="s">
        <v>30</v>
      </c>
      <c r="E37" t="s">
        <v>22</v>
      </c>
      <c r="F37">
        <f>IF(Table2[[#This Row],[Attrition]]="Yes", 1, 0)</f>
        <v>0</v>
      </c>
      <c r="G37" t="s">
        <v>26</v>
      </c>
      <c r="H37" t="s">
        <v>23</v>
      </c>
      <c r="I37">
        <v>2</v>
      </c>
      <c r="J37">
        <v>2</v>
      </c>
      <c r="K37" t="s">
        <v>29</v>
      </c>
      <c r="L37">
        <v>4</v>
      </c>
      <c r="M37">
        <v>3</v>
      </c>
      <c r="N37" s="3">
        <v>2645</v>
      </c>
      <c r="O37" s="3" t="str">
        <f>IF(Table2[[#This Row],[MonthlyIncome]]&lt;=5000, "$1001 - $5000", IF(Table2[[#This Row],[MonthlyIncome]]&lt;=9000, "$5001 - $9000", IF(Table2[[#This Row],[MonthlyIncome]]&lt;=13000, "$9001 - $13000", IF(Table2[[#This Row],[MonthlyIncome]]&lt;=17000, "$13001 - $17000", IF(Table2[[#This Row],[MonthlyIncome]]&lt;=21000, "$17001 - $21000")))))</f>
        <v>$1001 - $5000</v>
      </c>
      <c r="P37">
        <v>1</v>
      </c>
      <c r="Q37">
        <v>2</v>
      </c>
      <c r="R37">
        <v>5</v>
      </c>
      <c r="S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8" spans="1:19" ht="14.25" x14ac:dyDescent="0.2">
      <c r="A38">
        <v>24560198</v>
      </c>
      <c r="B38">
        <v>50</v>
      </c>
      <c r="C38" t="s">
        <v>25</v>
      </c>
      <c r="D38" t="s">
        <v>24</v>
      </c>
      <c r="E38" t="s">
        <v>16</v>
      </c>
      <c r="F38">
        <f>IF(Table2[[#This Row],[Attrition]]="Yes", 1, 0)</f>
        <v>1</v>
      </c>
      <c r="G38" t="s">
        <v>34</v>
      </c>
      <c r="H38" t="s">
        <v>17</v>
      </c>
      <c r="I38">
        <v>3</v>
      </c>
      <c r="J38">
        <v>2</v>
      </c>
      <c r="K38" t="s">
        <v>36</v>
      </c>
      <c r="L38">
        <v>1</v>
      </c>
      <c r="M38">
        <v>3</v>
      </c>
      <c r="N38" s="3">
        <v>2683</v>
      </c>
      <c r="O38" s="3" t="str">
        <f>IF(Table2[[#This Row],[MonthlyIncome]]&lt;=5000, "$1001 - $5000", IF(Table2[[#This Row],[MonthlyIncome]]&lt;=9000, "$5001 - $9000", IF(Table2[[#This Row],[MonthlyIncome]]&lt;=13000, "$9001 - $13000", IF(Table2[[#This Row],[MonthlyIncome]]&lt;=17000, "$13001 - $17000", IF(Table2[[#This Row],[MonthlyIncome]]&lt;=21000, "$17001 - $21000")))))</f>
        <v>$1001 - $5000</v>
      </c>
      <c r="P38">
        <v>1</v>
      </c>
      <c r="Q38">
        <v>3</v>
      </c>
      <c r="R38">
        <v>3</v>
      </c>
      <c r="S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9" spans="1:19" ht="14.25" x14ac:dyDescent="0.2">
      <c r="A39">
        <v>64007458</v>
      </c>
      <c r="B39">
        <v>35</v>
      </c>
      <c r="C39" t="s">
        <v>20</v>
      </c>
      <c r="D39" t="s">
        <v>24</v>
      </c>
      <c r="E39" t="s">
        <v>22</v>
      </c>
      <c r="F39">
        <f>IF(Table2[[#This Row],[Attrition]]="Yes", 1, 0)</f>
        <v>0</v>
      </c>
      <c r="G39" t="s">
        <v>34</v>
      </c>
      <c r="H39" t="s">
        <v>17</v>
      </c>
      <c r="I39">
        <v>2</v>
      </c>
      <c r="J39">
        <v>3</v>
      </c>
      <c r="K39" t="s">
        <v>36</v>
      </c>
      <c r="L39">
        <v>4</v>
      </c>
      <c r="M39">
        <v>4</v>
      </c>
      <c r="N39" s="3">
        <v>2014</v>
      </c>
      <c r="O39" s="3" t="str">
        <f>IF(Table2[[#This Row],[MonthlyIncome]]&lt;=5000, "$1001 - $5000", IF(Table2[[#This Row],[MonthlyIncome]]&lt;=9000, "$5001 - $9000", IF(Table2[[#This Row],[MonthlyIncome]]&lt;=13000, "$9001 - $13000", IF(Table2[[#This Row],[MonthlyIncome]]&lt;=17000, "$13001 - $17000", IF(Table2[[#This Row],[MonthlyIncome]]&lt;=21000, "$17001 - $21000")))))</f>
        <v>$1001 - $5000</v>
      </c>
      <c r="P39">
        <v>1</v>
      </c>
      <c r="Q39">
        <v>3</v>
      </c>
      <c r="R39">
        <v>2</v>
      </c>
      <c r="S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0" spans="1:19" ht="14.25" x14ac:dyDescent="0.2">
      <c r="A40">
        <v>30939375</v>
      </c>
      <c r="B40">
        <v>36</v>
      </c>
      <c r="C40" t="s">
        <v>20</v>
      </c>
      <c r="D40" t="s">
        <v>24</v>
      </c>
      <c r="E40" t="s">
        <v>22</v>
      </c>
      <c r="F40">
        <f>IF(Table2[[#This Row],[Attrition]]="Yes", 1, 0)</f>
        <v>0</v>
      </c>
      <c r="G40" t="s">
        <v>26</v>
      </c>
      <c r="H40" t="s">
        <v>23</v>
      </c>
      <c r="I40">
        <v>5</v>
      </c>
      <c r="J40">
        <v>4</v>
      </c>
      <c r="K40" t="s">
        <v>18</v>
      </c>
      <c r="L40">
        <v>2</v>
      </c>
      <c r="M40">
        <v>1</v>
      </c>
      <c r="N40" s="3">
        <v>3419</v>
      </c>
      <c r="O40" s="3" t="str">
        <f>IF(Table2[[#This Row],[MonthlyIncome]]&lt;=5000, "$1001 - $5000", IF(Table2[[#This Row],[MonthlyIncome]]&lt;=9000, "$5001 - $9000", IF(Table2[[#This Row],[MonthlyIncome]]&lt;=13000, "$9001 - $13000", IF(Table2[[#This Row],[MonthlyIncome]]&lt;=17000, "$13001 - $17000", IF(Table2[[#This Row],[MonthlyIncome]]&lt;=21000, "$17001 - $21000")))))</f>
        <v>$1001 - $5000</v>
      </c>
      <c r="P40">
        <v>9</v>
      </c>
      <c r="Q40">
        <v>4</v>
      </c>
      <c r="R40">
        <v>1</v>
      </c>
      <c r="S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1" spans="1:19" ht="14.25" x14ac:dyDescent="0.2">
      <c r="A41">
        <v>51323548</v>
      </c>
      <c r="B41">
        <v>33</v>
      </c>
      <c r="C41" t="s">
        <v>20</v>
      </c>
      <c r="D41" t="s">
        <v>24</v>
      </c>
      <c r="E41" t="s">
        <v>22</v>
      </c>
      <c r="F41">
        <f>IF(Table2[[#This Row],[Attrition]]="Yes", 1, 0)</f>
        <v>0</v>
      </c>
      <c r="G41" t="s">
        <v>21</v>
      </c>
      <c r="H41" t="s">
        <v>17</v>
      </c>
      <c r="I41">
        <v>1</v>
      </c>
      <c r="J41">
        <v>3</v>
      </c>
      <c r="K41" t="s">
        <v>18</v>
      </c>
      <c r="L41">
        <v>3</v>
      </c>
      <c r="M41">
        <v>1</v>
      </c>
      <c r="N41" s="3">
        <v>5376</v>
      </c>
      <c r="O41" s="3" t="str">
        <f>IF(Table2[[#This Row],[MonthlyIncome]]&lt;=5000, "$1001 - $5000", IF(Table2[[#This Row],[MonthlyIncome]]&lt;=9000, "$5001 - $9000", IF(Table2[[#This Row],[MonthlyIncome]]&lt;=13000, "$9001 - $13000", IF(Table2[[#This Row],[MonthlyIncome]]&lt;=17000, "$13001 - $17000", IF(Table2[[#This Row],[MonthlyIncome]]&lt;=21000, "$17001 - $21000")))))</f>
        <v>$5001 - $9000</v>
      </c>
      <c r="P41">
        <v>2</v>
      </c>
      <c r="Q41">
        <v>3</v>
      </c>
      <c r="R41">
        <v>5</v>
      </c>
      <c r="S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2" spans="1:19" ht="14.25" x14ac:dyDescent="0.2">
      <c r="A42">
        <v>55057357</v>
      </c>
      <c r="B42">
        <v>35</v>
      </c>
      <c r="C42" t="s">
        <v>25</v>
      </c>
      <c r="D42" t="s">
        <v>30</v>
      </c>
      <c r="E42" t="s">
        <v>22</v>
      </c>
      <c r="F42">
        <f>IF(Table2[[#This Row],[Attrition]]="Yes", 1, 0)</f>
        <v>0</v>
      </c>
      <c r="G42" t="s">
        <v>28</v>
      </c>
      <c r="H42" t="s">
        <v>23</v>
      </c>
      <c r="I42">
        <v>4</v>
      </c>
      <c r="J42">
        <v>2</v>
      </c>
      <c r="K42" t="s">
        <v>27</v>
      </c>
      <c r="L42">
        <v>3</v>
      </c>
      <c r="M42">
        <v>4</v>
      </c>
      <c r="N42" s="3">
        <v>1951</v>
      </c>
      <c r="O42" s="3" t="str">
        <f>IF(Table2[[#This Row],[MonthlyIncome]]&lt;=5000, "$1001 - $5000", IF(Table2[[#This Row],[MonthlyIncome]]&lt;=9000, "$5001 - $9000", IF(Table2[[#This Row],[MonthlyIncome]]&lt;=13000, "$9001 - $13000", IF(Table2[[#This Row],[MonthlyIncome]]&lt;=17000, "$13001 - $17000", IF(Table2[[#This Row],[MonthlyIncome]]&lt;=21000, "$17001 - $21000")))))</f>
        <v>$1001 - $5000</v>
      </c>
      <c r="P42">
        <v>1</v>
      </c>
      <c r="Q42">
        <v>3</v>
      </c>
      <c r="R42">
        <v>1</v>
      </c>
      <c r="S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3" spans="1:19" ht="14.25" x14ac:dyDescent="0.2">
      <c r="A43">
        <v>16986920</v>
      </c>
      <c r="B43">
        <v>27</v>
      </c>
      <c r="C43" t="s">
        <v>20</v>
      </c>
      <c r="D43" t="s">
        <v>30</v>
      </c>
      <c r="E43" t="s">
        <v>22</v>
      </c>
      <c r="F43">
        <f>IF(Table2[[#This Row],[Attrition]]="Yes", 1, 0)</f>
        <v>0</v>
      </c>
      <c r="G43" t="s">
        <v>28</v>
      </c>
      <c r="H43" t="s">
        <v>23</v>
      </c>
      <c r="I43">
        <v>2</v>
      </c>
      <c r="J43">
        <v>4</v>
      </c>
      <c r="K43" t="s">
        <v>18</v>
      </c>
      <c r="L43">
        <v>4</v>
      </c>
      <c r="M43">
        <v>1</v>
      </c>
      <c r="N43" s="3">
        <v>2341</v>
      </c>
      <c r="O43" s="3" t="str">
        <f>IF(Table2[[#This Row],[MonthlyIncome]]&lt;=5000, "$1001 - $5000", IF(Table2[[#This Row],[MonthlyIncome]]&lt;=9000, "$5001 - $9000", IF(Table2[[#This Row],[MonthlyIncome]]&lt;=13000, "$9001 - $13000", IF(Table2[[#This Row],[MonthlyIncome]]&lt;=17000, "$13001 - $17000", IF(Table2[[#This Row],[MonthlyIncome]]&lt;=21000, "$17001 - $21000")))))</f>
        <v>$1001 - $5000</v>
      </c>
      <c r="P43">
        <v>1</v>
      </c>
      <c r="Q43">
        <v>3</v>
      </c>
      <c r="R43">
        <v>1</v>
      </c>
      <c r="S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4" spans="1:19" ht="14.25" x14ac:dyDescent="0.2">
      <c r="A44">
        <v>88807851</v>
      </c>
      <c r="B44">
        <v>26</v>
      </c>
      <c r="C44" t="s">
        <v>25</v>
      </c>
      <c r="D44" t="s">
        <v>19</v>
      </c>
      <c r="E44" t="s">
        <v>16</v>
      </c>
      <c r="F44">
        <f>IF(Table2[[#This Row],[Attrition]]="Yes", 1, 0)</f>
        <v>1</v>
      </c>
      <c r="G44" t="s">
        <v>28</v>
      </c>
      <c r="H44" t="s">
        <v>23</v>
      </c>
      <c r="I44">
        <v>25</v>
      </c>
      <c r="J44">
        <v>3</v>
      </c>
      <c r="K44" t="s">
        <v>18</v>
      </c>
      <c r="L44">
        <v>1</v>
      </c>
      <c r="M44">
        <v>3</v>
      </c>
      <c r="N44" s="3">
        <v>2293</v>
      </c>
      <c r="O44" s="3" t="str">
        <f>IF(Table2[[#This Row],[MonthlyIncome]]&lt;=5000, "$1001 - $5000", IF(Table2[[#This Row],[MonthlyIncome]]&lt;=9000, "$5001 - $9000", IF(Table2[[#This Row],[MonthlyIncome]]&lt;=13000, "$9001 - $13000", IF(Table2[[#This Row],[MonthlyIncome]]&lt;=17000, "$13001 - $17000", IF(Table2[[#This Row],[MonthlyIncome]]&lt;=21000, "$17001 - $21000")))))</f>
        <v>$1001 - $5000</v>
      </c>
      <c r="P44">
        <v>1</v>
      </c>
      <c r="Q44">
        <v>2</v>
      </c>
      <c r="R44">
        <v>1</v>
      </c>
      <c r="S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5" spans="1:19" ht="14.25" x14ac:dyDescent="0.2">
      <c r="A45">
        <v>16039287</v>
      </c>
      <c r="B45">
        <v>27</v>
      </c>
      <c r="C45" t="s">
        <v>25</v>
      </c>
      <c r="D45" t="s">
        <v>19</v>
      </c>
      <c r="E45" t="s">
        <v>22</v>
      </c>
      <c r="F45">
        <f>IF(Table2[[#This Row],[Attrition]]="Yes", 1, 0)</f>
        <v>0</v>
      </c>
      <c r="G45" t="s">
        <v>21</v>
      </c>
      <c r="H45" t="s">
        <v>17</v>
      </c>
      <c r="I45">
        <v>8</v>
      </c>
      <c r="J45">
        <v>3</v>
      </c>
      <c r="K45" t="s">
        <v>18</v>
      </c>
      <c r="L45">
        <v>4</v>
      </c>
      <c r="M45">
        <v>3</v>
      </c>
      <c r="N45" s="3">
        <v>8726</v>
      </c>
      <c r="O45" s="3" t="str">
        <f>IF(Table2[[#This Row],[MonthlyIncome]]&lt;=5000, "$1001 - $5000", IF(Table2[[#This Row],[MonthlyIncome]]&lt;=9000, "$5001 - $9000", IF(Table2[[#This Row],[MonthlyIncome]]&lt;=13000, "$9001 - $13000", IF(Table2[[#This Row],[MonthlyIncome]]&lt;=17000, "$13001 - $17000", IF(Table2[[#This Row],[MonthlyIncome]]&lt;=21000, "$17001 - $21000")))))</f>
        <v>$5001 - $9000</v>
      </c>
      <c r="P45">
        <v>1</v>
      </c>
      <c r="Q45">
        <v>3</v>
      </c>
      <c r="R45">
        <v>9</v>
      </c>
      <c r="S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6" spans="1:19" ht="14.25" x14ac:dyDescent="0.2">
      <c r="A46">
        <v>29303442</v>
      </c>
      <c r="B46">
        <v>30</v>
      </c>
      <c r="C46" t="s">
        <v>20</v>
      </c>
      <c r="D46" t="s">
        <v>19</v>
      </c>
      <c r="E46" t="s">
        <v>22</v>
      </c>
      <c r="F46">
        <f>IF(Table2[[#This Row],[Attrition]]="Yes", 1, 0)</f>
        <v>0</v>
      </c>
      <c r="G46" t="s">
        <v>28</v>
      </c>
      <c r="H46" t="s">
        <v>23</v>
      </c>
      <c r="I46">
        <v>1</v>
      </c>
      <c r="J46">
        <v>2</v>
      </c>
      <c r="K46" t="s">
        <v>29</v>
      </c>
      <c r="L46">
        <v>3</v>
      </c>
      <c r="M46">
        <v>4</v>
      </c>
      <c r="N46" s="3">
        <v>4011</v>
      </c>
      <c r="O46" s="3" t="str">
        <f>IF(Table2[[#This Row],[MonthlyIncome]]&lt;=5000, "$1001 - $5000", IF(Table2[[#This Row],[MonthlyIncome]]&lt;=9000, "$5001 - $9000", IF(Table2[[#This Row],[MonthlyIncome]]&lt;=13000, "$9001 - $13000", IF(Table2[[#This Row],[MonthlyIncome]]&lt;=17000, "$13001 - $17000", IF(Table2[[#This Row],[MonthlyIncome]]&lt;=21000, "$17001 - $21000")))))</f>
        <v>$1001 - $5000</v>
      </c>
      <c r="P46">
        <v>1</v>
      </c>
      <c r="Q46">
        <v>3</v>
      </c>
      <c r="R46">
        <v>12</v>
      </c>
      <c r="S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7" spans="1:19" ht="14.25" x14ac:dyDescent="0.2">
      <c r="A47">
        <v>16844141</v>
      </c>
      <c r="B47">
        <v>41</v>
      </c>
      <c r="C47" t="s">
        <v>20</v>
      </c>
      <c r="D47" t="s">
        <v>24</v>
      </c>
      <c r="E47" t="s">
        <v>16</v>
      </c>
      <c r="F47">
        <f>IF(Table2[[#This Row],[Attrition]]="Yes", 1, 0)</f>
        <v>1</v>
      </c>
      <c r="G47" t="s">
        <v>35</v>
      </c>
      <c r="H47" t="s">
        <v>23</v>
      </c>
      <c r="I47">
        <v>12</v>
      </c>
      <c r="J47">
        <v>3</v>
      </c>
      <c r="K47" t="s">
        <v>37</v>
      </c>
      <c r="L47">
        <v>2</v>
      </c>
      <c r="M47">
        <v>3</v>
      </c>
      <c r="N47" s="3">
        <v>19545</v>
      </c>
      <c r="O47" s="3" t="str">
        <f>IF(Table2[[#This Row],[MonthlyIncome]]&lt;=5000, "$1001 - $5000", IF(Table2[[#This Row],[MonthlyIncome]]&lt;=9000, "$5001 - $9000", IF(Table2[[#This Row],[MonthlyIncome]]&lt;=13000, "$9001 - $13000", IF(Table2[[#This Row],[MonthlyIncome]]&lt;=17000, "$13001 - $17000", IF(Table2[[#This Row],[MonthlyIncome]]&lt;=21000, "$17001 - $21000")))))</f>
        <v>$17001 - $21000</v>
      </c>
      <c r="P47">
        <v>1</v>
      </c>
      <c r="Q47">
        <v>3</v>
      </c>
      <c r="R47">
        <v>22</v>
      </c>
      <c r="S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48" spans="1:19" ht="14.25" x14ac:dyDescent="0.2">
      <c r="A48">
        <v>26976359</v>
      </c>
      <c r="B48">
        <v>34</v>
      </c>
      <c r="C48" t="s">
        <v>25</v>
      </c>
      <c r="D48" t="s">
        <v>19</v>
      </c>
      <c r="E48" t="s">
        <v>22</v>
      </c>
      <c r="F48">
        <f>IF(Table2[[#This Row],[Attrition]]="Yes", 1, 0)</f>
        <v>0</v>
      </c>
      <c r="G48" t="s">
        <v>21</v>
      </c>
      <c r="H48" t="s">
        <v>17</v>
      </c>
      <c r="I48">
        <v>23</v>
      </c>
      <c r="J48">
        <v>4</v>
      </c>
      <c r="K48" t="s">
        <v>36</v>
      </c>
      <c r="L48">
        <v>2</v>
      </c>
      <c r="M48">
        <v>3</v>
      </c>
      <c r="N48" s="3">
        <v>4568</v>
      </c>
      <c r="O48" s="3" t="str">
        <f>IF(Table2[[#This Row],[MonthlyIncome]]&lt;=5000, "$1001 - $5000", IF(Table2[[#This Row],[MonthlyIncome]]&lt;=9000, "$5001 - $9000", IF(Table2[[#This Row],[MonthlyIncome]]&lt;=13000, "$9001 - $13000", IF(Table2[[#This Row],[MonthlyIncome]]&lt;=17000, "$13001 - $17000", IF(Table2[[#This Row],[MonthlyIncome]]&lt;=21000, "$17001 - $21000")))))</f>
        <v>$1001 - $5000</v>
      </c>
      <c r="P48">
        <v>0</v>
      </c>
      <c r="Q48">
        <v>3</v>
      </c>
      <c r="R48">
        <v>9</v>
      </c>
      <c r="S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9" spans="1:19" ht="14.25" x14ac:dyDescent="0.2">
      <c r="A49">
        <v>65370780</v>
      </c>
      <c r="B49">
        <v>37</v>
      </c>
      <c r="C49" t="s">
        <v>25</v>
      </c>
      <c r="D49" t="s">
        <v>24</v>
      </c>
      <c r="E49" t="s">
        <v>22</v>
      </c>
      <c r="F49">
        <f>IF(Table2[[#This Row],[Attrition]]="Yes", 1, 0)</f>
        <v>0</v>
      </c>
      <c r="G49" t="s">
        <v>26</v>
      </c>
      <c r="H49" t="s">
        <v>23</v>
      </c>
      <c r="I49">
        <v>19</v>
      </c>
      <c r="J49">
        <v>2</v>
      </c>
      <c r="K49" t="s">
        <v>18</v>
      </c>
      <c r="L49">
        <v>2</v>
      </c>
      <c r="M49">
        <v>2</v>
      </c>
      <c r="N49" s="3">
        <v>3022</v>
      </c>
      <c r="O49" s="3" t="str">
        <f>IF(Table2[[#This Row],[MonthlyIncome]]&lt;=5000, "$1001 - $5000", IF(Table2[[#This Row],[MonthlyIncome]]&lt;=9000, "$5001 - $9000", IF(Table2[[#This Row],[MonthlyIncome]]&lt;=13000, "$9001 - $13000", IF(Table2[[#This Row],[MonthlyIncome]]&lt;=17000, "$13001 - $17000", IF(Table2[[#This Row],[MonthlyIncome]]&lt;=21000, "$17001 - $21000")))))</f>
        <v>$1001 - $5000</v>
      </c>
      <c r="P49">
        <v>4</v>
      </c>
      <c r="Q49">
        <v>3</v>
      </c>
      <c r="R49">
        <v>1</v>
      </c>
      <c r="S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0" spans="1:19" ht="14.25" x14ac:dyDescent="0.2">
      <c r="A50">
        <v>47467991</v>
      </c>
      <c r="B50">
        <v>46</v>
      </c>
      <c r="C50" t="s">
        <v>25</v>
      </c>
      <c r="D50" t="s">
        <v>19</v>
      </c>
      <c r="E50" t="s">
        <v>22</v>
      </c>
      <c r="F50">
        <f>IF(Table2[[#This Row],[Attrition]]="Yes", 1, 0)</f>
        <v>0</v>
      </c>
      <c r="G50" t="s">
        <v>21</v>
      </c>
      <c r="H50" t="s">
        <v>17</v>
      </c>
      <c r="I50">
        <v>5</v>
      </c>
      <c r="J50">
        <v>4</v>
      </c>
      <c r="K50" t="s">
        <v>36</v>
      </c>
      <c r="L50">
        <v>1</v>
      </c>
      <c r="M50">
        <v>4</v>
      </c>
      <c r="N50" s="3">
        <v>5772</v>
      </c>
      <c r="O50" s="3" t="str">
        <f>IF(Table2[[#This Row],[MonthlyIncome]]&lt;=5000, "$1001 - $5000", IF(Table2[[#This Row],[MonthlyIncome]]&lt;=9000, "$5001 - $9000", IF(Table2[[#This Row],[MonthlyIncome]]&lt;=13000, "$9001 - $13000", IF(Table2[[#This Row],[MonthlyIncome]]&lt;=17000, "$13001 - $17000", IF(Table2[[#This Row],[MonthlyIncome]]&lt;=21000, "$17001 - $21000")))))</f>
        <v>$5001 - $9000</v>
      </c>
      <c r="P50">
        <v>4</v>
      </c>
      <c r="Q50">
        <v>3</v>
      </c>
      <c r="R50">
        <v>9</v>
      </c>
      <c r="S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1" spans="1:19" ht="14.25" x14ac:dyDescent="0.2">
      <c r="A51">
        <v>10041098</v>
      </c>
      <c r="B51">
        <v>35</v>
      </c>
      <c r="C51" t="s">
        <v>25</v>
      </c>
      <c r="D51" t="s">
        <v>24</v>
      </c>
      <c r="E51" t="s">
        <v>22</v>
      </c>
      <c r="F51">
        <f>IF(Table2[[#This Row],[Attrition]]="Yes", 1, 0)</f>
        <v>0</v>
      </c>
      <c r="G51" t="s">
        <v>28</v>
      </c>
      <c r="H51" t="s">
        <v>23</v>
      </c>
      <c r="I51">
        <v>8</v>
      </c>
      <c r="J51">
        <v>1</v>
      </c>
      <c r="K51" t="s">
        <v>18</v>
      </c>
      <c r="L51">
        <v>4</v>
      </c>
      <c r="M51">
        <v>4</v>
      </c>
      <c r="N51" s="3">
        <v>2269</v>
      </c>
      <c r="O51" s="3" t="str">
        <f>IF(Table2[[#This Row],[MonthlyIncome]]&lt;=5000, "$1001 - $5000", IF(Table2[[#This Row],[MonthlyIncome]]&lt;=9000, "$5001 - $9000", IF(Table2[[#This Row],[MonthlyIncome]]&lt;=13000, "$9001 - $13000", IF(Table2[[#This Row],[MonthlyIncome]]&lt;=17000, "$13001 - $17000", IF(Table2[[#This Row],[MonthlyIncome]]&lt;=21000, "$17001 - $21000")))))</f>
        <v>$1001 - $5000</v>
      </c>
      <c r="P51">
        <v>1</v>
      </c>
      <c r="Q51">
        <v>3</v>
      </c>
      <c r="R51">
        <v>1</v>
      </c>
      <c r="S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2" spans="1:19" ht="14.25" x14ac:dyDescent="0.2">
      <c r="A52">
        <v>54798524</v>
      </c>
      <c r="B52">
        <v>48</v>
      </c>
      <c r="C52" t="s">
        <v>25</v>
      </c>
      <c r="D52" t="s">
        <v>19</v>
      </c>
      <c r="E52" t="s">
        <v>16</v>
      </c>
      <c r="F52">
        <f>IF(Table2[[#This Row],[Attrition]]="Yes", 1, 0)</f>
        <v>1</v>
      </c>
      <c r="G52" t="s">
        <v>28</v>
      </c>
      <c r="H52" t="s">
        <v>23</v>
      </c>
      <c r="I52">
        <v>1</v>
      </c>
      <c r="J52">
        <v>2</v>
      </c>
      <c r="K52" t="s">
        <v>18</v>
      </c>
      <c r="L52">
        <v>1</v>
      </c>
      <c r="M52">
        <v>3</v>
      </c>
      <c r="N52" s="3">
        <v>5381</v>
      </c>
      <c r="O52" s="3" t="str">
        <f>IF(Table2[[#This Row],[MonthlyIncome]]&lt;=5000, "$1001 - $5000", IF(Table2[[#This Row],[MonthlyIncome]]&lt;=9000, "$5001 - $9000", IF(Table2[[#This Row],[MonthlyIncome]]&lt;=13000, "$9001 - $13000", IF(Table2[[#This Row],[MonthlyIncome]]&lt;=17000, "$13001 - $17000", IF(Table2[[#This Row],[MonthlyIncome]]&lt;=21000, "$17001 - $21000")))))</f>
        <v>$5001 - $9000</v>
      </c>
      <c r="P52">
        <v>9</v>
      </c>
      <c r="Q52">
        <v>3</v>
      </c>
      <c r="R52">
        <v>1</v>
      </c>
      <c r="S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3" spans="1:19" ht="14.25" x14ac:dyDescent="0.2">
      <c r="A53">
        <v>82129368</v>
      </c>
      <c r="B53">
        <v>28</v>
      </c>
      <c r="C53" t="s">
        <v>25</v>
      </c>
      <c r="D53" t="s">
        <v>19</v>
      </c>
      <c r="E53" t="s">
        <v>16</v>
      </c>
      <c r="F53">
        <f>IF(Table2[[#This Row],[Attrition]]="Yes", 1, 0)</f>
        <v>1</v>
      </c>
      <c r="G53" t="s">
        <v>28</v>
      </c>
      <c r="H53" t="s">
        <v>23</v>
      </c>
      <c r="I53">
        <v>5</v>
      </c>
      <c r="J53">
        <v>4</v>
      </c>
      <c r="K53" t="s">
        <v>37</v>
      </c>
      <c r="L53">
        <v>3</v>
      </c>
      <c r="M53">
        <v>3</v>
      </c>
      <c r="N53" s="3">
        <v>3441</v>
      </c>
      <c r="O53" s="3" t="str">
        <f>IF(Table2[[#This Row],[MonthlyIncome]]&lt;=5000, "$1001 - $5000", IF(Table2[[#This Row],[MonthlyIncome]]&lt;=9000, "$5001 - $9000", IF(Table2[[#This Row],[MonthlyIncome]]&lt;=13000, "$9001 - $13000", IF(Table2[[#This Row],[MonthlyIncome]]&lt;=17000, "$13001 - $17000", IF(Table2[[#This Row],[MonthlyIncome]]&lt;=21000, "$17001 - $21000")))))</f>
        <v>$1001 - $5000</v>
      </c>
      <c r="P53">
        <v>1</v>
      </c>
      <c r="Q53">
        <v>2</v>
      </c>
      <c r="R53">
        <v>2</v>
      </c>
      <c r="S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4" spans="1:19" ht="14.25" x14ac:dyDescent="0.2">
      <c r="A54">
        <v>79887047</v>
      </c>
      <c r="B54">
        <v>44</v>
      </c>
      <c r="C54" t="s">
        <v>20</v>
      </c>
      <c r="D54" t="s">
        <v>30</v>
      </c>
      <c r="E54" t="s">
        <v>22</v>
      </c>
      <c r="F54">
        <f>IF(Table2[[#This Row],[Attrition]]="Yes", 1, 0)</f>
        <v>0</v>
      </c>
      <c r="G54" t="s">
        <v>21</v>
      </c>
      <c r="H54" t="s">
        <v>17</v>
      </c>
      <c r="I54">
        <v>1</v>
      </c>
      <c r="J54">
        <v>5</v>
      </c>
      <c r="K54" t="s">
        <v>36</v>
      </c>
      <c r="L54">
        <v>2</v>
      </c>
      <c r="M54">
        <v>1</v>
      </c>
      <c r="N54" s="3">
        <v>5454</v>
      </c>
      <c r="O54" s="3" t="str">
        <f>IF(Table2[[#This Row],[MonthlyIncome]]&lt;=5000, "$1001 - $5000", IF(Table2[[#This Row],[MonthlyIncome]]&lt;=9000, "$5001 - $9000", IF(Table2[[#This Row],[MonthlyIncome]]&lt;=13000, "$9001 - $13000", IF(Table2[[#This Row],[MonthlyIncome]]&lt;=17000, "$13001 - $17000", IF(Table2[[#This Row],[MonthlyIncome]]&lt;=21000, "$17001 - $21000")))))</f>
        <v>$5001 - $9000</v>
      </c>
      <c r="P54">
        <v>5</v>
      </c>
      <c r="Q54">
        <v>2</v>
      </c>
      <c r="R54">
        <v>4</v>
      </c>
      <c r="S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5" spans="1:19" ht="14.25" x14ac:dyDescent="0.2">
      <c r="A55">
        <v>35902546</v>
      </c>
      <c r="B55">
        <v>35</v>
      </c>
      <c r="C55" t="s">
        <v>25</v>
      </c>
      <c r="D55" t="s">
        <v>24</v>
      </c>
      <c r="E55" t="s">
        <v>22</v>
      </c>
      <c r="F55">
        <f>IF(Table2[[#This Row],[Attrition]]="Yes", 1, 0)</f>
        <v>0</v>
      </c>
      <c r="G55" t="s">
        <v>32</v>
      </c>
      <c r="H55" t="s">
        <v>23</v>
      </c>
      <c r="I55">
        <v>11</v>
      </c>
      <c r="J55">
        <v>2</v>
      </c>
      <c r="K55" t="s">
        <v>29</v>
      </c>
      <c r="L55">
        <v>3</v>
      </c>
      <c r="M55">
        <v>1</v>
      </c>
      <c r="N55" s="3">
        <v>9884</v>
      </c>
      <c r="O55" s="3" t="str">
        <f>IF(Table2[[#This Row],[MonthlyIncome]]&lt;=5000, "$1001 - $5000", IF(Table2[[#This Row],[MonthlyIncome]]&lt;=9000, "$5001 - $9000", IF(Table2[[#This Row],[MonthlyIncome]]&lt;=13000, "$9001 - $13000", IF(Table2[[#This Row],[MonthlyIncome]]&lt;=17000, "$13001 - $17000", IF(Table2[[#This Row],[MonthlyIncome]]&lt;=21000, "$17001 - $21000")))))</f>
        <v>$9001 - $13000</v>
      </c>
      <c r="P55">
        <v>2</v>
      </c>
      <c r="Q55">
        <v>3</v>
      </c>
      <c r="R55">
        <v>4</v>
      </c>
      <c r="S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6" spans="1:19" ht="14.25" x14ac:dyDescent="0.2">
      <c r="A56">
        <v>36731955</v>
      </c>
      <c r="B56">
        <v>26</v>
      </c>
      <c r="C56" t="s">
        <v>20</v>
      </c>
      <c r="D56" t="s">
        <v>24</v>
      </c>
      <c r="E56" t="s">
        <v>22</v>
      </c>
      <c r="F56">
        <f>IF(Table2[[#This Row],[Attrition]]="Yes", 1, 0)</f>
        <v>0</v>
      </c>
      <c r="G56" t="s">
        <v>21</v>
      </c>
      <c r="H56" t="s">
        <v>17</v>
      </c>
      <c r="I56">
        <v>23</v>
      </c>
      <c r="J56">
        <v>3</v>
      </c>
      <c r="K56" t="s">
        <v>36</v>
      </c>
      <c r="L56">
        <v>3</v>
      </c>
      <c r="M56">
        <v>4</v>
      </c>
      <c r="N56" s="3">
        <v>4157</v>
      </c>
      <c r="O56" s="3" t="str">
        <f>IF(Table2[[#This Row],[MonthlyIncome]]&lt;=5000, "$1001 - $5000", IF(Table2[[#This Row],[MonthlyIncome]]&lt;=9000, "$5001 - $9000", IF(Table2[[#This Row],[MonthlyIncome]]&lt;=13000, "$9001 - $13000", IF(Table2[[#This Row],[MonthlyIncome]]&lt;=17000, "$13001 - $17000", IF(Table2[[#This Row],[MonthlyIncome]]&lt;=21000, "$17001 - $21000")))))</f>
        <v>$1001 - $5000</v>
      </c>
      <c r="P56">
        <v>7</v>
      </c>
      <c r="Q56">
        <v>2</v>
      </c>
      <c r="R56">
        <v>2</v>
      </c>
      <c r="S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7" spans="1:19" ht="14.25" x14ac:dyDescent="0.2">
      <c r="A57">
        <v>45224123</v>
      </c>
      <c r="B57">
        <v>33</v>
      </c>
      <c r="C57" t="s">
        <v>20</v>
      </c>
      <c r="D57" t="s">
        <v>19</v>
      </c>
      <c r="E57" t="s">
        <v>22</v>
      </c>
      <c r="F57">
        <f>IF(Table2[[#This Row],[Attrition]]="Yes", 1, 0)</f>
        <v>0</v>
      </c>
      <c r="G57" t="s">
        <v>35</v>
      </c>
      <c r="H57" t="s">
        <v>23</v>
      </c>
      <c r="I57">
        <v>1</v>
      </c>
      <c r="J57">
        <v>2</v>
      </c>
      <c r="K57" t="s">
        <v>18</v>
      </c>
      <c r="L57">
        <v>1</v>
      </c>
      <c r="M57">
        <v>4</v>
      </c>
      <c r="N57" s="3">
        <v>13458</v>
      </c>
      <c r="O57" s="3" t="str">
        <f>IF(Table2[[#This Row],[MonthlyIncome]]&lt;=5000, "$1001 - $5000", IF(Table2[[#This Row],[MonthlyIncome]]&lt;=9000, "$5001 - $9000", IF(Table2[[#This Row],[MonthlyIncome]]&lt;=13000, "$9001 - $13000", IF(Table2[[#This Row],[MonthlyIncome]]&lt;=17000, "$13001 - $17000", IF(Table2[[#This Row],[MonthlyIncome]]&lt;=21000, "$17001 - $21000")))))</f>
        <v>$13001 - $17000</v>
      </c>
      <c r="P57">
        <v>1</v>
      </c>
      <c r="Q57">
        <v>3</v>
      </c>
      <c r="R57">
        <v>15</v>
      </c>
      <c r="S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58" spans="1:19" ht="14.25" x14ac:dyDescent="0.2">
      <c r="A58">
        <v>31281075</v>
      </c>
      <c r="B58">
        <v>35</v>
      </c>
      <c r="C58" t="s">
        <v>25</v>
      </c>
      <c r="D58" t="s">
        <v>24</v>
      </c>
      <c r="E58" t="s">
        <v>22</v>
      </c>
      <c r="F58">
        <f>IF(Table2[[#This Row],[Attrition]]="Yes", 1, 0)</f>
        <v>0</v>
      </c>
      <c r="G58" t="s">
        <v>21</v>
      </c>
      <c r="H58" t="s">
        <v>17</v>
      </c>
      <c r="I58">
        <v>18</v>
      </c>
      <c r="J58">
        <v>5</v>
      </c>
      <c r="K58" t="s">
        <v>18</v>
      </c>
      <c r="L58">
        <v>2</v>
      </c>
      <c r="M58">
        <v>1</v>
      </c>
      <c r="N58" s="3">
        <v>9069</v>
      </c>
      <c r="O58" s="3" t="str">
        <f>IF(Table2[[#This Row],[MonthlyIncome]]&lt;=5000, "$1001 - $5000", IF(Table2[[#This Row],[MonthlyIncome]]&lt;=9000, "$5001 - $9000", IF(Table2[[#This Row],[MonthlyIncome]]&lt;=13000, "$9001 - $13000", IF(Table2[[#This Row],[MonthlyIncome]]&lt;=17000, "$13001 - $17000", IF(Table2[[#This Row],[MonthlyIncome]]&lt;=21000, "$17001 - $21000")))))</f>
        <v>$9001 - $13000</v>
      </c>
      <c r="P58">
        <v>1</v>
      </c>
      <c r="Q58">
        <v>2</v>
      </c>
      <c r="R58">
        <v>9</v>
      </c>
      <c r="S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9" spans="1:19" ht="14.25" x14ac:dyDescent="0.2">
      <c r="A59">
        <v>32086156</v>
      </c>
      <c r="B59">
        <v>35</v>
      </c>
      <c r="C59" t="s">
        <v>20</v>
      </c>
      <c r="D59" t="s">
        <v>24</v>
      </c>
      <c r="E59" t="s">
        <v>22</v>
      </c>
      <c r="F59">
        <f>IF(Table2[[#This Row],[Attrition]]="Yes", 1, 0)</f>
        <v>0</v>
      </c>
      <c r="G59" t="s">
        <v>28</v>
      </c>
      <c r="H59" t="s">
        <v>23</v>
      </c>
      <c r="I59">
        <v>23</v>
      </c>
      <c r="J59">
        <v>4</v>
      </c>
      <c r="K59" t="s">
        <v>29</v>
      </c>
      <c r="L59">
        <v>3</v>
      </c>
      <c r="M59">
        <v>1</v>
      </c>
      <c r="N59" s="3">
        <v>4014</v>
      </c>
      <c r="O59" s="3" t="str">
        <f>IF(Table2[[#This Row],[MonthlyIncome]]&lt;=5000, "$1001 - $5000", IF(Table2[[#This Row],[MonthlyIncome]]&lt;=9000, "$5001 - $9000", IF(Table2[[#This Row],[MonthlyIncome]]&lt;=13000, "$9001 - $13000", IF(Table2[[#This Row],[MonthlyIncome]]&lt;=17000, "$13001 - $17000", IF(Table2[[#This Row],[MonthlyIncome]]&lt;=21000, "$17001 - $21000")))))</f>
        <v>$1001 - $5000</v>
      </c>
      <c r="P59">
        <v>3</v>
      </c>
      <c r="Q59">
        <v>3</v>
      </c>
      <c r="R59">
        <v>2</v>
      </c>
      <c r="S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0" spans="1:19" ht="14.25" x14ac:dyDescent="0.2">
      <c r="A60">
        <v>36680747</v>
      </c>
      <c r="B60">
        <v>31</v>
      </c>
      <c r="C60" t="s">
        <v>25</v>
      </c>
      <c r="D60" t="s">
        <v>30</v>
      </c>
      <c r="E60" t="s">
        <v>22</v>
      </c>
      <c r="F60">
        <f>IF(Table2[[#This Row],[Attrition]]="Yes", 1, 0)</f>
        <v>0</v>
      </c>
      <c r="G60" t="s">
        <v>28</v>
      </c>
      <c r="H60" t="s">
        <v>23</v>
      </c>
      <c r="I60">
        <v>7</v>
      </c>
      <c r="J60">
        <v>4</v>
      </c>
      <c r="K60" t="s">
        <v>18</v>
      </c>
      <c r="L60">
        <v>4</v>
      </c>
      <c r="M60">
        <v>4</v>
      </c>
      <c r="N60" s="3">
        <v>5915</v>
      </c>
      <c r="O60" s="3" t="str">
        <f>IF(Table2[[#This Row],[MonthlyIncome]]&lt;=5000, "$1001 - $5000", IF(Table2[[#This Row],[MonthlyIncome]]&lt;=9000, "$5001 - $9000", IF(Table2[[#This Row],[MonthlyIncome]]&lt;=13000, "$9001 - $13000", IF(Table2[[#This Row],[MonthlyIncome]]&lt;=17000, "$13001 - $17000", IF(Table2[[#This Row],[MonthlyIncome]]&lt;=21000, "$17001 - $21000")))))</f>
        <v>$5001 - $9000</v>
      </c>
      <c r="P60">
        <v>3</v>
      </c>
      <c r="Q60">
        <v>2</v>
      </c>
      <c r="R60">
        <v>7</v>
      </c>
      <c r="S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1" spans="1:19" ht="14.25" x14ac:dyDescent="0.2">
      <c r="A61">
        <v>48950818</v>
      </c>
      <c r="B61">
        <v>37</v>
      </c>
      <c r="C61" t="s">
        <v>25</v>
      </c>
      <c r="D61" t="s">
        <v>30</v>
      </c>
      <c r="E61" t="s">
        <v>22</v>
      </c>
      <c r="F61">
        <f>IF(Table2[[#This Row],[Attrition]]="Yes", 1, 0)</f>
        <v>0</v>
      </c>
      <c r="G61" t="s">
        <v>31</v>
      </c>
      <c r="H61" t="s">
        <v>23</v>
      </c>
      <c r="I61">
        <v>1</v>
      </c>
      <c r="J61">
        <v>4</v>
      </c>
      <c r="K61" t="s">
        <v>18</v>
      </c>
      <c r="L61">
        <v>1</v>
      </c>
      <c r="M61">
        <v>3</v>
      </c>
      <c r="N61" s="3">
        <v>5993</v>
      </c>
      <c r="O61" s="3" t="str">
        <f>IF(Table2[[#This Row],[MonthlyIncome]]&lt;=5000, "$1001 - $5000", IF(Table2[[#This Row],[MonthlyIncome]]&lt;=9000, "$5001 - $9000", IF(Table2[[#This Row],[MonthlyIncome]]&lt;=13000, "$9001 - $13000", IF(Table2[[#This Row],[MonthlyIncome]]&lt;=17000, "$13001 - $17000", IF(Table2[[#This Row],[MonthlyIncome]]&lt;=21000, "$17001 - $21000")))))</f>
        <v>$5001 - $9000</v>
      </c>
      <c r="P61">
        <v>1</v>
      </c>
      <c r="Q61">
        <v>4</v>
      </c>
      <c r="R61">
        <v>7</v>
      </c>
      <c r="S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2" spans="1:19" ht="14.25" x14ac:dyDescent="0.2">
      <c r="A62">
        <v>49713929</v>
      </c>
      <c r="B62">
        <v>32</v>
      </c>
      <c r="C62" t="s">
        <v>25</v>
      </c>
      <c r="D62" t="s">
        <v>24</v>
      </c>
      <c r="E62" t="s">
        <v>22</v>
      </c>
      <c r="F62">
        <f>IF(Table2[[#This Row],[Attrition]]="Yes", 1, 0)</f>
        <v>0</v>
      </c>
      <c r="G62" t="s">
        <v>31</v>
      </c>
      <c r="H62" t="s">
        <v>23</v>
      </c>
      <c r="I62">
        <v>1</v>
      </c>
      <c r="J62">
        <v>3</v>
      </c>
      <c r="K62" t="s">
        <v>29</v>
      </c>
      <c r="L62">
        <v>1</v>
      </c>
      <c r="M62">
        <v>4</v>
      </c>
      <c r="N62" s="3">
        <v>6162</v>
      </c>
      <c r="O62" s="3" t="str">
        <f>IF(Table2[[#This Row],[MonthlyIncome]]&lt;=5000, "$1001 - $5000", IF(Table2[[#This Row],[MonthlyIncome]]&lt;=9000, "$5001 - $9000", IF(Table2[[#This Row],[MonthlyIncome]]&lt;=13000, "$9001 - $13000", IF(Table2[[#This Row],[MonthlyIncome]]&lt;=17000, "$13001 - $17000", IF(Table2[[#This Row],[MonthlyIncome]]&lt;=21000, "$17001 - $21000")))))</f>
        <v>$5001 - $9000</v>
      </c>
      <c r="P62">
        <v>1</v>
      </c>
      <c r="Q62">
        <v>3</v>
      </c>
      <c r="R62">
        <v>9</v>
      </c>
      <c r="S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3" spans="1:19" ht="14.25" x14ac:dyDescent="0.2">
      <c r="A63">
        <v>52055487</v>
      </c>
      <c r="B63">
        <v>38</v>
      </c>
      <c r="C63" t="s">
        <v>20</v>
      </c>
      <c r="D63" t="s">
        <v>19</v>
      </c>
      <c r="E63" t="s">
        <v>22</v>
      </c>
      <c r="F63">
        <f>IF(Table2[[#This Row],[Attrition]]="Yes", 1, 0)</f>
        <v>0</v>
      </c>
      <c r="G63" t="s">
        <v>28</v>
      </c>
      <c r="H63" t="s">
        <v>23</v>
      </c>
      <c r="I63">
        <v>29</v>
      </c>
      <c r="J63">
        <v>5</v>
      </c>
      <c r="K63" t="s">
        <v>18</v>
      </c>
      <c r="L63">
        <v>4</v>
      </c>
      <c r="M63">
        <v>4</v>
      </c>
      <c r="N63" s="3">
        <v>2406</v>
      </c>
      <c r="O63" s="3" t="str">
        <f>IF(Table2[[#This Row],[MonthlyIncome]]&lt;=5000, "$1001 - $5000", IF(Table2[[#This Row],[MonthlyIncome]]&lt;=9000, "$5001 - $9000", IF(Table2[[#This Row],[MonthlyIncome]]&lt;=13000, "$9001 - $13000", IF(Table2[[#This Row],[MonthlyIncome]]&lt;=17000, "$13001 - $17000", IF(Table2[[#This Row],[MonthlyIncome]]&lt;=21000, "$17001 - $21000")))))</f>
        <v>$1001 - $5000</v>
      </c>
      <c r="P63">
        <v>1</v>
      </c>
      <c r="Q63">
        <v>3</v>
      </c>
      <c r="R63">
        <v>10</v>
      </c>
      <c r="S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64" spans="1:19" ht="14.25" x14ac:dyDescent="0.2">
      <c r="A64">
        <v>67483153</v>
      </c>
      <c r="B64">
        <v>50</v>
      </c>
      <c r="C64" t="s">
        <v>20</v>
      </c>
      <c r="D64" t="s">
        <v>30</v>
      </c>
      <c r="E64" t="s">
        <v>22</v>
      </c>
      <c r="F64">
        <f>IF(Table2[[#This Row],[Attrition]]="Yes", 1, 0)</f>
        <v>0</v>
      </c>
      <c r="G64" t="s">
        <v>35</v>
      </c>
      <c r="H64" t="s">
        <v>23</v>
      </c>
      <c r="I64">
        <v>7</v>
      </c>
      <c r="J64">
        <v>2</v>
      </c>
      <c r="K64" t="s">
        <v>29</v>
      </c>
      <c r="L64">
        <v>2</v>
      </c>
      <c r="M64">
        <v>3</v>
      </c>
      <c r="N64" s="3">
        <v>18740</v>
      </c>
      <c r="O64" s="3" t="str">
        <f>IF(Table2[[#This Row],[MonthlyIncome]]&lt;=5000, "$1001 - $5000", IF(Table2[[#This Row],[MonthlyIncome]]&lt;=9000, "$5001 - $9000", IF(Table2[[#This Row],[MonthlyIncome]]&lt;=13000, "$9001 - $13000", IF(Table2[[#This Row],[MonthlyIncome]]&lt;=17000, "$13001 - $17000", IF(Table2[[#This Row],[MonthlyIncome]]&lt;=21000, "$17001 - $21000")))))</f>
        <v>$17001 - $21000</v>
      </c>
      <c r="P64">
        <v>5</v>
      </c>
      <c r="Q64">
        <v>2</v>
      </c>
      <c r="R64">
        <v>27</v>
      </c>
      <c r="S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25 - 30 Years</v>
      </c>
    </row>
    <row r="65" spans="1:19" ht="14.25" x14ac:dyDescent="0.2">
      <c r="A65">
        <v>44378664</v>
      </c>
      <c r="B65">
        <v>59</v>
      </c>
      <c r="C65" t="s">
        <v>20</v>
      </c>
      <c r="D65" t="s">
        <v>19</v>
      </c>
      <c r="E65" t="s">
        <v>22</v>
      </c>
      <c r="F65">
        <f>IF(Table2[[#This Row],[Attrition]]="Yes", 1, 0)</f>
        <v>0</v>
      </c>
      <c r="G65" t="s">
        <v>21</v>
      </c>
      <c r="H65" t="s">
        <v>17</v>
      </c>
      <c r="I65">
        <v>25</v>
      </c>
      <c r="J65">
        <v>3</v>
      </c>
      <c r="K65" t="s">
        <v>18</v>
      </c>
      <c r="L65">
        <v>1</v>
      </c>
      <c r="M65">
        <v>1</v>
      </c>
      <c r="N65" s="3">
        <v>7637</v>
      </c>
      <c r="O65" s="3" t="str">
        <f>IF(Table2[[#This Row],[MonthlyIncome]]&lt;=5000, "$1001 - $5000", IF(Table2[[#This Row],[MonthlyIncome]]&lt;=9000, "$5001 - $9000", IF(Table2[[#This Row],[MonthlyIncome]]&lt;=13000, "$9001 - $13000", IF(Table2[[#This Row],[MonthlyIncome]]&lt;=17000, "$13001 - $17000", IF(Table2[[#This Row],[MonthlyIncome]]&lt;=21000, "$17001 - $21000")))))</f>
        <v>$5001 - $9000</v>
      </c>
      <c r="P65">
        <v>7</v>
      </c>
      <c r="Q65">
        <v>2</v>
      </c>
      <c r="R65">
        <v>21</v>
      </c>
      <c r="S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66" spans="1:19" ht="14.25" x14ac:dyDescent="0.2">
      <c r="A66">
        <v>37851200</v>
      </c>
      <c r="B66">
        <v>36</v>
      </c>
      <c r="C66" t="s">
        <v>20</v>
      </c>
      <c r="D66" t="s">
        <v>30</v>
      </c>
      <c r="E66" t="s">
        <v>22</v>
      </c>
      <c r="F66">
        <f>IF(Table2[[#This Row],[Attrition]]="Yes", 1, 0)</f>
        <v>0</v>
      </c>
      <c r="G66" t="s">
        <v>32</v>
      </c>
      <c r="H66" t="s">
        <v>23</v>
      </c>
      <c r="I66">
        <v>8</v>
      </c>
      <c r="J66">
        <v>3</v>
      </c>
      <c r="K66" t="s">
        <v>37</v>
      </c>
      <c r="L66">
        <v>3</v>
      </c>
      <c r="M66">
        <v>3</v>
      </c>
      <c r="N66" s="3">
        <v>10096</v>
      </c>
      <c r="O66" s="3" t="str">
        <f>IF(Table2[[#This Row],[MonthlyIncome]]&lt;=5000, "$1001 - $5000", IF(Table2[[#This Row],[MonthlyIncome]]&lt;=9000, "$5001 - $9000", IF(Table2[[#This Row],[MonthlyIncome]]&lt;=13000, "$9001 - $13000", IF(Table2[[#This Row],[MonthlyIncome]]&lt;=17000, "$13001 - $17000", IF(Table2[[#This Row],[MonthlyIncome]]&lt;=21000, "$17001 - $21000")))))</f>
        <v>$9001 - $13000</v>
      </c>
      <c r="P66">
        <v>1</v>
      </c>
      <c r="Q66">
        <v>3</v>
      </c>
      <c r="R66">
        <v>17</v>
      </c>
      <c r="S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67" spans="1:19" ht="14.25" x14ac:dyDescent="0.2">
      <c r="A67">
        <v>81609955</v>
      </c>
      <c r="B67">
        <v>55</v>
      </c>
      <c r="C67" t="s">
        <v>20</v>
      </c>
      <c r="D67" t="s">
        <v>30</v>
      </c>
      <c r="E67" t="s">
        <v>22</v>
      </c>
      <c r="F67">
        <f>IF(Table2[[#This Row],[Attrition]]="Yes", 1, 0)</f>
        <v>0</v>
      </c>
      <c r="G67" t="s">
        <v>33</v>
      </c>
      <c r="H67" t="s">
        <v>23</v>
      </c>
      <c r="I67">
        <v>8</v>
      </c>
      <c r="J67">
        <v>3</v>
      </c>
      <c r="K67" t="s">
        <v>29</v>
      </c>
      <c r="L67">
        <v>4</v>
      </c>
      <c r="M67">
        <v>3</v>
      </c>
      <c r="N67" s="3">
        <v>14756</v>
      </c>
      <c r="O67" s="3" t="str">
        <f>IF(Table2[[#This Row],[MonthlyIncome]]&lt;=5000, "$1001 - $5000", IF(Table2[[#This Row],[MonthlyIncome]]&lt;=9000, "$5001 - $9000", IF(Table2[[#This Row],[MonthlyIncome]]&lt;=13000, "$9001 - $13000", IF(Table2[[#This Row],[MonthlyIncome]]&lt;=17000, "$13001 - $17000", IF(Table2[[#This Row],[MonthlyIncome]]&lt;=21000, "$17001 - $21000")))))</f>
        <v>$13001 - $17000</v>
      </c>
      <c r="P67">
        <v>2</v>
      </c>
      <c r="Q67">
        <v>3</v>
      </c>
      <c r="R67">
        <v>5</v>
      </c>
      <c r="S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8" spans="1:19" ht="14.25" x14ac:dyDescent="0.2">
      <c r="A68">
        <v>73780446</v>
      </c>
      <c r="B68">
        <v>36</v>
      </c>
      <c r="C68" t="s">
        <v>25</v>
      </c>
      <c r="D68" t="s">
        <v>19</v>
      </c>
      <c r="E68" t="s">
        <v>22</v>
      </c>
      <c r="F68">
        <f>IF(Table2[[#This Row],[Attrition]]="Yes", 1, 0)</f>
        <v>0</v>
      </c>
      <c r="G68" t="s">
        <v>31</v>
      </c>
      <c r="H68" t="s">
        <v>23</v>
      </c>
      <c r="I68">
        <v>11</v>
      </c>
      <c r="J68">
        <v>3</v>
      </c>
      <c r="K68" t="s">
        <v>18</v>
      </c>
      <c r="L68">
        <v>2</v>
      </c>
      <c r="M68">
        <v>2</v>
      </c>
      <c r="N68" s="3">
        <v>6499</v>
      </c>
      <c r="O68" s="3" t="str">
        <f>IF(Table2[[#This Row],[MonthlyIncome]]&lt;=5000, "$1001 - $5000", IF(Table2[[#This Row],[MonthlyIncome]]&lt;=9000, "$5001 - $9000", IF(Table2[[#This Row],[MonthlyIncome]]&lt;=13000, "$9001 - $13000", IF(Table2[[#This Row],[MonthlyIncome]]&lt;=17000, "$13001 - $17000", IF(Table2[[#This Row],[MonthlyIncome]]&lt;=21000, "$17001 - $21000")))))</f>
        <v>$5001 - $9000</v>
      </c>
      <c r="P68">
        <v>1</v>
      </c>
      <c r="Q68">
        <v>3</v>
      </c>
      <c r="R68">
        <v>6</v>
      </c>
      <c r="S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9" spans="1:19" ht="14.25" x14ac:dyDescent="0.2">
      <c r="A69">
        <v>14316835</v>
      </c>
      <c r="B69">
        <v>45</v>
      </c>
      <c r="C69" t="s">
        <v>25</v>
      </c>
      <c r="D69" t="s">
        <v>30</v>
      </c>
      <c r="E69" t="s">
        <v>22</v>
      </c>
      <c r="F69">
        <f>IF(Table2[[#This Row],[Attrition]]="Yes", 1, 0)</f>
        <v>0</v>
      </c>
      <c r="G69" t="s">
        <v>26</v>
      </c>
      <c r="H69" t="s">
        <v>23</v>
      </c>
      <c r="I69">
        <v>7</v>
      </c>
      <c r="J69">
        <v>3</v>
      </c>
      <c r="K69" t="s">
        <v>18</v>
      </c>
      <c r="L69">
        <v>2</v>
      </c>
      <c r="M69">
        <v>1</v>
      </c>
      <c r="N69" s="3">
        <v>9724</v>
      </c>
      <c r="O69" s="3" t="str">
        <f>IF(Table2[[#This Row],[MonthlyIncome]]&lt;=5000, "$1001 - $5000", IF(Table2[[#This Row],[MonthlyIncome]]&lt;=9000, "$5001 - $9000", IF(Table2[[#This Row],[MonthlyIncome]]&lt;=13000, "$9001 - $13000", IF(Table2[[#This Row],[MonthlyIncome]]&lt;=17000, "$13001 - $17000", IF(Table2[[#This Row],[MonthlyIncome]]&lt;=21000, "$17001 - $21000")))))</f>
        <v>$9001 - $13000</v>
      </c>
      <c r="P69">
        <v>2</v>
      </c>
      <c r="Q69">
        <v>3</v>
      </c>
      <c r="R69">
        <v>1</v>
      </c>
      <c r="S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0" spans="1:19" ht="14.25" x14ac:dyDescent="0.2">
      <c r="A70">
        <v>86321277</v>
      </c>
      <c r="B70">
        <v>35</v>
      </c>
      <c r="C70" t="s">
        <v>25</v>
      </c>
      <c r="D70" t="s">
        <v>24</v>
      </c>
      <c r="E70" t="s">
        <v>22</v>
      </c>
      <c r="F70">
        <f>IF(Table2[[#This Row],[Attrition]]="Yes", 1, 0)</f>
        <v>0</v>
      </c>
      <c r="G70" t="s">
        <v>26</v>
      </c>
      <c r="H70" t="s">
        <v>23</v>
      </c>
      <c r="I70">
        <v>1</v>
      </c>
      <c r="J70">
        <v>3</v>
      </c>
      <c r="K70" t="s">
        <v>29</v>
      </c>
      <c r="L70">
        <v>2</v>
      </c>
      <c r="M70">
        <v>1</v>
      </c>
      <c r="N70" s="3">
        <v>2194</v>
      </c>
      <c r="O70" s="3" t="str">
        <f>IF(Table2[[#This Row],[MonthlyIncome]]&lt;=5000, "$1001 - $5000", IF(Table2[[#This Row],[MonthlyIncome]]&lt;=9000, "$5001 - $9000", IF(Table2[[#This Row],[MonthlyIncome]]&lt;=13000, "$9001 - $13000", IF(Table2[[#This Row],[MonthlyIncome]]&lt;=17000, "$13001 - $17000", IF(Table2[[#This Row],[MonthlyIncome]]&lt;=21000, "$17001 - $21000")))))</f>
        <v>$1001 - $5000</v>
      </c>
      <c r="P70">
        <v>4</v>
      </c>
      <c r="Q70">
        <v>2</v>
      </c>
      <c r="R70">
        <v>3</v>
      </c>
      <c r="S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1" spans="1:19" ht="14.25" x14ac:dyDescent="0.2">
      <c r="A71">
        <v>64519051</v>
      </c>
      <c r="B71">
        <v>36</v>
      </c>
      <c r="C71" t="s">
        <v>25</v>
      </c>
      <c r="D71" t="s">
        <v>24</v>
      </c>
      <c r="E71" t="s">
        <v>16</v>
      </c>
      <c r="F71">
        <f>IF(Table2[[#This Row],[Attrition]]="Yes", 1, 0)</f>
        <v>1</v>
      </c>
      <c r="G71" t="s">
        <v>26</v>
      </c>
      <c r="H71" t="s">
        <v>23</v>
      </c>
      <c r="I71">
        <v>9</v>
      </c>
      <c r="J71">
        <v>3</v>
      </c>
      <c r="K71" t="s">
        <v>29</v>
      </c>
      <c r="L71">
        <v>4</v>
      </c>
      <c r="M71">
        <v>3</v>
      </c>
      <c r="N71" s="3">
        <v>3388</v>
      </c>
      <c r="O71" s="3" t="str">
        <f>IF(Table2[[#This Row],[MonthlyIncome]]&lt;=5000, "$1001 - $5000", IF(Table2[[#This Row],[MonthlyIncome]]&lt;=9000, "$5001 - $9000", IF(Table2[[#This Row],[MonthlyIncome]]&lt;=13000, "$9001 - $13000", IF(Table2[[#This Row],[MonthlyIncome]]&lt;=17000, "$13001 - $17000", IF(Table2[[#This Row],[MonthlyIncome]]&lt;=21000, "$17001 - $21000")))))</f>
        <v>$1001 - $5000</v>
      </c>
      <c r="P71">
        <v>0</v>
      </c>
      <c r="Q71">
        <v>2</v>
      </c>
      <c r="R71">
        <v>1</v>
      </c>
      <c r="S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2" spans="1:19" ht="14.25" x14ac:dyDescent="0.2">
      <c r="A72">
        <v>36060947</v>
      </c>
      <c r="B72">
        <v>59</v>
      </c>
      <c r="C72" t="s">
        <v>20</v>
      </c>
      <c r="D72" t="s">
        <v>19</v>
      </c>
      <c r="E72" t="s">
        <v>22</v>
      </c>
      <c r="F72">
        <f>IF(Table2[[#This Row],[Attrition]]="Yes", 1, 0)</f>
        <v>0</v>
      </c>
      <c r="G72" t="s">
        <v>21</v>
      </c>
      <c r="H72" t="s">
        <v>17</v>
      </c>
      <c r="I72">
        <v>1</v>
      </c>
      <c r="J72">
        <v>1</v>
      </c>
      <c r="K72" t="s">
        <v>18</v>
      </c>
      <c r="L72">
        <v>1</v>
      </c>
      <c r="M72">
        <v>3</v>
      </c>
      <c r="N72" s="3">
        <v>5473</v>
      </c>
      <c r="O72" s="3" t="str">
        <f>IF(Table2[[#This Row],[MonthlyIncome]]&lt;=5000, "$1001 - $5000", IF(Table2[[#This Row],[MonthlyIncome]]&lt;=9000, "$5001 - $9000", IF(Table2[[#This Row],[MonthlyIncome]]&lt;=13000, "$9001 - $13000", IF(Table2[[#This Row],[MonthlyIncome]]&lt;=17000, "$13001 - $17000", IF(Table2[[#This Row],[MonthlyIncome]]&lt;=21000, "$17001 - $21000")))))</f>
        <v>$5001 - $9000</v>
      </c>
      <c r="P72">
        <v>7</v>
      </c>
      <c r="Q72">
        <v>2</v>
      </c>
      <c r="R72">
        <v>4</v>
      </c>
      <c r="S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3" spans="1:19" ht="14.25" x14ac:dyDescent="0.2">
      <c r="A73">
        <v>18134134</v>
      </c>
      <c r="B73">
        <v>29</v>
      </c>
      <c r="C73" t="s">
        <v>25</v>
      </c>
      <c r="D73" t="s">
        <v>24</v>
      </c>
      <c r="E73" t="s">
        <v>22</v>
      </c>
      <c r="F73">
        <f>IF(Table2[[#This Row],[Attrition]]="Yes", 1, 0)</f>
        <v>0</v>
      </c>
      <c r="G73" t="s">
        <v>26</v>
      </c>
      <c r="H73" t="s">
        <v>23</v>
      </c>
      <c r="I73">
        <v>2</v>
      </c>
      <c r="J73">
        <v>3</v>
      </c>
      <c r="K73" t="s">
        <v>18</v>
      </c>
      <c r="L73">
        <v>3</v>
      </c>
      <c r="M73">
        <v>2</v>
      </c>
      <c r="N73" s="3">
        <v>2703</v>
      </c>
      <c r="O73" s="3" t="str">
        <f>IF(Table2[[#This Row],[MonthlyIncome]]&lt;=5000, "$1001 - $5000", IF(Table2[[#This Row],[MonthlyIncome]]&lt;=9000, "$5001 - $9000", IF(Table2[[#This Row],[MonthlyIncome]]&lt;=13000, "$9001 - $13000", IF(Table2[[#This Row],[MonthlyIncome]]&lt;=17000, "$13001 - $17000", IF(Table2[[#This Row],[MonthlyIncome]]&lt;=21000, "$17001 - $21000")))))</f>
        <v>$1001 - $5000</v>
      </c>
      <c r="P73">
        <v>0</v>
      </c>
      <c r="Q73">
        <v>3</v>
      </c>
      <c r="R73">
        <v>5</v>
      </c>
      <c r="S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4" spans="1:19" ht="14.25" x14ac:dyDescent="0.2">
      <c r="A74">
        <v>32968032</v>
      </c>
      <c r="B74">
        <v>31</v>
      </c>
      <c r="C74" t="s">
        <v>25</v>
      </c>
      <c r="D74" t="s">
        <v>19</v>
      </c>
      <c r="E74" t="s">
        <v>22</v>
      </c>
      <c r="F74">
        <f>IF(Table2[[#This Row],[Attrition]]="Yes", 1, 0)</f>
        <v>0</v>
      </c>
      <c r="G74" t="s">
        <v>26</v>
      </c>
      <c r="H74" t="s">
        <v>23</v>
      </c>
      <c r="I74">
        <v>1</v>
      </c>
      <c r="J74">
        <v>4</v>
      </c>
      <c r="K74" t="s">
        <v>29</v>
      </c>
      <c r="L74">
        <v>3</v>
      </c>
      <c r="M74">
        <v>2</v>
      </c>
      <c r="N74" s="3">
        <v>2501</v>
      </c>
      <c r="O74" s="3" t="str">
        <f>IF(Table2[[#This Row],[MonthlyIncome]]&lt;=5000, "$1001 - $5000", IF(Table2[[#This Row],[MonthlyIncome]]&lt;=9000, "$5001 - $9000", IF(Table2[[#This Row],[MonthlyIncome]]&lt;=13000, "$9001 - $13000", IF(Table2[[#This Row],[MonthlyIncome]]&lt;=17000, "$13001 - $17000", IF(Table2[[#This Row],[MonthlyIncome]]&lt;=21000, "$17001 - $21000")))))</f>
        <v>$1001 - $5000</v>
      </c>
      <c r="P74">
        <v>1</v>
      </c>
      <c r="Q74">
        <v>3</v>
      </c>
      <c r="R74">
        <v>1</v>
      </c>
      <c r="S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5" spans="1:19" ht="14.25" x14ac:dyDescent="0.2">
      <c r="A75">
        <v>55568284</v>
      </c>
      <c r="B75">
        <v>32</v>
      </c>
      <c r="C75" t="s">
        <v>25</v>
      </c>
      <c r="D75" t="s">
        <v>24</v>
      </c>
      <c r="E75" t="s">
        <v>22</v>
      </c>
      <c r="F75">
        <f>IF(Table2[[#This Row],[Attrition]]="Yes", 1, 0)</f>
        <v>0</v>
      </c>
      <c r="G75" t="s">
        <v>26</v>
      </c>
      <c r="H75" t="s">
        <v>23</v>
      </c>
      <c r="I75">
        <v>1</v>
      </c>
      <c r="J75">
        <v>3</v>
      </c>
      <c r="K75" t="s">
        <v>18</v>
      </c>
      <c r="L75">
        <v>2</v>
      </c>
      <c r="M75">
        <v>2</v>
      </c>
      <c r="N75" s="3">
        <v>6220</v>
      </c>
      <c r="O75" s="3" t="str">
        <f>IF(Table2[[#This Row],[MonthlyIncome]]&lt;=5000, "$1001 - $5000", IF(Table2[[#This Row],[MonthlyIncome]]&lt;=9000, "$5001 - $9000", IF(Table2[[#This Row],[MonthlyIncome]]&lt;=13000, "$9001 - $13000", IF(Table2[[#This Row],[MonthlyIncome]]&lt;=17000, "$13001 - $17000", IF(Table2[[#This Row],[MonthlyIncome]]&lt;=21000, "$17001 - $21000")))))</f>
        <v>$5001 - $9000</v>
      </c>
      <c r="P75">
        <v>1</v>
      </c>
      <c r="Q75">
        <v>3</v>
      </c>
      <c r="R75">
        <v>10</v>
      </c>
      <c r="S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76" spans="1:19" ht="14.25" x14ac:dyDescent="0.2">
      <c r="A76">
        <v>79437038</v>
      </c>
      <c r="B76">
        <v>36</v>
      </c>
      <c r="C76" t="s">
        <v>20</v>
      </c>
      <c r="D76" t="s">
        <v>24</v>
      </c>
      <c r="E76" t="s">
        <v>22</v>
      </c>
      <c r="F76">
        <f>IF(Table2[[#This Row],[Attrition]]="Yes", 1, 0)</f>
        <v>0</v>
      </c>
      <c r="G76" t="s">
        <v>28</v>
      </c>
      <c r="H76" t="s">
        <v>23</v>
      </c>
      <c r="I76">
        <v>6</v>
      </c>
      <c r="J76">
        <v>3</v>
      </c>
      <c r="K76" t="s">
        <v>18</v>
      </c>
      <c r="L76">
        <v>2</v>
      </c>
      <c r="M76">
        <v>4</v>
      </c>
      <c r="N76" s="3">
        <v>3038</v>
      </c>
      <c r="O76" s="3" t="str">
        <f>IF(Table2[[#This Row],[MonthlyIncome]]&lt;=5000, "$1001 - $5000", IF(Table2[[#This Row],[MonthlyIncome]]&lt;=9000, "$5001 - $9000", IF(Table2[[#This Row],[MonthlyIncome]]&lt;=13000, "$9001 - $13000", IF(Table2[[#This Row],[MonthlyIncome]]&lt;=17000, "$13001 - $17000", IF(Table2[[#This Row],[MonthlyIncome]]&lt;=21000, "$17001 - $21000")))))</f>
        <v>$1001 - $5000</v>
      </c>
      <c r="P76">
        <v>3</v>
      </c>
      <c r="Q76">
        <v>3</v>
      </c>
      <c r="R76">
        <v>1</v>
      </c>
      <c r="S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7" spans="1:19" ht="14.25" x14ac:dyDescent="0.2">
      <c r="A77">
        <v>88408940</v>
      </c>
      <c r="B77">
        <v>31</v>
      </c>
      <c r="C77" t="s">
        <v>20</v>
      </c>
      <c r="D77" t="s">
        <v>19</v>
      </c>
      <c r="E77" t="s">
        <v>22</v>
      </c>
      <c r="F77">
        <f>IF(Table2[[#This Row],[Attrition]]="Yes", 1, 0)</f>
        <v>0</v>
      </c>
      <c r="G77" t="s">
        <v>31</v>
      </c>
      <c r="H77" t="s">
        <v>23</v>
      </c>
      <c r="I77">
        <v>8</v>
      </c>
      <c r="J77">
        <v>4</v>
      </c>
      <c r="K77" t="s">
        <v>18</v>
      </c>
      <c r="L77">
        <v>3</v>
      </c>
      <c r="M77">
        <v>4</v>
      </c>
      <c r="N77" s="3">
        <v>4424</v>
      </c>
      <c r="O77" s="3" t="str">
        <f>IF(Table2[[#This Row],[MonthlyIncome]]&lt;=5000, "$1001 - $5000", IF(Table2[[#This Row],[MonthlyIncome]]&lt;=9000, "$5001 - $9000", IF(Table2[[#This Row],[MonthlyIncome]]&lt;=13000, "$9001 - $13000", IF(Table2[[#This Row],[MonthlyIncome]]&lt;=17000, "$13001 - $17000", IF(Table2[[#This Row],[MonthlyIncome]]&lt;=21000, "$17001 - $21000")))))</f>
        <v>$1001 - $5000</v>
      </c>
      <c r="P77">
        <v>1</v>
      </c>
      <c r="Q77">
        <v>3</v>
      </c>
      <c r="R77">
        <v>11</v>
      </c>
      <c r="S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78" spans="1:19" ht="14.25" x14ac:dyDescent="0.2">
      <c r="A78">
        <v>88167069</v>
      </c>
      <c r="B78">
        <v>35</v>
      </c>
      <c r="C78" t="s">
        <v>25</v>
      </c>
      <c r="D78" t="s">
        <v>19</v>
      </c>
      <c r="E78" t="s">
        <v>22</v>
      </c>
      <c r="F78">
        <f>IF(Table2[[#This Row],[Attrition]]="Yes", 1, 0)</f>
        <v>0</v>
      </c>
      <c r="G78" t="s">
        <v>21</v>
      </c>
      <c r="H78" t="s">
        <v>17</v>
      </c>
      <c r="I78">
        <v>1</v>
      </c>
      <c r="J78">
        <v>4</v>
      </c>
      <c r="K78" t="s">
        <v>36</v>
      </c>
      <c r="L78">
        <v>3</v>
      </c>
      <c r="M78">
        <v>1</v>
      </c>
      <c r="N78" s="3">
        <v>4312</v>
      </c>
      <c r="O78" s="3" t="str">
        <f>IF(Table2[[#This Row],[MonthlyIncome]]&lt;=5000, "$1001 - $5000", IF(Table2[[#This Row],[MonthlyIncome]]&lt;=9000, "$5001 - $9000", IF(Table2[[#This Row],[MonthlyIncome]]&lt;=13000, "$9001 - $13000", IF(Table2[[#This Row],[MonthlyIncome]]&lt;=17000, "$13001 - $17000", IF(Table2[[#This Row],[MonthlyIncome]]&lt;=21000, "$17001 - $21000")))))</f>
        <v>$1001 - $5000</v>
      </c>
      <c r="P78">
        <v>0</v>
      </c>
      <c r="Q78">
        <v>3</v>
      </c>
      <c r="R78">
        <v>15</v>
      </c>
      <c r="S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79" spans="1:19" ht="14.25" x14ac:dyDescent="0.2">
      <c r="A79">
        <v>51195072</v>
      </c>
      <c r="B79">
        <v>45</v>
      </c>
      <c r="C79" t="s">
        <v>25</v>
      </c>
      <c r="D79" t="s">
        <v>24</v>
      </c>
      <c r="E79" t="s">
        <v>22</v>
      </c>
      <c r="F79">
        <f>IF(Table2[[#This Row],[Attrition]]="Yes", 1, 0)</f>
        <v>0</v>
      </c>
      <c r="G79" t="s">
        <v>35</v>
      </c>
      <c r="H79" t="s">
        <v>23</v>
      </c>
      <c r="I79">
        <v>6</v>
      </c>
      <c r="J79">
        <v>4</v>
      </c>
      <c r="K79" t="s">
        <v>27</v>
      </c>
      <c r="L79">
        <v>4</v>
      </c>
      <c r="M79">
        <v>1</v>
      </c>
      <c r="N79" s="3">
        <v>13245</v>
      </c>
      <c r="O79" s="3" t="str">
        <f>IF(Table2[[#This Row],[MonthlyIncome]]&lt;=5000, "$1001 - $5000", IF(Table2[[#This Row],[MonthlyIncome]]&lt;=9000, "$5001 - $9000", IF(Table2[[#This Row],[MonthlyIncome]]&lt;=13000, "$9001 - $13000", IF(Table2[[#This Row],[MonthlyIncome]]&lt;=17000, "$13001 - $17000", IF(Table2[[#This Row],[MonthlyIncome]]&lt;=21000, "$17001 - $21000")))))</f>
        <v>$13001 - $17000</v>
      </c>
      <c r="P79">
        <v>4</v>
      </c>
      <c r="Q79">
        <v>4</v>
      </c>
      <c r="R79">
        <v>0</v>
      </c>
      <c r="S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0" spans="1:19" ht="14.25" x14ac:dyDescent="0.2">
      <c r="A80">
        <v>61456560</v>
      </c>
      <c r="B80">
        <v>37</v>
      </c>
      <c r="C80" t="s">
        <v>25</v>
      </c>
      <c r="D80" t="s">
        <v>19</v>
      </c>
      <c r="E80" t="s">
        <v>22</v>
      </c>
      <c r="F80">
        <f>IF(Table2[[#This Row],[Attrition]]="Yes", 1, 0)</f>
        <v>0</v>
      </c>
      <c r="G80" t="s">
        <v>35</v>
      </c>
      <c r="H80" t="s">
        <v>23</v>
      </c>
      <c r="I80">
        <v>7</v>
      </c>
      <c r="J80">
        <v>4</v>
      </c>
      <c r="K80" t="s">
        <v>29</v>
      </c>
      <c r="L80">
        <v>1</v>
      </c>
      <c r="M80">
        <v>3</v>
      </c>
      <c r="N80" s="3">
        <v>13664</v>
      </c>
      <c r="O80" s="3" t="str">
        <f>IF(Table2[[#This Row],[MonthlyIncome]]&lt;=5000, "$1001 - $5000", IF(Table2[[#This Row],[MonthlyIncome]]&lt;=9000, "$5001 - $9000", IF(Table2[[#This Row],[MonthlyIncome]]&lt;=13000, "$9001 - $13000", IF(Table2[[#This Row],[MonthlyIncome]]&lt;=17000, "$13001 - $17000", IF(Table2[[#This Row],[MonthlyIncome]]&lt;=21000, "$17001 - $21000")))))</f>
        <v>$13001 - $17000</v>
      </c>
      <c r="P80">
        <v>4</v>
      </c>
      <c r="Q80">
        <v>4</v>
      </c>
      <c r="R80">
        <v>5</v>
      </c>
      <c r="S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1" spans="1:19" ht="14.25" x14ac:dyDescent="0.2">
      <c r="A81">
        <v>87024060</v>
      </c>
      <c r="B81">
        <v>46</v>
      </c>
      <c r="C81" t="s">
        <v>25</v>
      </c>
      <c r="D81" t="s">
        <v>30</v>
      </c>
      <c r="E81" t="s">
        <v>22</v>
      </c>
      <c r="F81">
        <f>IF(Table2[[#This Row],[Attrition]]="Yes", 1, 0)</f>
        <v>0</v>
      </c>
      <c r="G81" t="s">
        <v>38</v>
      </c>
      <c r="H81" t="s">
        <v>38</v>
      </c>
      <c r="I81">
        <v>5</v>
      </c>
      <c r="J81">
        <v>2</v>
      </c>
      <c r="K81" t="s">
        <v>29</v>
      </c>
      <c r="L81">
        <v>2</v>
      </c>
      <c r="M81">
        <v>2</v>
      </c>
      <c r="N81" s="3">
        <v>5021</v>
      </c>
      <c r="O81" s="3" t="str">
        <f>IF(Table2[[#This Row],[MonthlyIncome]]&lt;=5000, "$1001 - $5000", IF(Table2[[#This Row],[MonthlyIncome]]&lt;=9000, "$5001 - $9000", IF(Table2[[#This Row],[MonthlyIncome]]&lt;=13000, "$9001 - $13000", IF(Table2[[#This Row],[MonthlyIncome]]&lt;=17000, "$13001 - $17000", IF(Table2[[#This Row],[MonthlyIncome]]&lt;=21000, "$17001 - $21000")))))</f>
        <v>$5001 - $9000</v>
      </c>
      <c r="P81">
        <v>8</v>
      </c>
      <c r="Q81">
        <v>3</v>
      </c>
      <c r="R81">
        <v>4</v>
      </c>
      <c r="S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2" spans="1:19" ht="14.25" x14ac:dyDescent="0.2">
      <c r="A82">
        <v>75028314</v>
      </c>
      <c r="B82">
        <v>30</v>
      </c>
      <c r="C82" t="s">
        <v>25</v>
      </c>
      <c r="D82" t="s">
        <v>24</v>
      </c>
      <c r="E82" t="s">
        <v>22</v>
      </c>
      <c r="F82">
        <f>IF(Table2[[#This Row],[Attrition]]="Yes", 1, 0)</f>
        <v>0</v>
      </c>
      <c r="G82" t="s">
        <v>28</v>
      </c>
      <c r="H82" t="s">
        <v>23</v>
      </c>
      <c r="I82">
        <v>1</v>
      </c>
      <c r="J82">
        <v>1</v>
      </c>
      <c r="K82" t="s">
        <v>18</v>
      </c>
      <c r="L82">
        <v>4</v>
      </c>
      <c r="M82">
        <v>4</v>
      </c>
      <c r="N82" s="3">
        <v>5126</v>
      </c>
      <c r="O82" s="3" t="str">
        <f>IF(Table2[[#This Row],[MonthlyIncome]]&lt;=5000, "$1001 - $5000", IF(Table2[[#This Row],[MonthlyIncome]]&lt;=9000, "$5001 - $9000", IF(Table2[[#This Row],[MonthlyIncome]]&lt;=13000, "$9001 - $13000", IF(Table2[[#This Row],[MonthlyIncome]]&lt;=17000, "$13001 - $17000", IF(Table2[[#This Row],[MonthlyIncome]]&lt;=21000, "$17001 - $21000")))))</f>
        <v>$5001 - $9000</v>
      </c>
      <c r="P82">
        <v>1</v>
      </c>
      <c r="Q82">
        <v>2</v>
      </c>
      <c r="R82">
        <v>10</v>
      </c>
      <c r="S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3" spans="1:19" ht="14.25" x14ac:dyDescent="0.2">
      <c r="A83">
        <v>83683952</v>
      </c>
      <c r="B83">
        <v>35</v>
      </c>
      <c r="C83" t="s">
        <v>25</v>
      </c>
      <c r="D83" t="s">
        <v>19</v>
      </c>
      <c r="E83" t="s">
        <v>22</v>
      </c>
      <c r="F83">
        <f>IF(Table2[[#This Row],[Attrition]]="Yes", 1, 0)</f>
        <v>0</v>
      </c>
      <c r="G83" t="s">
        <v>26</v>
      </c>
      <c r="H83" t="s">
        <v>23</v>
      </c>
      <c r="I83">
        <v>1</v>
      </c>
      <c r="J83">
        <v>3</v>
      </c>
      <c r="K83" t="s">
        <v>29</v>
      </c>
      <c r="L83">
        <v>2</v>
      </c>
      <c r="M83">
        <v>3</v>
      </c>
      <c r="N83" s="3">
        <v>2859</v>
      </c>
      <c r="O83" s="3" t="str">
        <f>IF(Table2[[#This Row],[MonthlyIncome]]&lt;=5000, "$1001 - $5000", IF(Table2[[#This Row],[MonthlyIncome]]&lt;=9000, "$5001 - $9000", IF(Table2[[#This Row],[MonthlyIncome]]&lt;=13000, "$9001 - $13000", IF(Table2[[#This Row],[MonthlyIncome]]&lt;=17000, "$13001 - $17000", IF(Table2[[#This Row],[MonthlyIncome]]&lt;=21000, "$17001 - $21000")))))</f>
        <v>$1001 - $5000</v>
      </c>
      <c r="P83">
        <v>1</v>
      </c>
      <c r="Q83">
        <v>3</v>
      </c>
      <c r="R83">
        <v>6</v>
      </c>
      <c r="S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4" spans="1:19" ht="14.25" x14ac:dyDescent="0.2">
      <c r="A84">
        <v>81039627</v>
      </c>
      <c r="B84">
        <v>55</v>
      </c>
      <c r="C84" t="s">
        <v>25</v>
      </c>
      <c r="D84" t="s">
        <v>24</v>
      </c>
      <c r="E84" t="s">
        <v>22</v>
      </c>
      <c r="F84">
        <f>IF(Table2[[#This Row],[Attrition]]="Yes", 1, 0)</f>
        <v>0</v>
      </c>
      <c r="G84" t="s">
        <v>21</v>
      </c>
      <c r="H84" t="s">
        <v>17</v>
      </c>
      <c r="I84">
        <v>1</v>
      </c>
      <c r="J84">
        <v>2</v>
      </c>
      <c r="K84" t="s">
        <v>18</v>
      </c>
      <c r="L84">
        <v>1</v>
      </c>
      <c r="M84">
        <v>4</v>
      </c>
      <c r="N84" s="3">
        <v>10239</v>
      </c>
      <c r="O84" s="3" t="str">
        <f>IF(Table2[[#This Row],[MonthlyIncome]]&lt;=5000, "$1001 - $5000", IF(Table2[[#This Row],[MonthlyIncome]]&lt;=9000, "$5001 - $9000", IF(Table2[[#This Row],[MonthlyIncome]]&lt;=13000, "$9001 - $13000", IF(Table2[[#This Row],[MonthlyIncome]]&lt;=17000, "$13001 - $17000", IF(Table2[[#This Row],[MonthlyIncome]]&lt;=21000, "$17001 - $21000")))))</f>
        <v>$9001 - $13000</v>
      </c>
      <c r="P84">
        <v>3</v>
      </c>
      <c r="Q84">
        <v>3</v>
      </c>
      <c r="R84">
        <v>1</v>
      </c>
      <c r="S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5" spans="1:19" ht="14.25" x14ac:dyDescent="0.2">
      <c r="A85">
        <v>22375312</v>
      </c>
      <c r="B85">
        <v>38</v>
      </c>
      <c r="C85" t="s">
        <v>20</v>
      </c>
      <c r="D85" t="s">
        <v>30</v>
      </c>
      <c r="E85" t="s">
        <v>22</v>
      </c>
      <c r="F85">
        <f>IF(Table2[[#This Row],[Attrition]]="Yes", 1, 0)</f>
        <v>0</v>
      </c>
      <c r="G85" t="s">
        <v>26</v>
      </c>
      <c r="H85" t="s">
        <v>23</v>
      </c>
      <c r="I85">
        <v>6</v>
      </c>
      <c r="J85">
        <v>3</v>
      </c>
      <c r="K85" t="s">
        <v>29</v>
      </c>
      <c r="L85">
        <v>2</v>
      </c>
      <c r="M85">
        <v>4</v>
      </c>
      <c r="N85" s="3">
        <v>5329</v>
      </c>
      <c r="O85" s="3" t="str">
        <f>IF(Table2[[#This Row],[MonthlyIncome]]&lt;=5000, "$1001 - $5000", IF(Table2[[#This Row],[MonthlyIncome]]&lt;=9000, "$5001 - $9000", IF(Table2[[#This Row],[MonthlyIncome]]&lt;=13000, "$9001 - $13000", IF(Table2[[#This Row],[MonthlyIncome]]&lt;=17000, "$13001 - $17000", IF(Table2[[#This Row],[MonthlyIncome]]&lt;=21000, "$17001 - $21000")))))</f>
        <v>$5001 - $9000</v>
      </c>
      <c r="P85">
        <v>7</v>
      </c>
      <c r="Q85">
        <v>3</v>
      </c>
      <c r="R85">
        <v>13</v>
      </c>
      <c r="S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6" spans="1:19" ht="14.25" x14ac:dyDescent="0.2">
      <c r="A86">
        <v>84076849</v>
      </c>
      <c r="B86">
        <v>34</v>
      </c>
      <c r="C86" t="s">
        <v>25</v>
      </c>
      <c r="D86" t="s">
        <v>24</v>
      </c>
      <c r="E86" t="s">
        <v>22</v>
      </c>
      <c r="F86">
        <f>IF(Table2[[#This Row],[Attrition]]="Yes", 1, 0)</f>
        <v>0</v>
      </c>
      <c r="G86" t="s">
        <v>31</v>
      </c>
      <c r="H86" t="s">
        <v>23</v>
      </c>
      <c r="I86">
        <v>1</v>
      </c>
      <c r="J86">
        <v>2</v>
      </c>
      <c r="K86" t="s">
        <v>29</v>
      </c>
      <c r="L86">
        <v>1</v>
      </c>
      <c r="M86">
        <v>2</v>
      </c>
      <c r="N86" s="3">
        <v>4325</v>
      </c>
      <c r="O86" s="3" t="str">
        <f>IF(Table2[[#This Row],[MonthlyIncome]]&lt;=5000, "$1001 - $5000", IF(Table2[[#This Row],[MonthlyIncome]]&lt;=9000, "$5001 - $9000", IF(Table2[[#This Row],[MonthlyIncome]]&lt;=13000, "$9001 - $13000", IF(Table2[[#This Row],[MonthlyIncome]]&lt;=17000, "$13001 - $17000", IF(Table2[[#This Row],[MonthlyIncome]]&lt;=21000, "$17001 - $21000")))))</f>
        <v>$1001 - $5000</v>
      </c>
      <c r="P86">
        <v>1</v>
      </c>
      <c r="Q86">
        <v>3</v>
      </c>
      <c r="R86">
        <v>5</v>
      </c>
      <c r="S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7" spans="1:19" ht="14.25" x14ac:dyDescent="0.2">
      <c r="A87">
        <v>10873520</v>
      </c>
      <c r="B87">
        <v>56</v>
      </c>
      <c r="C87" t="s">
        <v>25</v>
      </c>
      <c r="D87" t="s">
        <v>19</v>
      </c>
      <c r="E87" t="s">
        <v>22</v>
      </c>
      <c r="F87">
        <f>IF(Table2[[#This Row],[Attrition]]="Yes", 1, 0)</f>
        <v>0</v>
      </c>
      <c r="G87" t="s">
        <v>31</v>
      </c>
      <c r="H87" t="s">
        <v>23</v>
      </c>
      <c r="I87">
        <v>7</v>
      </c>
      <c r="J87">
        <v>3</v>
      </c>
      <c r="K87" t="s">
        <v>18</v>
      </c>
      <c r="L87">
        <v>4</v>
      </c>
      <c r="M87">
        <v>4</v>
      </c>
      <c r="N87" s="3">
        <v>7260</v>
      </c>
      <c r="O87" s="3" t="str">
        <f>IF(Table2[[#This Row],[MonthlyIncome]]&lt;=5000, "$1001 - $5000", IF(Table2[[#This Row],[MonthlyIncome]]&lt;=9000, "$5001 - $9000", IF(Table2[[#This Row],[MonthlyIncome]]&lt;=13000, "$9001 - $13000", IF(Table2[[#This Row],[MonthlyIncome]]&lt;=17000, "$13001 - $17000", IF(Table2[[#This Row],[MonthlyIncome]]&lt;=21000, "$17001 - $21000")))))</f>
        <v>$5001 - $9000</v>
      </c>
      <c r="P87">
        <v>4</v>
      </c>
      <c r="Q87">
        <v>2</v>
      </c>
      <c r="R87">
        <v>6</v>
      </c>
      <c r="S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8" spans="1:19" ht="14.25" x14ac:dyDescent="0.2">
      <c r="A88">
        <v>11630681</v>
      </c>
      <c r="B88">
        <v>23</v>
      </c>
      <c r="C88" t="s">
        <v>25</v>
      </c>
      <c r="D88" t="s">
        <v>30</v>
      </c>
      <c r="E88" t="s">
        <v>22</v>
      </c>
      <c r="F88">
        <f>IF(Table2[[#This Row],[Attrition]]="Yes", 1, 0)</f>
        <v>0</v>
      </c>
      <c r="G88" t="s">
        <v>34</v>
      </c>
      <c r="H88" t="s">
        <v>17</v>
      </c>
      <c r="I88">
        <v>2</v>
      </c>
      <c r="J88">
        <v>1</v>
      </c>
      <c r="K88" t="s">
        <v>37</v>
      </c>
      <c r="L88">
        <v>3</v>
      </c>
      <c r="M88">
        <v>1</v>
      </c>
      <c r="N88" s="3">
        <v>2322</v>
      </c>
      <c r="O88" s="3" t="str">
        <f>IF(Table2[[#This Row],[MonthlyIncome]]&lt;=5000, "$1001 - $5000", IF(Table2[[#This Row],[MonthlyIncome]]&lt;=9000, "$5001 - $9000", IF(Table2[[#This Row],[MonthlyIncome]]&lt;=13000, "$9001 - $13000", IF(Table2[[#This Row],[MonthlyIncome]]&lt;=17000, "$13001 - $17000", IF(Table2[[#This Row],[MonthlyIncome]]&lt;=21000, "$17001 - $21000")))))</f>
        <v>$1001 - $5000</v>
      </c>
      <c r="P88">
        <v>3</v>
      </c>
      <c r="Q88">
        <v>3</v>
      </c>
      <c r="R88">
        <v>0</v>
      </c>
      <c r="S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9" spans="1:19" ht="14.25" x14ac:dyDescent="0.2">
      <c r="A89">
        <v>25816239</v>
      </c>
      <c r="B89">
        <v>51</v>
      </c>
      <c r="C89" t="s">
        <v>25</v>
      </c>
      <c r="D89" t="s">
        <v>24</v>
      </c>
      <c r="E89" t="s">
        <v>22</v>
      </c>
      <c r="F89">
        <f>IF(Table2[[#This Row],[Attrition]]="Yes", 1, 0)</f>
        <v>0</v>
      </c>
      <c r="G89" t="s">
        <v>28</v>
      </c>
      <c r="H89" t="s">
        <v>23</v>
      </c>
      <c r="I89">
        <v>9</v>
      </c>
      <c r="J89">
        <v>4</v>
      </c>
      <c r="K89" t="s">
        <v>18</v>
      </c>
      <c r="L89">
        <v>4</v>
      </c>
      <c r="M89">
        <v>4</v>
      </c>
      <c r="N89" s="3">
        <v>2075</v>
      </c>
      <c r="O89" s="3" t="str">
        <f>IF(Table2[[#This Row],[MonthlyIncome]]&lt;=5000, "$1001 - $5000", IF(Table2[[#This Row],[MonthlyIncome]]&lt;=9000, "$5001 - $9000", IF(Table2[[#This Row],[MonthlyIncome]]&lt;=13000, "$9001 - $13000", IF(Table2[[#This Row],[MonthlyIncome]]&lt;=17000, "$13001 - $17000", IF(Table2[[#This Row],[MonthlyIncome]]&lt;=21000, "$17001 - $21000")))))</f>
        <v>$1001 - $5000</v>
      </c>
      <c r="P89">
        <v>3</v>
      </c>
      <c r="Q89">
        <v>3</v>
      </c>
      <c r="R89">
        <v>4</v>
      </c>
      <c r="S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0" spans="1:19" ht="14.25" x14ac:dyDescent="0.2">
      <c r="A90">
        <v>51450626</v>
      </c>
      <c r="B90">
        <v>30</v>
      </c>
      <c r="C90" t="s">
        <v>25</v>
      </c>
      <c r="D90" t="s">
        <v>24</v>
      </c>
      <c r="E90" t="s">
        <v>22</v>
      </c>
      <c r="F90">
        <f>IF(Table2[[#This Row],[Attrition]]="Yes", 1, 0)</f>
        <v>0</v>
      </c>
      <c r="G90" t="s">
        <v>32</v>
      </c>
      <c r="H90" t="s">
        <v>23</v>
      </c>
      <c r="I90">
        <v>2</v>
      </c>
      <c r="J90">
        <v>3</v>
      </c>
      <c r="K90" t="s">
        <v>18</v>
      </c>
      <c r="L90">
        <v>3</v>
      </c>
      <c r="M90">
        <v>4</v>
      </c>
      <c r="N90" s="3">
        <v>4152</v>
      </c>
      <c r="O90" s="3" t="str">
        <f>IF(Table2[[#This Row],[MonthlyIncome]]&lt;=5000, "$1001 - $5000", IF(Table2[[#This Row],[MonthlyIncome]]&lt;=9000, "$5001 - $9000", IF(Table2[[#This Row],[MonthlyIncome]]&lt;=13000, "$9001 - $13000", IF(Table2[[#This Row],[MonthlyIncome]]&lt;=17000, "$13001 - $17000", IF(Table2[[#This Row],[MonthlyIncome]]&lt;=21000, "$17001 - $21000")))))</f>
        <v>$1001 - $5000</v>
      </c>
      <c r="P90">
        <v>1</v>
      </c>
      <c r="Q90">
        <v>3</v>
      </c>
      <c r="R90">
        <v>11</v>
      </c>
      <c r="S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1" spans="1:19" ht="14.25" x14ac:dyDescent="0.2">
      <c r="A91">
        <v>69155608</v>
      </c>
      <c r="B91">
        <v>46</v>
      </c>
      <c r="C91" t="s">
        <v>25</v>
      </c>
      <c r="D91" t="s">
        <v>19</v>
      </c>
      <c r="E91" t="s">
        <v>16</v>
      </c>
      <c r="F91">
        <f>IF(Table2[[#This Row],[Attrition]]="Yes", 1, 0)</f>
        <v>1</v>
      </c>
      <c r="G91" t="s">
        <v>21</v>
      </c>
      <c r="H91" t="s">
        <v>17</v>
      </c>
      <c r="I91">
        <v>9</v>
      </c>
      <c r="J91">
        <v>2</v>
      </c>
      <c r="K91" t="s">
        <v>29</v>
      </c>
      <c r="L91">
        <v>3</v>
      </c>
      <c r="M91">
        <v>4</v>
      </c>
      <c r="N91" s="3">
        <v>9619</v>
      </c>
      <c r="O91" s="3" t="str">
        <f>IF(Table2[[#This Row],[MonthlyIncome]]&lt;=5000, "$1001 - $5000", IF(Table2[[#This Row],[MonthlyIncome]]&lt;=9000, "$5001 - $9000", IF(Table2[[#This Row],[MonthlyIncome]]&lt;=13000, "$9001 - $13000", IF(Table2[[#This Row],[MonthlyIncome]]&lt;=17000, "$13001 - $17000", IF(Table2[[#This Row],[MonthlyIncome]]&lt;=21000, "$17001 - $21000")))))</f>
        <v>$9001 - $13000</v>
      </c>
      <c r="P91">
        <v>1</v>
      </c>
      <c r="Q91">
        <v>3</v>
      </c>
      <c r="R91">
        <v>9</v>
      </c>
      <c r="S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2" spans="1:19" ht="14.25" x14ac:dyDescent="0.2">
      <c r="A92">
        <v>19165405</v>
      </c>
      <c r="B92">
        <v>40</v>
      </c>
      <c r="C92" t="s">
        <v>25</v>
      </c>
      <c r="D92" t="s">
        <v>24</v>
      </c>
      <c r="E92" t="s">
        <v>22</v>
      </c>
      <c r="F92">
        <f>IF(Table2[[#This Row],[Attrition]]="Yes", 1, 0)</f>
        <v>0</v>
      </c>
      <c r="G92" t="s">
        <v>32</v>
      </c>
      <c r="H92" t="s">
        <v>23</v>
      </c>
      <c r="I92">
        <v>1</v>
      </c>
      <c r="J92">
        <v>4</v>
      </c>
      <c r="K92" t="s">
        <v>18</v>
      </c>
      <c r="L92">
        <v>3</v>
      </c>
      <c r="M92">
        <v>2</v>
      </c>
      <c r="N92" s="3">
        <v>13503</v>
      </c>
      <c r="O92" s="3" t="str">
        <f>IF(Table2[[#This Row],[MonthlyIncome]]&lt;=5000, "$1001 - $5000", IF(Table2[[#This Row],[MonthlyIncome]]&lt;=9000, "$5001 - $9000", IF(Table2[[#This Row],[MonthlyIncome]]&lt;=13000, "$9001 - $13000", IF(Table2[[#This Row],[MonthlyIncome]]&lt;=17000, "$13001 - $17000", IF(Table2[[#This Row],[MonthlyIncome]]&lt;=21000, "$17001 - $21000")))))</f>
        <v>$13001 - $17000</v>
      </c>
      <c r="P92">
        <v>1</v>
      </c>
      <c r="Q92">
        <v>2</v>
      </c>
      <c r="R92">
        <v>22</v>
      </c>
      <c r="S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93" spans="1:19" ht="14.25" x14ac:dyDescent="0.2">
      <c r="A93">
        <v>42346992</v>
      </c>
      <c r="B93">
        <v>51</v>
      </c>
      <c r="C93" t="s">
        <v>25</v>
      </c>
      <c r="D93" t="s">
        <v>19</v>
      </c>
      <c r="E93" t="s">
        <v>22</v>
      </c>
      <c r="F93">
        <f>IF(Table2[[#This Row],[Attrition]]="Yes", 1, 0)</f>
        <v>0</v>
      </c>
      <c r="G93" t="s">
        <v>21</v>
      </c>
      <c r="H93" t="s">
        <v>17</v>
      </c>
      <c r="I93">
        <v>21</v>
      </c>
      <c r="J93">
        <v>4</v>
      </c>
      <c r="K93" t="s">
        <v>36</v>
      </c>
      <c r="L93">
        <v>3</v>
      </c>
      <c r="M93">
        <v>4</v>
      </c>
      <c r="N93" s="3">
        <v>5441</v>
      </c>
      <c r="O93" s="3" t="str">
        <f>IF(Table2[[#This Row],[MonthlyIncome]]&lt;=5000, "$1001 - $5000", IF(Table2[[#This Row],[MonthlyIncome]]&lt;=9000, "$5001 - $9000", IF(Table2[[#This Row],[MonthlyIncome]]&lt;=13000, "$9001 - $13000", IF(Table2[[#This Row],[MonthlyIncome]]&lt;=17000, "$13001 - $17000", IF(Table2[[#This Row],[MonthlyIncome]]&lt;=21000, "$17001 - $21000")))))</f>
        <v>$5001 - $9000</v>
      </c>
      <c r="P93">
        <v>0</v>
      </c>
      <c r="Q93">
        <v>1</v>
      </c>
      <c r="R93">
        <v>10</v>
      </c>
      <c r="S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4" spans="1:19" ht="14.25" x14ac:dyDescent="0.2">
      <c r="A94">
        <v>80771594</v>
      </c>
      <c r="B94">
        <v>30</v>
      </c>
      <c r="C94" t="s">
        <v>20</v>
      </c>
      <c r="D94" t="s">
        <v>30</v>
      </c>
      <c r="E94" t="s">
        <v>22</v>
      </c>
      <c r="F94">
        <f>IF(Table2[[#This Row],[Attrition]]="Yes", 1, 0)</f>
        <v>0</v>
      </c>
      <c r="G94" t="s">
        <v>21</v>
      </c>
      <c r="H94" t="s">
        <v>17</v>
      </c>
      <c r="I94">
        <v>4</v>
      </c>
      <c r="J94">
        <v>2</v>
      </c>
      <c r="K94" t="s">
        <v>29</v>
      </c>
      <c r="L94">
        <v>3</v>
      </c>
      <c r="M94">
        <v>2</v>
      </c>
      <c r="N94" s="3">
        <v>5209</v>
      </c>
      <c r="O94" s="3" t="str">
        <f>IF(Table2[[#This Row],[MonthlyIncome]]&lt;=5000, "$1001 - $5000", IF(Table2[[#This Row],[MonthlyIncome]]&lt;=9000, "$5001 - $9000", IF(Table2[[#This Row],[MonthlyIncome]]&lt;=13000, "$9001 - $13000", IF(Table2[[#This Row],[MonthlyIncome]]&lt;=17000, "$13001 - $17000", IF(Table2[[#This Row],[MonthlyIncome]]&lt;=21000, "$17001 - $21000")))))</f>
        <v>$5001 - $9000</v>
      </c>
      <c r="P94">
        <v>1</v>
      </c>
      <c r="Q94">
        <v>2</v>
      </c>
      <c r="R94">
        <v>11</v>
      </c>
      <c r="S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5" spans="1:19" ht="14.25" x14ac:dyDescent="0.2">
      <c r="A95">
        <v>22094162</v>
      </c>
      <c r="B95">
        <v>46</v>
      </c>
      <c r="C95" t="s">
        <v>25</v>
      </c>
      <c r="D95" t="s">
        <v>24</v>
      </c>
      <c r="E95" t="s">
        <v>22</v>
      </c>
      <c r="F95">
        <f>IF(Table2[[#This Row],[Attrition]]="Yes", 1, 0)</f>
        <v>0</v>
      </c>
      <c r="G95" t="s">
        <v>32</v>
      </c>
      <c r="H95" t="s">
        <v>23</v>
      </c>
      <c r="I95">
        <v>1</v>
      </c>
      <c r="J95">
        <v>3</v>
      </c>
      <c r="K95" t="s">
        <v>29</v>
      </c>
      <c r="L95">
        <v>3</v>
      </c>
      <c r="M95">
        <v>1</v>
      </c>
      <c r="N95" s="3">
        <v>10673</v>
      </c>
      <c r="O95" s="3" t="str">
        <f>IF(Table2[[#This Row],[MonthlyIncome]]&lt;=5000, "$1001 - $5000", IF(Table2[[#This Row],[MonthlyIncome]]&lt;=9000, "$5001 - $9000", IF(Table2[[#This Row],[MonthlyIncome]]&lt;=13000, "$9001 - $13000", IF(Table2[[#This Row],[MonthlyIncome]]&lt;=17000, "$13001 - $17000", IF(Table2[[#This Row],[MonthlyIncome]]&lt;=21000, "$17001 - $21000")))))</f>
        <v>$9001 - $13000</v>
      </c>
      <c r="P95">
        <v>2</v>
      </c>
      <c r="Q95">
        <v>2</v>
      </c>
      <c r="R95">
        <v>10</v>
      </c>
      <c r="S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6" spans="1:19" ht="14.25" x14ac:dyDescent="0.2">
      <c r="A96">
        <v>69323830</v>
      </c>
      <c r="B96">
        <v>32</v>
      </c>
      <c r="C96" t="s">
        <v>25</v>
      </c>
      <c r="D96" t="s">
        <v>19</v>
      </c>
      <c r="E96" t="s">
        <v>22</v>
      </c>
      <c r="F96">
        <f>IF(Table2[[#This Row],[Attrition]]="Yes", 1, 0)</f>
        <v>0</v>
      </c>
      <c r="G96" t="s">
        <v>21</v>
      </c>
      <c r="H96" t="s">
        <v>17</v>
      </c>
      <c r="I96">
        <v>6</v>
      </c>
      <c r="J96">
        <v>4</v>
      </c>
      <c r="K96" t="s">
        <v>29</v>
      </c>
      <c r="L96">
        <v>2</v>
      </c>
      <c r="M96">
        <v>3</v>
      </c>
      <c r="N96" s="3">
        <v>5010</v>
      </c>
      <c r="O96" s="3" t="str">
        <f>IF(Table2[[#This Row],[MonthlyIncome]]&lt;=5000, "$1001 - $5000", IF(Table2[[#This Row],[MonthlyIncome]]&lt;=9000, "$5001 - $9000", IF(Table2[[#This Row],[MonthlyIncome]]&lt;=13000, "$9001 - $13000", IF(Table2[[#This Row],[MonthlyIncome]]&lt;=17000, "$13001 - $17000", IF(Table2[[#This Row],[MonthlyIncome]]&lt;=21000, "$17001 - $21000")))))</f>
        <v>$5001 - $9000</v>
      </c>
      <c r="P96">
        <v>1</v>
      </c>
      <c r="Q96">
        <v>3</v>
      </c>
      <c r="R96">
        <v>11</v>
      </c>
      <c r="S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7" spans="1:19" ht="14.25" x14ac:dyDescent="0.2">
      <c r="A97">
        <v>54286298</v>
      </c>
      <c r="B97">
        <v>54</v>
      </c>
      <c r="C97" t="s">
        <v>20</v>
      </c>
      <c r="D97" t="s">
        <v>24</v>
      </c>
      <c r="E97" t="s">
        <v>22</v>
      </c>
      <c r="F97">
        <f>IF(Table2[[#This Row],[Attrition]]="Yes", 1, 0)</f>
        <v>0</v>
      </c>
      <c r="G97" t="s">
        <v>35</v>
      </c>
      <c r="H97" t="s">
        <v>23</v>
      </c>
      <c r="I97">
        <v>2</v>
      </c>
      <c r="J97">
        <v>4</v>
      </c>
      <c r="K97" t="s">
        <v>37</v>
      </c>
      <c r="L97">
        <v>1</v>
      </c>
      <c r="M97">
        <v>3</v>
      </c>
      <c r="N97" s="3">
        <v>13549</v>
      </c>
      <c r="O97" s="3" t="str">
        <f>IF(Table2[[#This Row],[MonthlyIncome]]&lt;=5000, "$1001 - $5000", IF(Table2[[#This Row],[MonthlyIncome]]&lt;=9000, "$5001 - $9000", IF(Table2[[#This Row],[MonthlyIncome]]&lt;=13000, "$9001 - $13000", IF(Table2[[#This Row],[MonthlyIncome]]&lt;=17000, "$13001 - $17000", IF(Table2[[#This Row],[MonthlyIncome]]&lt;=21000, "$17001 - $21000")))))</f>
        <v>$13001 - $17000</v>
      </c>
      <c r="P97">
        <v>9</v>
      </c>
      <c r="Q97">
        <v>1</v>
      </c>
      <c r="R97">
        <v>4</v>
      </c>
      <c r="S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8" spans="1:19" ht="14.25" x14ac:dyDescent="0.2">
      <c r="A98">
        <v>31449445</v>
      </c>
      <c r="B98">
        <v>24</v>
      </c>
      <c r="C98" t="s">
        <v>20</v>
      </c>
      <c r="D98" t="s">
        <v>24</v>
      </c>
      <c r="E98" t="s">
        <v>22</v>
      </c>
      <c r="F98">
        <f>IF(Table2[[#This Row],[Attrition]]="Yes", 1, 0)</f>
        <v>0</v>
      </c>
      <c r="G98" t="s">
        <v>21</v>
      </c>
      <c r="H98" t="s">
        <v>17</v>
      </c>
      <c r="I98">
        <v>3</v>
      </c>
      <c r="J98">
        <v>2</v>
      </c>
      <c r="K98" t="s">
        <v>27</v>
      </c>
      <c r="L98">
        <v>1</v>
      </c>
      <c r="M98">
        <v>3</v>
      </c>
      <c r="N98" s="3">
        <v>4999</v>
      </c>
      <c r="O98" s="3" t="str">
        <f>IF(Table2[[#This Row],[MonthlyIncome]]&lt;=5000, "$1001 - $5000", IF(Table2[[#This Row],[MonthlyIncome]]&lt;=9000, "$5001 - $9000", IF(Table2[[#This Row],[MonthlyIncome]]&lt;=13000, "$9001 - $13000", IF(Table2[[#This Row],[MonthlyIncome]]&lt;=17000, "$13001 - $17000", IF(Table2[[#This Row],[MonthlyIncome]]&lt;=21000, "$17001 - $21000")))))</f>
        <v>$1001 - $5000</v>
      </c>
      <c r="P98">
        <v>0</v>
      </c>
      <c r="Q98">
        <v>2</v>
      </c>
      <c r="R98">
        <v>3</v>
      </c>
      <c r="S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9" spans="1:19" ht="14.25" x14ac:dyDescent="0.2">
      <c r="A99">
        <v>27558200</v>
      </c>
      <c r="B99">
        <v>28</v>
      </c>
      <c r="C99" t="s">
        <v>25</v>
      </c>
      <c r="D99" t="s">
        <v>24</v>
      </c>
      <c r="E99" t="s">
        <v>22</v>
      </c>
      <c r="F99">
        <f>IF(Table2[[#This Row],[Attrition]]="Yes", 1, 0)</f>
        <v>0</v>
      </c>
      <c r="G99" t="s">
        <v>21</v>
      </c>
      <c r="H99" t="s">
        <v>17</v>
      </c>
      <c r="I99">
        <v>4</v>
      </c>
      <c r="J99">
        <v>3</v>
      </c>
      <c r="K99" t="s">
        <v>29</v>
      </c>
      <c r="L99">
        <v>2</v>
      </c>
      <c r="M99">
        <v>3</v>
      </c>
      <c r="N99" s="3">
        <v>4221</v>
      </c>
      <c r="O99" s="3" t="str">
        <f>IF(Table2[[#This Row],[MonthlyIncome]]&lt;=5000, "$1001 - $5000", IF(Table2[[#This Row],[MonthlyIncome]]&lt;=9000, "$5001 - $9000", IF(Table2[[#This Row],[MonthlyIncome]]&lt;=13000, "$9001 - $13000", IF(Table2[[#This Row],[MonthlyIncome]]&lt;=17000, "$13001 - $17000", IF(Table2[[#This Row],[MonthlyIncome]]&lt;=21000, "$17001 - $21000")))))</f>
        <v>$1001 - $5000</v>
      </c>
      <c r="P99">
        <v>1</v>
      </c>
      <c r="Q99">
        <v>4</v>
      </c>
      <c r="R99">
        <v>5</v>
      </c>
      <c r="S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0" spans="1:19" ht="14.25" x14ac:dyDescent="0.2">
      <c r="A100">
        <v>72219796</v>
      </c>
      <c r="B100">
        <v>58</v>
      </c>
      <c r="C100" t="s">
        <v>25</v>
      </c>
      <c r="D100" t="s">
        <v>19</v>
      </c>
      <c r="E100" t="s">
        <v>22</v>
      </c>
      <c r="F100">
        <f>IF(Table2[[#This Row],[Attrition]]="Yes", 1, 0)</f>
        <v>0</v>
      </c>
      <c r="G100" t="s">
        <v>21</v>
      </c>
      <c r="H100" t="s">
        <v>17</v>
      </c>
      <c r="I100">
        <v>10</v>
      </c>
      <c r="J100">
        <v>4</v>
      </c>
      <c r="K100" t="s">
        <v>29</v>
      </c>
      <c r="L100">
        <v>4</v>
      </c>
      <c r="M100">
        <v>3</v>
      </c>
      <c r="N100" s="3">
        <v>13872</v>
      </c>
      <c r="O100" s="3" t="str">
        <f>IF(Table2[[#This Row],[MonthlyIncome]]&lt;=5000, "$1001 - $5000", IF(Table2[[#This Row],[MonthlyIncome]]&lt;=9000, "$5001 - $9000", IF(Table2[[#This Row],[MonthlyIncome]]&lt;=13000, "$9001 - $13000", IF(Table2[[#This Row],[MonthlyIncome]]&lt;=17000, "$13001 - $17000", IF(Table2[[#This Row],[MonthlyIncome]]&lt;=21000, "$17001 - $21000")))))</f>
        <v>$13001 - $17000</v>
      </c>
      <c r="P100">
        <v>0</v>
      </c>
      <c r="Q100">
        <v>2</v>
      </c>
      <c r="R100">
        <v>37</v>
      </c>
      <c r="S1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35 - 40 Years</v>
      </c>
    </row>
    <row r="101" spans="1:19" ht="14.25" x14ac:dyDescent="0.2">
      <c r="A101">
        <v>83610273</v>
      </c>
      <c r="B101">
        <v>44</v>
      </c>
      <c r="C101" t="s">
        <v>25</v>
      </c>
      <c r="D101" t="s">
        <v>24</v>
      </c>
      <c r="E101" t="s">
        <v>22</v>
      </c>
      <c r="F101">
        <f>IF(Table2[[#This Row],[Attrition]]="Yes", 1, 0)</f>
        <v>0</v>
      </c>
      <c r="G101" t="s">
        <v>28</v>
      </c>
      <c r="H101" t="s">
        <v>23</v>
      </c>
      <c r="I101">
        <v>23</v>
      </c>
      <c r="J101">
        <v>3</v>
      </c>
      <c r="K101" t="s">
        <v>29</v>
      </c>
      <c r="L101">
        <v>2</v>
      </c>
      <c r="M101">
        <v>2</v>
      </c>
      <c r="N101" s="3">
        <v>2042</v>
      </c>
      <c r="O101" s="3" t="str">
        <f>IF(Table2[[#This Row],[MonthlyIncome]]&lt;=5000, "$1001 - $5000", IF(Table2[[#This Row],[MonthlyIncome]]&lt;=9000, "$5001 - $9000", IF(Table2[[#This Row],[MonthlyIncome]]&lt;=13000, "$9001 - $13000", IF(Table2[[#This Row],[MonthlyIncome]]&lt;=17000, "$13001 - $17000", IF(Table2[[#This Row],[MonthlyIncome]]&lt;=21000, "$17001 - $21000")))))</f>
        <v>$1001 - $5000</v>
      </c>
      <c r="P101">
        <v>4</v>
      </c>
      <c r="Q101">
        <v>4</v>
      </c>
      <c r="R101">
        <v>3</v>
      </c>
      <c r="S1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2" spans="1:19" ht="14.25" x14ac:dyDescent="0.2">
      <c r="A102">
        <v>84053436</v>
      </c>
      <c r="B102">
        <v>37</v>
      </c>
      <c r="C102" t="s">
        <v>25</v>
      </c>
      <c r="D102" t="s">
        <v>30</v>
      </c>
      <c r="E102" t="s">
        <v>16</v>
      </c>
      <c r="F102">
        <f>IF(Table2[[#This Row],[Attrition]]="Yes", 1, 0)</f>
        <v>1</v>
      </c>
      <c r="G102" t="s">
        <v>38</v>
      </c>
      <c r="H102" t="s">
        <v>38</v>
      </c>
      <c r="I102">
        <v>6</v>
      </c>
      <c r="J102">
        <v>4</v>
      </c>
      <c r="K102" t="s">
        <v>38</v>
      </c>
      <c r="L102">
        <v>3</v>
      </c>
      <c r="M102">
        <v>1</v>
      </c>
      <c r="N102" s="3">
        <v>2073</v>
      </c>
      <c r="O102" s="3" t="str">
        <f>IF(Table2[[#This Row],[MonthlyIncome]]&lt;=5000, "$1001 - $5000", IF(Table2[[#This Row],[MonthlyIncome]]&lt;=9000, "$5001 - $9000", IF(Table2[[#This Row],[MonthlyIncome]]&lt;=13000, "$9001 - $13000", IF(Table2[[#This Row],[MonthlyIncome]]&lt;=17000, "$13001 - $17000", IF(Table2[[#This Row],[MonthlyIncome]]&lt;=21000, "$17001 - $21000")))))</f>
        <v>$1001 - $5000</v>
      </c>
      <c r="P102">
        <v>4</v>
      </c>
      <c r="Q102">
        <v>3</v>
      </c>
      <c r="R102">
        <v>3</v>
      </c>
      <c r="S1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3" spans="1:19" ht="14.25" x14ac:dyDescent="0.2">
      <c r="A103">
        <v>64681343</v>
      </c>
      <c r="B103">
        <v>32</v>
      </c>
      <c r="C103" t="s">
        <v>25</v>
      </c>
      <c r="D103" t="s">
        <v>19</v>
      </c>
      <c r="E103" t="s">
        <v>22</v>
      </c>
      <c r="F103">
        <f>IF(Table2[[#This Row],[Attrition]]="Yes", 1, 0)</f>
        <v>0</v>
      </c>
      <c r="G103" t="s">
        <v>26</v>
      </c>
      <c r="H103" t="s">
        <v>23</v>
      </c>
      <c r="I103">
        <v>1</v>
      </c>
      <c r="J103">
        <v>1</v>
      </c>
      <c r="K103" t="s">
        <v>18</v>
      </c>
      <c r="L103">
        <v>4</v>
      </c>
      <c r="M103">
        <v>1</v>
      </c>
      <c r="N103" s="3">
        <v>2956</v>
      </c>
      <c r="O103" s="3" t="str">
        <f>IF(Table2[[#This Row],[MonthlyIncome]]&lt;=5000, "$1001 - $5000", IF(Table2[[#This Row],[MonthlyIncome]]&lt;=9000, "$5001 - $9000", IF(Table2[[#This Row],[MonthlyIncome]]&lt;=13000, "$9001 - $13000", IF(Table2[[#This Row],[MonthlyIncome]]&lt;=17000, "$13001 - $17000", IF(Table2[[#This Row],[MonthlyIncome]]&lt;=21000, "$17001 - $21000")))))</f>
        <v>$1001 - $5000</v>
      </c>
      <c r="P103">
        <v>1</v>
      </c>
      <c r="Q103">
        <v>3</v>
      </c>
      <c r="R103">
        <v>1</v>
      </c>
      <c r="S1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4" spans="1:19" ht="14.25" x14ac:dyDescent="0.2">
      <c r="A104">
        <v>34248759</v>
      </c>
      <c r="B104">
        <v>20</v>
      </c>
      <c r="C104" t="s">
        <v>20</v>
      </c>
      <c r="D104" t="s">
        <v>19</v>
      </c>
      <c r="E104" t="s">
        <v>16</v>
      </c>
      <c r="F104">
        <f>IF(Table2[[#This Row],[Attrition]]="Yes", 1, 0)</f>
        <v>1</v>
      </c>
      <c r="G104" t="s">
        <v>28</v>
      </c>
      <c r="H104" t="s">
        <v>23</v>
      </c>
      <c r="I104">
        <v>6</v>
      </c>
      <c r="J104">
        <v>3</v>
      </c>
      <c r="K104" t="s">
        <v>18</v>
      </c>
      <c r="L104">
        <v>4</v>
      </c>
      <c r="M104">
        <v>4</v>
      </c>
      <c r="N104" s="3">
        <v>2926</v>
      </c>
      <c r="O104" s="3" t="str">
        <f>IF(Table2[[#This Row],[MonthlyIncome]]&lt;=5000, "$1001 - $5000", IF(Table2[[#This Row],[MonthlyIncome]]&lt;=9000, "$5001 - $9000", IF(Table2[[#This Row],[MonthlyIncome]]&lt;=13000, "$9001 - $13000", IF(Table2[[#This Row],[MonthlyIncome]]&lt;=17000, "$13001 - $17000", IF(Table2[[#This Row],[MonthlyIncome]]&lt;=21000, "$17001 - $21000")))))</f>
        <v>$1001 - $5000</v>
      </c>
      <c r="P104">
        <v>1</v>
      </c>
      <c r="Q104">
        <v>3</v>
      </c>
      <c r="R104">
        <v>1</v>
      </c>
      <c r="S1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5" spans="1:19" ht="14.25" x14ac:dyDescent="0.2">
      <c r="A105">
        <v>27517147</v>
      </c>
      <c r="B105">
        <v>34</v>
      </c>
      <c r="C105" t="s">
        <v>20</v>
      </c>
      <c r="D105" t="s">
        <v>19</v>
      </c>
      <c r="E105" t="s">
        <v>22</v>
      </c>
      <c r="F105">
        <f>IF(Table2[[#This Row],[Attrition]]="Yes", 1, 0)</f>
        <v>0</v>
      </c>
      <c r="G105" t="s">
        <v>26</v>
      </c>
      <c r="H105" t="s">
        <v>23</v>
      </c>
      <c r="I105">
        <v>6</v>
      </c>
      <c r="J105">
        <v>4</v>
      </c>
      <c r="K105" t="s">
        <v>27</v>
      </c>
      <c r="L105">
        <v>1</v>
      </c>
      <c r="M105">
        <v>3</v>
      </c>
      <c r="N105" s="3">
        <v>4809</v>
      </c>
      <c r="O105" s="3" t="str">
        <f>IF(Table2[[#This Row],[MonthlyIncome]]&lt;=5000, "$1001 - $5000", IF(Table2[[#This Row],[MonthlyIncome]]&lt;=9000, "$5001 - $9000", IF(Table2[[#This Row],[MonthlyIncome]]&lt;=13000, "$9001 - $13000", IF(Table2[[#This Row],[MonthlyIncome]]&lt;=17000, "$13001 - $17000", IF(Table2[[#This Row],[MonthlyIncome]]&lt;=21000, "$17001 - $21000")))))</f>
        <v>$1001 - $5000</v>
      </c>
      <c r="P105">
        <v>1</v>
      </c>
      <c r="Q105">
        <v>3</v>
      </c>
      <c r="R105">
        <v>16</v>
      </c>
      <c r="S1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06" spans="1:19" ht="14.25" x14ac:dyDescent="0.2">
      <c r="A106">
        <v>49167537</v>
      </c>
      <c r="B106">
        <v>37</v>
      </c>
      <c r="C106" t="s">
        <v>25</v>
      </c>
      <c r="D106" t="s">
        <v>30</v>
      </c>
      <c r="E106" t="s">
        <v>22</v>
      </c>
      <c r="F106">
        <f>IF(Table2[[#This Row],[Attrition]]="Yes", 1, 0)</f>
        <v>0</v>
      </c>
      <c r="G106" t="s">
        <v>32</v>
      </c>
      <c r="H106" t="s">
        <v>23</v>
      </c>
      <c r="I106">
        <v>2</v>
      </c>
      <c r="J106">
        <v>2</v>
      </c>
      <c r="K106" t="s">
        <v>18</v>
      </c>
      <c r="L106">
        <v>3</v>
      </c>
      <c r="M106">
        <v>4</v>
      </c>
      <c r="N106" s="3">
        <v>5163</v>
      </c>
      <c r="O106" s="3" t="str">
        <f>IF(Table2[[#This Row],[MonthlyIncome]]&lt;=5000, "$1001 - $5000", IF(Table2[[#This Row],[MonthlyIncome]]&lt;=9000, "$5001 - $9000", IF(Table2[[#This Row],[MonthlyIncome]]&lt;=13000, "$9001 - $13000", IF(Table2[[#This Row],[MonthlyIncome]]&lt;=17000, "$13001 - $17000", IF(Table2[[#This Row],[MonthlyIncome]]&lt;=21000, "$17001 - $21000")))))</f>
        <v>$5001 - $9000</v>
      </c>
      <c r="P106">
        <v>5</v>
      </c>
      <c r="Q106">
        <v>4</v>
      </c>
      <c r="R106">
        <v>1</v>
      </c>
      <c r="S1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7" spans="1:19" ht="14.25" x14ac:dyDescent="0.2">
      <c r="A107">
        <v>83920811</v>
      </c>
      <c r="B107">
        <v>59</v>
      </c>
      <c r="C107" t="s">
        <v>20</v>
      </c>
      <c r="D107" t="s">
        <v>24</v>
      </c>
      <c r="E107" t="s">
        <v>22</v>
      </c>
      <c r="F107">
        <f>IF(Table2[[#This Row],[Attrition]]="Yes", 1, 0)</f>
        <v>0</v>
      </c>
      <c r="G107" t="s">
        <v>33</v>
      </c>
      <c r="H107" t="s">
        <v>38</v>
      </c>
      <c r="I107">
        <v>2</v>
      </c>
      <c r="J107">
        <v>4</v>
      </c>
      <c r="K107" t="s">
        <v>38</v>
      </c>
      <c r="L107">
        <v>3</v>
      </c>
      <c r="M107">
        <v>4</v>
      </c>
      <c r="N107" s="3">
        <v>18844</v>
      </c>
      <c r="O107" s="3" t="str">
        <f>IF(Table2[[#This Row],[MonthlyIncome]]&lt;=5000, "$1001 - $5000", IF(Table2[[#This Row],[MonthlyIncome]]&lt;=9000, "$5001 - $9000", IF(Table2[[#This Row],[MonthlyIncome]]&lt;=13000, "$9001 - $13000", IF(Table2[[#This Row],[MonthlyIncome]]&lt;=17000, "$13001 - $17000", IF(Table2[[#This Row],[MonthlyIncome]]&lt;=21000, "$17001 - $21000")))))</f>
        <v>$17001 - $21000</v>
      </c>
      <c r="P107">
        <v>9</v>
      </c>
      <c r="Q107">
        <v>3</v>
      </c>
      <c r="R107">
        <v>3</v>
      </c>
      <c r="S1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8" spans="1:19" ht="14.25" x14ac:dyDescent="0.2">
      <c r="A108">
        <v>18460345</v>
      </c>
      <c r="B108">
        <v>50</v>
      </c>
      <c r="C108" t="s">
        <v>20</v>
      </c>
      <c r="D108" t="s">
        <v>24</v>
      </c>
      <c r="E108" t="s">
        <v>22</v>
      </c>
      <c r="F108">
        <f>IF(Table2[[#This Row],[Attrition]]="Yes", 1, 0)</f>
        <v>0</v>
      </c>
      <c r="G108" t="s">
        <v>35</v>
      </c>
      <c r="H108" t="s">
        <v>23</v>
      </c>
      <c r="I108">
        <v>1</v>
      </c>
      <c r="J108">
        <v>3</v>
      </c>
      <c r="K108" t="s">
        <v>18</v>
      </c>
      <c r="L108">
        <v>1</v>
      </c>
      <c r="M108">
        <v>2</v>
      </c>
      <c r="N108" s="3">
        <v>18172</v>
      </c>
      <c r="O108" s="3" t="str">
        <f>IF(Table2[[#This Row],[MonthlyIncome]]&lt;=5000, "$1001 - $5000", IF(Table2[[#This Row],[MonthlyIncome]]&lt;=9000, "$5001 - $9000", IF(Table2[[#This Row],[MonthlyIncome]]&lt;=13000, "$9001 - $13000", IF(Table2[[#This Row],[MonthlyIncome]]&lt;=17000, "$13001 - $17000", IF(Table2[[#This Row],[MonthlyIncome]]&lt;=21000, "$17001 - $21000")))))</f>
        <v>$17001 - $21000</v>
      </c>
      <c r="P108">
        <v>3</v>
      </c>
      <c r="Q108">
        <v>2</v>
      </c>
      <c r="R108">
        <v>8</v>
      </c>
      <c r="S1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9" spans="1:19" ht="14.25" x14ac:dyDescent="0.2">
      <c r="A109">
        <v>73757529</v>
      </c>
      <c r="B109">
        <v>25</v>
      </c>
      <c r="C109" t="s">
        <v>25</v>
      </c>
      <c r="D109" t="s">
        <v>19</v>
      </c>
      <c r="E109" t="s">
        <v>16</v>
      </c>
      <c r="F109">
        <f>IF(Table2[[#This Row],[Attrition]]="Yes", 1, 0)</f>
        <v>1</v>
      </c>
      <c r="G109" t="s">
        <v>21</v>
      </c>
      <c r="H109" t="s">
        <v>17</v>
      </c>
      <c r="I109">
        <v>5</v>
      </c>
      <c r="J109">
        <v>3</v>
      </c>
      <c r="K109" t="s">
        <v>36</v>
      </c>
      <c r="L109">
        <v>3</v>
      </c>
      <c r="M109">
        <v>3</v>
      </c>
      <c r="N109" s="3">
        <v>5744</v>
      </c>
      <c r="O109" s="3" t="str">
        <f>IF(Table2[[#This Row],[MonthlyIncome]]&lt;=5000, "$1001 - $5000", IF(Table2[[#This Row],[MonthlyIncome]]&lt;=9000, "$5001 - $9000", IF(Table2[[#This Row],[MonthlyIncome]]&lt;=13000, "$9001 - $13000", IF(Table2[[#This Row],[MonthlyIncome]]&lt;=17000, "$13001 - $17000", IF(Table2[[#This Row],[MonthlyIncome]]&lt;=21000, "$17001 - $21000")))))</f>
        <v>$5001 - $9000</v>
      </c>
      <c r="P109">
        <v>1</v>
      </c>
      <c r="Q109">
        <v>3</v>
      </c>
      <c r="R109">
        <v>6</v>
      </c>
      <c r="S1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0" spans="1:19" ht="14.25" x14ac:dyDescent="0.2">
      <c r="A110">
        <v>58802252</v>
      </c>
      <c r="B110">
        <v>25</v>
      </c>
      <c r="C110" t="s">
        <v>25</v>
      </c>
      <c r="D110" t="s">
        <v>24</v>
      </c>
      <c r="E110" t="s">
        <v>22</v>
      </c>
      <c r="F110">
        <f>IF(Table2[[#This Row],[Attrition]]="Yes", 1, 0)</f>
        <v>0</v>
      </c>
      <c r="G110" t="s">
        <v>26</v>
      </c>
      <c r="H110" t="s">
        <v>23</v>
      </c>
      <c r="I110">
        <v>7</v>
      </c>
      <c r="J110">
        <v>1</v>
      </c>
      <c r="K110" t="s">
        <v>29</v>
      </c>
      <c r="L110">
        <v>4</v>
      </c>
      <c r="M110">
        <v>4</v>
      </c>
      <c r="N110" s="3">
        <v>2889</v>
      </c>
      <c r="O110" s="3" t="str">
        <f>IF(Table2[[#This Row],[MonthlyIncome]]&lt;=5000, "$1001 - $5000", IF(Table2[[#This Row],[MonthlyIncome]]&lt;=9000, "$5001 - $9000", IF(Table2[[#This Row],[MonthlyIncome]]&lt;=13000, "$9001 - $13000", IF(Table2[[#This Row],[MonthlyIncome]]&lt;=17000, "$13001 - $17000", IF(Table2[[#This Row],[MonthlyIncome]]&lt;=21000, "$17001 - $21000")))))</f>
        <v>$1001 - $5000</v>
      </c>
      <c r="P110">
        <v>1</v>
      </c>
      <c r="Q110">
        <v>3</v>
      </c>
      <c r="R110">
        <v>2</v>
      </c>
      <c r="S1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1" spans="1:19" ht="14.25" x14ac:dyDescent="0.2">
      <c r="A111">
        <v>64734402</v>
      </c>
      <c r="B111">
        <v>22</v>
      </c>
      <c r="C111" t="s">
        <v>20</v>
      </c>
      <c r="D111" t="s">
        <v>19</v>
      </c>
      <c r="E111" t="s">
        <v>22</v>
      </c>
      <c r="F111">
        <f>IF(Table2[[#This Row],[Attrition]]="Yes", 1, 0)</f>
        <v>0</v>
      </c>
      <c r="G111" t="s">
        <v>28</v>
      </c>
      <c r="H111" t="s">
        <v>23</v>
      </c>
      <c r="I111">
        <v>15</v>
      </c>
      <c r="J111">
        <v>3</v>
      </c>
      <c r="K111" t="s">
        <v>29</v>
      </c>
      <c r="L111">
        <v>2</v>
      </c>
      <c r="M111">
        <v>4</v>
      </c>
      <c r="N111" s="3">
        <v>2871</v>
      </c>
      <c r="O111" s="3" t="str">
        <f>IF(Table2[[#This Row],[MonthlyIncome]]&lt;=5000, "$1001 - $5000", IF(Table2[[#This Row],[MonthlyIncome]]&lt;=9000, "$5001 - $9000", IF(Table2[[#This Row],[MonthlyIncome]]&lt;=13000, "$9001 - $13000", IF(Table2[[#This Row],[MonthlyIncome]]&lt;=17000, "$13001 - $17000", IF(Table2[[#This Row],[MonthlyIncome]]&lt;=21000, "$17001 - $21000")))))</f>
        <v>$1001 - $5000</v>
      </c>
      <c r="P111">
        <v>1</v>
      </c>
      <c r="Q111">
        <v>3</v>
      </c>
      <c r="R111">
        <v>0</v>
      </c>
      <c r="S1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2" spans="1:19" ht="14.25" x14ac:dyDescent="0.2">
      <c r="A112">
        <v>79978846</v>
      </c>
      <c r="B112">
        <v>51</v>
      </c>
      <c r="C112" t="s">
        <v>20</v>
      </c>
      <c r="D112" t="s">
        <v>19</v>
      </c>
      <c r="E112" t="s">
        <v>22</v>
      </c>
      <c r="F112">
        <f>IF(Table2[[#This Row],[Attrition]]="Yes", 1, 0)</f>
        <v>0</v>
      </c>
      <c r="G112" t="s">
        <v>32</v>
      </c>
      <c r="H112" t="s">
        <v>23</v>
      </c>
      <c r="I112">
        <v>1</v>
      </c>
      <c r="J112">
        <v>4</v>
      </c>
      <c r="K112" t="s">
        <v>29</v>
      </c>
      <c r="L112">
        <v>1</v>
      </c>
      <c r="M112">
        <v>1</v>
      </c>
      <c r="N112" s="3">
        <v>7484</v>
      </c>
      <c r="O112" s="3" t="str">
        <f>IF(Table2[[#This Row],[MonthlyIncome]]&lt;=5000, "$1001 - $5000", IF(Table2[[#This Row],[MonthlyIncome]]&lt;=9000, "$5001 - $9000", IF(Table2[[#This Row],[MonthlyIncome]]&lt;=13000, "$9001 - $13000", IF(Table2[[#This Row],[MonthlyIncome]]&lt;=17000, "$13001 - $17000", IF(Table2[[#This Row],[MonthlyIncome]]&lt;=21000, "$17001 - $21000")))))</f>
        <v>$5001 - $9000</v>
      </c>
      <c r="P112">
        <v>3</v>
      </c>
      <c r="Q112">
        <v>2</v>
      </c>
      <c r="R112">
        <v>13</v>
      </c>
      <c r="S1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3" spans="1:19" ht="14.25" x14ac:dyDescent="0.2">
      <c r="A113">
        <v>88608127</v>
      </c>
      <c r="B113">
        <v>34</v>
      </c>
      <c r="C113" t="s">
        <v>25</v>
      </c>
      <c r="D113" t="s">
        <v>19</v>
      </c>
      <c r="E113" t="s">
        <v>16</v>
      </c>
      <c r="F113">
        <f>IF(Table2[[#This Row],[Attrition]]="Yes", 1, 0)</f>
        <v>1</v>
      </c>
      <c r="G113" t="s">
        <v>28</v>
      </c>
      <c r="H113" t="s">
        <v>23</v>
      </c>
      <c r="I113">
        <v>7</v>
      </c>
      <c r="J113">
        <v>3</v>
      </c>
      <c r="K113" t="s">
        <v>18</v>
      </c>
      <c r="L113">
        <v>1</v>
      </c>
      <c r="M113">
        <v>3</v>
      </c>
      <c r="N113" s="3">
        <v>6074</v>
      </c>
      <c r="O113" s="3" t="str">
        <f>IF(Table2[[#This Row],[MonthlyIncome]]&lt;=5000, "$1001 - $5000", IF(Table2[[#This Row],[MonthlyIncome]]&lt;=9000, "$5001 - $9000", IF(Table2[[#This Row],[MonthlyIncome]]&lt;=13000, "$9001 - $13000", IF(Table2[[#This Row],[MonthlyIncome]]&lt;=17000, "$13001 - $17000", IF(Table2[[#This Row],[MonthlyIncome]]&lt;=21000, "$17001 - $21000")))))</f>
        <v>$5001 - $9000</v>
      </c>
      <c r="P113">
        <v>1</v>
      </c>
      <c r="Q113">
        <v>3</v>
      </c>
      <c r="R113">
        <v>9</v>
      </c>
      <c r="S1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4" spans="1:19" ht="14.25" x14ac:dyDescent="0.2">
      <c r="A114">
        <v>13245773</v>
      </c>
      <c r="B114">
        <v>54</v>
      </c>
      <c r="C114" t="s">
        <v>20</v>
      </c>
      <c r="D114" t="s">
        <v>19</v>
      </c>
      <c r="E114" t="s">
        <v>22</v>
      </c>
      <c r="F114">
        <f>IF(Table2[[#This Row],[Attrition]]="Yes", 1, 0)</f>
        <v>0</v>
      </c>
      <c r="G114" t="s">
        <v>33</v>
      </c>
      <c r="H114" t="s">
        <v>38</v>
      </c>
      <c r="I114">
        <v>26</v>
      </c>
      <c r="J114">
        <v>3</v>
      </c>
      <c r="K114" t="s">
        <v>38</v>
      </c>
      <c r="L114">
        <v>4</v>
      </c>
      <c r="M114">
        <v>4</v>
      </c>
      <c r="N114" s="3">
        <v>17328</v>
      </c>
      <c r="O114" s="3" t="str">
        <f>IF(Table2[[#This Row],[MonthlyIncome]]&lt;=5000, "$1001 - $5000", IF(Table2[[#This Row],[MonthlyIncome]]&lt;=9000, "$5001 - $9000", IF(Table2[[#This Row],[MonthlyIncome]]&lt;=13000, "$9001 - $13000", IF(Table2[[#This Row],[MonthlyIncome]]&lt;=17000, "$13001 - $17000", IF(Table2[[#This Row],[MonthlyIncome]]&lt;=21000, "$17001 - $21000")))))</f>
        <v>$17001 - $21000</v>
      </c>
      <c r="P114">
        <v>2</v>
      </c>
      <c r="Q114">
        <v>3</v>
      </c>
      <c r="R114">
        <v>5</v>
      </c>
      <c r="S1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5" spans="1:19" ht="14.25" x14ac:dyDescent="0.2">
      <c r="A115">
        <v>83205352</v>
      </c>
      <c r="B115">
        <v>24</v>
      </c>
      <c r="C115" t="s">
        <v>25</v>
      </c>
      <c r="D115" t="s">
        <v>24</v>
      </c>
      <c r="E115" t="s">
        <v>22</v>
      </c>
      <c r="F115">
        <f>IF(Table2[[#This Row],[Attrition]]="Yes", 1, 0)</f>
        <v>0</v>
      </c>
      <c r="G115" t="s">
        <v>28</v>
      </c>
      <c r="H115" t="s">
        <v>23</v>
      </c>
      <c r="I115">
        <v>18</v>
      </c>
      <c r="J115">
        <v>1</v>
      </c>
      <c r="K115" t="s">
        <v>18</v>
      </c>
      <c r="L115">
        <v>2</v>
      </c>
      <c r="M115">
        <v>3</v>
      </c>
      <c r="N115" s="3">
        <v>2774</v>
      </c>
      <c r="O115" s="3" t="str">
        <f>IF(Table2[[#This Row],[MonthlyIncome]]&lt;=5000, "$1001 - $5000", IF(Table2[[#This Row],[MonthlyIncome]]&lt;=9000, "$5001 - $9000", IF(Table2[[#This Row],[MonthlyIncome]]&lt;=13000, "$9001 - $13000", IF(Table2[[#This Row],[MonthlyIncome]]&lt;=17000, "$13001 - $17000", IF(Table2[[#This Row],[MonthlyIncome]]&lt;=21000, "$17001 - $21000")))))</f>
        <v>$1001 - $5000</v>
      </c>
      <c r="P115">
        <v>0</v>
      </c>
      <c r="Q115">
        <v>3</v>
      </c>
      <c r="R115">
        <v>5</v>
      </c>
      <c r="S1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6" spans="1:19" ht="14.25" x14ac:dyDescent="0.2">
      <c r="A116">
        <v>41888000</v>
      </c>
      <c r="B116">
        <v>34</v>
      </c>
      <c r="C116" t="s">
        <v>20</v>
      </c>
      <c r="D116" t="s">
        <v>30</v>
      </c>
      <c r="E116" t="s">
        <v>22</v>
      </c>
      <c r="F116">
        <f>IF(Table2[[#This Row],[Attrition]]="Yes", 1, 0)</f>
        <v>0</v>
      </c>
      <c r="G116" t="s">
        <v>26</v>
      </c>
      <c r="H116" t="s">
        <v>23</v>
      </c>
      <c r="I116">
        <v>6</v>
      </c>
      <c r="J116">
        <v>4</v>
      </c>
      <c r="K116" t="s">
        <v>18</v>
      </c>
      <c r="L116">
        <v>3</v>
      </c>
      <c r="M116">
        <v>2</v>
      </c>
      <c r="N116" s="3">
        <v>4505</v>
      </c>
      <c r="O116" s="3" t="str">
        <f>IF(Table2[[#This Row],[MonthlyIncome]]&lt;=5000, "$1001 - $5000", IF(Table2[[#This Row],[MonthlyIncome]]&lt;=9000, "$5001 - $9000", IF(Table2[[#This Row],[MonthlyIncome]]&lt;=13000, "$9001 - $13000", IF(Table2[[#This Row],[MonthlyIncome]]&lt;=17000, "$13001 - $17000", IF(Table2[[#This Row],[MonthlyIncome]]&lt;=21000, "$17001 - $21000")))))</f>
        <v>$1001 - $5000</v>
      </c>
      <c r="P116">
        <v>6</v>
      </c>
      <c r="Q116">
        <v>3</v>
      </c>
      <c r="R116">
        <v>1</v>
      </c>
      <c r="S1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7" spans="1:19" ht="14.25" x14ac:dyDescent="0.2">
      <c r="A117">
        <v>70159314</v>
      </c>
      <c r="B117">
        <v>37</v>
      </c>
      <c r="C117" t="s">
        <v>25</v>
      </c>
      <c r="D117" t="s">
        <v>19</v>
      </c>
      <c r="E117" t="s">
        <v>22</v>
      </c>
      <c r="F117">
        <f>IF(Table2[[#This Row],[Attrition]]="Yes", 1, 0)</f>
        <v>0</v>
      </c>
      <c r="G117" t="s">
        <v>21</v>
      </c>
      <c r="H117" t="s">
        <v>17</v>
      </c>
      <c r="I117">
        <v>3</v>
      </c>
      <c r="J117">
        <v>3</v>
      </c>
      <c r="K117" t="s">
        <v>18</v>
      </c>
      <c r="L117">
        <v>3</v>
      </c>
      <c r="M117">
        <v>4</v>
      </c>
      <c r="N117" s="3">
        <v>7428</v>
      </c>
      <c r="O117" s="3" t="str">
        <f>IF(Table2[[#This Row],[MonthlyIncome]]&lt;=5000, "$1001 - $5000", IF(Table2[[#This Row],[MonthlyIncome]]&lt;=9000, "$5001 - $9000", IF(Table2[[#This Row],[MonthlyIncome]]&lt;=13000, "$9001 - $13000", IF(Table2[[#This Row],[MonthlyIncome]]&lt;=17000, "$13001 - $17000", IF(Table2[[#This Row],[MonthlyIncome]]&lt;=21000, "$17001 - $21000")))))</f>
        <v>$5001 - $9000</v>
      </c>
      <c r="P117">
        <v>2</v>
      </c>
      <c r="Q117">
        <v>3</v>
      </c>
      <c r="R117">
        <v>5</v>
      </c>
      <c r="S1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8" spans="1:19" ht="14.25" x14ac:dyDescent="0.2">
      <c r="A118">
        <v>77405001</v>
      </c>
      <c r="B118">
        <v>34</v>
      </c>
      <c r="C118" t="s">
        <v>20</v>
      </c>
      <c r="D118" t="s">
        <v>19</v>
      </c>
      <c r="E118" t="s">
        <v>22</v>
      </c>
      <c r="F118">
        <f>IF(Table2[[#This Row],[Attrition]]="Yes", 1, 0)</f>
        <v>0</v>
      </c>
      <c r="G118" t="s">
        <v>33</v>
      </c>
      <c r="H118" t="s">
        <v>23</v>
      </c>
      <c r="I118">
        <v>5</v>
      </c>
      <c r="J118">
        <v>3</v>
      </c>
      <c r="K118" t="s">
        <v>29</v>
      </c>
      <c r="L118">
        <v>3</v>
      </c>
      <c r="M118">
        <v>1</v>
      </c>
      <c r="N118" s="3">
        <v>11631</v>
      </c>
      <c r="O118" s="3" t="str">
        <f>IF(Table2[[#This Row],[MonthlyIncome]]&lt;=5000, "$1001 - $5000", IF(Table2[[#This Row],[MonthlyIncome]]&lt;=9000, "$5001 - $9000", IF(Table2[[#This Row],[MonthlyIncome]]&lt;=13000, "$9001 - $13000", IF(Table2[[#This Row],[MonthlyIncome]]&lt;=17000, "$13001 - $17000", IF(Table2[[#This Row],[MonthlyIncome]]&lt;=21000, "$17001 - $21000")))))</f>
        <v>$9001 - $13000</v>
      </c>
      <c r="P118">
        <v>2</v>
      </c>
      <c r="Q118">
        <v>3</v>
      </c>
      <c r="R118">
        <v>11</v>
      </c>
      <c r="S1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9" spans="1:19" ht="14.25" x14ac:dyDescent="0.2">
      <c r="A119">
        <v>64995403</v>
      </c>
      <c r="B119">
        <v>36</v>
      </c>
      <c r="C119" t="s">
        <v>20</v>
      </c>
      <c r="D119" t="s">
        <v>24</v>
      </c>
      <c r="E119" t="s">
        <v>22</v>
      </c>
      <c r="F119">
        <f>IF(Table2[[#This Row],[Attrition]]="Yes", 1, 0)</f>
        <v>0</v>
      </c>
      <c r="G119" t="s">
        <v>21</v>
      </c>
      <c r="H119" t="s">
        <v>17</v>
      </c>
      <c r="I119">
        <v>11</v>
      </c>
      <c r="J119">
        <v>2</v>
      </c>
      <c r="K119" t="s">
        <v>37</v>
      </c>
      <c r="L119">
        <v>2</v>
      </c>
      <c r="M119">
        <v>4</v>
      </c>
      <c r="N119" s="3">
        <v>9738</v>
      </c>
      <c r="O119" s="3" t="str">
        <f>IF(Table2[[#This Row],[MonthlyIncome]]&lt;=5000, "$1001 - $5000", IF(Table2[[#This Row],[MonthlyIncome]]&lt;=9000, "$5001 - $9000", IF(Table2[[#This Row],[MonthlyIncome]]&lt;=13000, "$9001 - $13000", IF(Table2[[#This Row],[MonthlyIncome]]&lt;=17000, "$13001 - $17000", IF(Table2[[#This Row],[MonthlyIncome]]&lt;=21000, "$17001 - $21000")))))</f>
        <v>$9001 - $13000</v>
      </c>
      <c r="P119">
        <v>0</v>
      </c>
      <c r="Q119">
        <v>3</v>
      </c>
      <c r="R119">
        <v>9</v>
      </c>
      <c r="S1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0" spans="1:19" ht="14.25" x14ac:dyDescent="0.2">
      <c r="A120">
        <v>82575217</v>
      </c>
      <c r="B120">
        <v>36</v>
      </c>
      <c r="C120" t="s">
        <v>20</v>
      </c>
      <c r="D120" t="s">
        <v>30</v>
      </c>
      <c r="E120" t="s">
        <v>22</v>
      </c>
      <c r="F120">
        <f>IF(Table2[[#This Row],[Attrition]]="Yes", 1, 0)</f>
        <v>0</v>
      </c>
      <c r="G120" t="s">
        <v>28</v>
      </c>
      <c r="H120" t="s">
        <v>23</v>
      </c>
      <c r="I120">
        <v>3</v>
      </c>
      <c r="J120">
        <v>2</v>
      </c>
      <c r="K120" t="s">
        <v>18</v>
      </c>
      <c r="L120">
        <v>1</v>
      </c>
      <c r="M120">
        <v>4</v>
      </c>
      <c r="N120" s="3">
        <v>2835</v>
      </c>
      <c r="O120" s="3" t="str">
        <f>IF(Table2[[#This Row],[MonthlyIncome]]&lt;=5000, "$1001 - $5000", IF(Table2[[#This Row],[MonthlyIncome]]&lt;=9000, "$5001 - $9000", IF(Table2[[#This Row],[MonthlyIncome]]&lt;=13000, "$9001 - $13000", IF(Table2[[#This Row],[MonthlyIncome]]&lt;=17000, "$13001 - $17000", IF(Table2[[#This Row],[MonthlyIncome]]&lt;=21000, "$17001 - $21000")))))</f>
        <v>$1001 - $5000</v>
      </c>
      <c r="P120">
        <v>5</v>
      </c>
      <c r="Q120">
        <v>3</v>
      </c>
      <c r="R120">
        <v>1</v>
      </c>
      <c r="S1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1" spans="1:19" ht="14.25" x14ac:dyDescent="0.2">
      <c r="A121">
        <v>37034582</v>
      </c>
      <c r="B121">
        <v>43</v>
      </c>
      <c r="C121" t="s">
        <v>25</v>
      </c>
      <c r="D121" t="s">
        <v>24</v>
      </c>
      <c r="E121" t="s">
        <v>22</v>
      </c>
      <c r="F121">
        <f>IF(Table2[[#This Row],[Attrition]]="Yes", 1, 0)</f>
        <v>0</v>
      </c>
      <c r="G121" t="s">
        <v>33</v>
      </c>
      <c r="H121" t="s">
        <v>17</v>
      </c>
      <c r="I121">
        <v>26</v>
      </c>
      <c r="J121">
        <v>2</v>
      </c>
      <c r="K121" t="s">
        <v>18</v>
      </c>
      <c r="L121">
        <v>3</v>
      </c>
      <c r="M121">
        <v>4</v>
      </c>
      <c r="N121" s="3">
        <v>16959</v>
      </c>
      <c r="O121" s="3" t="str">
        <f>IF(Table2[[#This Row],[MonthlyIncome]]&lt;=5000, "$1001 - $5000", IF(Table2[[#This Row],[MonthlyIncome]]&lt;=9000, "$5001 - $9000", IF(Table2[[#This Row],[MonthlyIncome]]&lt;=13000, "$9001 - $13000", IF(Table2[[#This Row],[MonthlyIncome]]&lt;=17000, "$13001 - $17000", IF(Table2[[#This Row],[MonthlyIncome]]&lt;=21000, "$17001 - $21000")))))</f>
        <v>$13001 - $17000</v>
      </c>
      <c r="P121">
        <v>1</v>
      </c>
      <c r="Q121">
        <v>4</v>
      </c>
      <c r="R121">
        <v>25</v>
      </c>
      <c r="S1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25 - 30 Years</v>
      </c>
    </row>
    <row r="122" spans="1:19" ht="14.25" x14ac:dyDescent="0.2">
      <c r="A122">
        <v>69746372</v>
      </c>
      <c r="B122">
        <v>30</v>
      </c>
      <c r="C122" t="s">
        <v>25</v>
      </c>
      <c r="D122" t="s">
        <v>30</v>
      </c>
      <c r="E122" t="s">
        <v>22</v>
      </c>
      <c r="F122">
        <f>IF(Table2[[#This Row],[Attrition]]="Yes", 1, 0)</f>
        <v>0</v>
      </c>
      <c r="G122" t="s">
        <v>26</v>
      </c>
      <c r="H122" t="s">
        <v>23</v>
      </c>
      <c r="I122">
        <v>23</v>
      </c>
      <c r="J122">
        <v>3</v>
      </c>
      <c r="K122" t="s">
        <v>18</v>
      </c>
      <c r="L122">
        <v>1</v>
      </c>
      <c r="M122">
        <v>3</v>
      </c>
      <c r="N122" s="3">
        <v>2613</v>
      </c>
      <c r="O122" s="3" t="str">
        <f>IF(Table2[[#This Row],[MonthlyIncome]]&lt;=5000, "$1001 - $5000", IF(Table2[[#This Row],[MonthlyIncome]]&lt;=9000, "$5001 - $9000", IF(Table2[[#This Row],[MonthlyIncome]]&lt;=13000, "$9001 - $13000", IF(Table2[[#This Row],[MonthlyIncome]]&lt;=17000, "$13001 - $17000", IF(Table2[[#This Row],[MonthlyIncome]]&lt;=21000, "$17001 - $21000")))))</f>
        <v>$1001 - $5000</v>
      </c>
      <c r="P122">
        <v>1</v>
      </c>
      <c r="Q122">
        <v>2</v>
      </c>
      <c r="R122">
        <v>10</v>
      </c>
      <c r="S1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3" spans="1:19" ht="14.25" x14ac:dyDescent="0.2">
      <c r="A123">
        <v>26292612</v>
      </c>
      <c r="B123">
        <v>33</v>
      </c>
      <c r="C123" t="s">
        <v>25</v>
      </c>
      <c r="D123" t="s">
        <v>24</v>
      </c>
      <c r="E123" t="s">
        <v>22</v>
      </c>
      <c r="F123">
        <f>IF(Table2[[#This Row],[Attrition]]="Yes", 1, 0)</f>
        <v>0</v>
      </c>
      <c r="G123" t="s">
        <v>21</v>
      </c>
      <c r="H123" t="s">
        <v>17</v>
      </c>
      <c r="I123">
        <v>22</v>
      </c>
      <c r="J123">
        <v>2</v>
      </c>
      <c r="K123" t="s">
        <v>36</v>
      </c>
      <c r="L123">
        <v>3</v>
      </c>
      <c r="M123">
        <v>2</v>
      </c>
      <c r="N123" s="3">
        <v>6146</v>
      </c>
      <c r="O123" s="3" t="str">
        <f>IF(Table2[[#This Row],[MonthlyIncome]]&lt;=5000, "$1001 - $5000", IF(Table2[[#This Row],[MonthlyIncome]]&lt;=9000, "$5001 - $9000", IF(Table2[[#This Row],[MonthlyIncome]]&lt;=13000, "$9001 - $13000", IF(Table2[[#This Row],[MonthlyIncome]]&lt;=17000, "$13001 - $17000", IF(Table2[[#This Row],[MonthlyIncome]]&lt;=21000, "$17001 - $21000")))))</f>
        <v>$5001 - $9000</v>
      </c>
      <c r="P123">
        <v>0</v>
      </c>
      <c r="Q123">
        <v>4</v>
      </c>
      <c r="R123">
        <v>7</v>
      </c>
      <c r="S1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4" spans="1:19" ht="14.25" x14ac:dyDescent="0.2">
      <c r="A124">
        <v>43934990</v>
      </c>
      <c r="B124">
        <v>56</v>
      </c>
      <c r="C124" t="s">
        <v>20</v>
      </c>
      <c r="D124" t="s">
        <v>24</v>
      </c>
      <c r="E124" t="s">
        <v>16</v>
      </c>
      <c r="F124">
        <f>IF(Table2[[#This Row],[Attrition]]="Yes", 1, 0)</f>
        <v>1</v>
      </c>
      <c r="G124" t="s">
        <v>26</v>
      </c>
      <c r="H124" t="s">
        <v>23</v>
      </c>
      <c r="I124">
        <v>14</v>
      </c>
      <c r="J124">
        <v>4</v>
      </c>
      <c r="K124" t="s">
        <v>18</v>
      </c>
      <c r="L124">
        <v>2</v>
      </c>
      <c r="M124">
        <v>2</v>
      </c>
      <c r="N124" s="3">
        <v>4963</v>
      </c>
      <c r="O124" s="3" t="str">
        <f>IF(Table2[[#This Row],[MonthlyIncome]]&lt;=5000, "$1001 - $5000", IF(Table2[[#This Row],[MonthlyIncome]]&lt;=9000, "$5001 - $9000", IF(Table2[[#This Row],[MonthlyIncome]]&lt;=13000, "$9001 - $13000", IF(Table2[[#This Row],[MonthlyIncome]]&lt;=17000, "$13001 - $17000", IF(Table2[[#This Row],[MonthlyIncome]]&lt;=21000, "$17001 - $21000")))))</f>
        <v>$1001 - $5000</v>
      </c>
      <c r="P124">
        <v>9</v>
      </c>
      <c r="Q124">
        <v>3</v>
      </c>
      <c r="R124">
        <v>5</v>
      </c>
      <c r="S1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5" spans="1:19" ht="14.25" x14ac:dyDescent="0.2">
      <c r="A125">
        <v>66068948</v>
      </c>
      <c r="B125">
        <v>51</v>
      </c>
      <c r="C125" t="s">
        <v>25</v>
      </c>
      <c r="D125" t="s">
        <v>19</v>
      </c>
      <c r="E125" t="s">
        <v>22</v>
      </c>
      <c r="F125">
        <f>IF(Table2[[#This Row],[Attrition]]="Yes", 1, 0)</f>
        <v>0</v>
      </c>
      <c r="G125" t="s">
        <v>35</v>
      </c>
      <c r="H125" t="s">
        <v>23</v>
      </c>
      <c r="I125">
        <v>6</v>
      </c>
      <c r="J125">
        <v>3</v>
      </c>
      <c r="K125" t="s">
        <v>18</v>
      </c>
      <c r="L125">
        <v>1</v>
      </c>
      <c r="M125">
        <v>3</v>
      </c>
      <c r="N125" s="3">
        <v>19537</v>
      </c>
      <c r="O125" s="3" t="str">
        <f>IF(Table2[[#This Row],[MonthlyIncome]]&lt;=5000, "$1001 - $5000", IF(Table2[[#This Row],[MonthlyIncome]]&lt;=9000, "$5001 - $9000", IF(Table2[[#This Row],[MonthlyIncome]]&lt;=13000, "$9001 - $13000", IF(Table2[[#This Row],[MonthlyIncome]]&lt;=17000, "$13001 - $17000", IF(Table2[[#This Row],[MonthlyIncome]]&lt;=21000, "$17001 - $21000")))))</f>
        <v>$17001 - $21000</v>
      </c>
      <c r="P125">
        <v>7</v>
      </c>
      <c r="Q125">
        <v>3</v>
      </c>
      <c r="R125">
        <v>20</v>
      </c>
      <c r="S1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26" spans="1:19" ht="14.25" x14ac:dyDescent="0.2">
      <c r="A126">
        <v>50376587</v>
      </c>
      <c r="B126">
        <v>31</v>
      </c>
      <c r="C126" t="s">
        <v>25</v>
      </c>
      <c r="D126" t="s">
        <v>24</v>
      </c>
      <c r="E126" t="s">
        <v>16</v>
      </c>
      <c r="F126">
        <f>IF(Table2[[#This Row],[Attrition]]="Yes", 1, 0)</f>
        <v>1</v>
      </c>
      <c r="G126" t="s">
        <v>21</v>
      </c>
      <c r="H126" t="s">
        <v>17</v>
      </c>
      <c r="I126">
        <v>6</v>
      </c>
      <c r="J126">
        <v>4</v>
      </c>
      <c r="K126" t="s">
        <v>18</v>
      </c>
      <c r="L126">
        <v>2</v>
      </c>
      <c r="M126">
        <v>3</v>
      </c>
      <c r="N126" s="3">
        <v>6172</v>
      </c>
      <c r="O126" s="3" t="str">
        <f>IF(Table2[[#This Row],[MonthlyIncome]]&lt;=5000, "$1001 - $5000", IF(Table2[[#This Row],[MonthlyIncome]]&lt;=9000, "$5001 - $9000", IF(Table2[[#This Row],[MonthlyIncome]]&lt;=13000, "$9001 - $13000", IF(Table2[[#This Row],[MonthlyIncome]]&lt;=17000, "$13001 - $17000", IF(Table2[[#This Row],[MonthlyIncome]]&lt;=21000, "$17001 - $21000")))))</f>
        <v>$5001 - $9000</v>
      </c>
      <c r="P126">
        <v>4</v>
      </c>
      <c r="Q126">
        <v>2</v>
      </c>
      <c r="R126">
        <v>7</v>
      </c>
      <c r="S1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7" spans="1:19" ht="14.25" x14ac:dyDescent="0.2">
      <c r="A127">
        <v>81567255</v>
      </c>
      <c r="B127">
        <v>26</v>
      </c>
      <c r="C127" t="s">
        <v>20</v>
      </c>
      <c r="D127" t="s">
        <v>24</v>
      </c>
      <c r="E127" t="s">
        <v>22</v>
      </c>
      <c r="F127">
        <f>IF(Table2[[#This Row],[Attrition]]="Yes", 1, 0)</f>
        <v>0</v>
      </c>
      <c r="G127" t="s">
        <v>26</v>
      </c>
      <c r="H127" t="s">
        <v>23</v>
      </c>
      <c r="I127">
        <v>6</v>
      </c>
      <c r="J127">
        <v>3</v>
      </c>
      <c r="K127" t="s">
        <v>27</v>
      </c>
      <c r="L127">
        <v>3</v>
      </c>
      <c r="M127">
        <v>2</v>
      </c>
      <c r="N127" s="3">
        <v>2368</v>
      </c>
      <c r="O127" s="3" t="str">
        <f>IF(Table2[[#This Row],[MonthlyIncome]]&lt;=5000, "$1001 - $5000", IF(Table2[[#This Row],[MonthlyIncome]]&lt;=9000, "$5001 - $9000", IF(Table2[[#This Row],[MonthlyIncome]]&lt;=13000, "$9001 - $13000", IF(Table2[[#This Row],[MonthlyIncome]]&lt;=17000, "$13001 - $17000", IF(Table2[[#This Row],[MonthlyIncome]]&lt;=21000, "$17001 - $21000")))))</f>
        <v>$1001 - $5000</v>
      </c>
      <c r="P127">
        <v>1</v>
      </c>
      <c r="Q127">
        <v>2</v>
      </c>
      <c r="R127">
        <v>5</v>
      </c>
      <c r="S1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8" spans="1:19" ht="14.25" x14ac:dyDescent="0.2">
      <c r="A128">
        <v>19655815</v>
      </c>
      <c r="B128">
        <v>58</v>
      </c>
      <c r="C128" t="s">
        <v>20</v>
      </c>
      <c r="D128" t="s">
        <v>24</v>
      </c>
      <c r="E128" t="s">
        <v>16</v>
      </c>
      <c r="F128">
        <f>IF(Table2[[#This Row],[Attrition]]="Yes", 1, 0)</f>
        <v>1</v>
      </c>
      <c r="G128" t="s">
        <v>32</v>
      </c>
      <c r="H128" t="s">
        <v>23</v>
      </c>
      <c r="I128">
        <v>23</v>
      </c>
      <c r="J128">
        <v>4</v>
      </c>
      <c r="K128" t="s">
        <v>29</v>
      </c>
      <c r="L128">
        <v>4</v>
      </c>
      <c r="M128">
        <v>4</v>
      </c>
      <c r="N128" s="3">
        <v>10312</v>
      </c>
      <c r="O128" s="3" t="str">
        <f>IF(Table2[[#This Row],[MonthlyIncome]]&lt;=5000, "$1001 - $5000", IF(Table2[[#This Row],[MonthlyIncome]]&lt;=9000, "$5001 - $9000", IF(Table2[[#This Row],[MonthlyIncome]]&lt;=13000, "$9001 - $13000", IF(Table2[[#This Row],[MonthlyIncome]]&lt;=17000, "$13001 - $17000", IF(Table2[[#This Row],[MonthlyIncome]]&lt;=21000, "$17001 - $21000")))))</f>
        <v>$9001 - $13000</v>
      </c>
      <c r="P128">
        <v>1</v>
      </c>
      <c r="Q128">
        <v>2</v>
      </c>
      <c r="R128">
        <v>40</v>
      </c>
      <c r="S1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40+ Years</v>
      </c>
    </row>
    <row r="129" spans="1:19" ht="14.25" x14ac:dyDescent="0.2">
      <c r="A129">
        <v>52285669</v>
      </c>
      <c r="B129">
        <v>19</v>
      </c>
      <c r="C129" t="s">
        <v>25</v>
      </c>
      <c r="D129" t="s">
        <v>19</v>
      </c>
      <c r="E129" t="s">
        <v>16</v>
      </c>
      <c r="F129">
        <f>IF(Table2[[#This Row],[Attrition]]="Yes", 1, 0)</f>
        <v>1</v>
      </c>
      <c r="G129" t="s">
        <v>34</v>
      </c>
      <c r="H129" t="s">
        <v>17</v>
      </c>
      <c r="I129">
        <v>22</v>
      </c>
      <c r="J129">
        <v>1</v>
      </c>
      <c r="K129" t="s">
        <v>36</v>
      </c>
      <c r="L129">
        <v>4</v>
      </c>
      <c r="M129">
        <v>3</v>
      </c>
      <c r="N129" s="3">
        <v>1675</v>
      </c>
      <c r="O129" s="3" t="str">
        <f>IF(Table2[[#This Row],[MonthlyIncome]]&lt;=5000, "$1001 - $5000", IF(Table2[[#This Row],[MonthlyIncome]]&lt;=9000, "$5001 - $9000", IF(Table2[[#This Row],[MonthlyIncome]]&lt;=13000, "$9001 - $13000", IF(Table2[[#This Row],[MonthlyIncome]]&lt;=17000, "$13001 - $17000", IF(Table2[[#This Row],[MonthlyIncome]]&lt;=21000, "$17001 - $21000")))))</f>
        <v>$1001 - $5000</v>
      </c>
      <c r="P129">
        <v>1</v>
      </c>
      <c r="Q129">
        <v>2</v>
      </c>
      <c r="R129">
        <v>0</v>
      </c>
      <c r="S1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0" spans="1:19" ht="14.25" x14ac:dyDescent="0.2">
      <c r="A130">
        <v>60174944</v>
      </c>
      <c r="B130">
        <v>22</v>
      </c>
      <c r="C130" t="s">
        <v>25</v>
      </c>
      <c r="D130" t="s">
        <v>24</v>
      </c>
      <c r="E130" t="s">
        <v>22</v>
      </c>
      <c r="F130">
        <f>IF(Table2[[#This Row],[Attrition]]="Yes", 1, 0)</f>
        <v>0</v>
      </c>
      <c r="G130" t="s">
        <v>28</v>
      </c>
      <c r="H130" t="s">
        <v>23</v>
      </c>
      <c r="I130">
        <v>2</v>
      </c>
      <c r="J130">
        <v>1</v>
      </c>
      <c r="K130" t="s">
        <v>37</v>
      </c>
      <c r="L130">
        <v>3</v>
      </c>
      <c r="M130">
        <v>4</v>
      </c>
      <c r="N130" s="3">
        <v>2523</v>
      </c>
      <c r="O130" s="3" t="str">
        <f>IF(Table2[[#This Row],[MonthlyIncome]]&lt;=5000, "$1001 - $5000", IF(Table2[[#This Row],[MonthlyIncome]]&lt;=9000, "$5001 - $9000", IF(Table2[[#This Row],[MonthlyIncome]]&lt;=13000, "$9001 - $13000", IF(Table2[[#This Row],[MonthlyIncome]]&lt;=17000, "$13001 - $17000", IF(Table2[[#This Row],[MonthlyIncome]]&lt;=21000, "$17001 - $21000")))))</f>
        <v>$1001 - $5000</v>
      </c>
      <c r="P130">
        <v>0</v>
      </c>
      <c r="Q130">
        <v>3</v>
      </c>
      <c r="R130">
        <v>2</v>
      </c>
      <c r="S1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1" spans="1:19" ht="14.25" x14ac:dyDescent="0.2">
      <c r="A131">
        <v>23775070</v>
      </c>
      <c r="B131">
        <v>49</v>
      </c>
      <c r="C131" t="s">
        <v>20</v>
      </c>
      <c r="D131" t="s">
        <v>24</v>
      </c>
      <c r="E131" t="s">
        <v>22</v>
      </c>
      <c r="F131">
        <f>IF(Table2[[#This Row],[Attrition]]="Yes", 1, 0)</f>
        <v>0</v>
      </c>
      <c r="G131" t="s">
        <v>31</v>
      </c>
      <c r="H131" t="s">
        <v>23</v>
      </c>
      <c r="I131">
        <v>20</v>
      </c>
      <c r="J131">
        <v>4</v>
      </c>
      <c r="K131" t="s">
        <v>29</v>
      </c>
      <c r="L131">
        <v>3</v>
      </c>
      <c r="M131">
        <v>1</v>
      </c>
      <c r="N131" s="3">
        <v>6567</v>
      </c>
      <c r="O131" s="3" t="str">
        <f>IF(Table2[[#This Row],[MonthlyIncome]]&lt;=5000, "$1001 - $5000", IF(Table2[[#This Row],[MonthlyIncome]]&lt;=9000, "$5001 - $9000", IF(Table2[[#This Row],[MonthlyIncome]]&lt;=13000, "$9001 - $13000", IF(Table2[[#This Row],[MonthlyIncome]]&lt;=17000, "$13001 - $17000", IF(Table2[[#This Row],[MonthlyIncome]]&lt;=21000, "$17001 - $21000")))))</f>
        <v>$5001 - $9000</v>
      </c>
      <c r="P131">
        <v>1</v>
      </c>
      <c r="Q131">
        <v>2</v>
      </c>
      <c r="R131">
        <v>15</v>
      </c>
      <c r="S1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32" spans="1:19" ht="14.25" x14ac:dyDescent="0.2">
      <c r="A132">
        <v>36327490</v>
      </c>
      <c r="B132">
        <v>43</v>
      </c>
      <c r="C132" t="s">
        <v>20</v>
      </c>
      <c r="D132" t="s">
        <v>19</v>
      </c>
      <c r="E132" t="s">
        <v>22</v>
      </c>
      <c r="F132">
        <f>IF(Table2[[#This Row],[Attrition]]="Yes", 1, 0)</f>
        <v>0</v>
      </c>
      <c r="G132" t="s">
        <v>26</v>
      </c>
      <c r="H132" t="s">
        <v>23</v>
      </c>
      <c r="I132">
        <v>28</v>
      </c>
      <c r="J132">
        <v>3</v>
      </c>
      <c r="K132" t="s">
        <v>29</v>
      </c>
      <c r="L132">
        <v>2</v>
      </c>
      <c r="M132">
        <v>3</v>
      </c>
      <c r="N132" s="3">
        <v>4739</v>
      </c>
      <c r="O132" s="3" t="str">
        <f>IF(Table2[[#This Row],[MonthlyIncome]]&lt;=5000, "$1001 - $5000", IF(Table2[[#This Row],[MonthlyIncome]]&lt;=9000, "$5001 - $9000", IF(Table2[[#This Row],[MonthlyIncome]]&lt;=13000, "$9001 - $13000", IF(Table2[[#This Row],[MonthlyIncome]]&lt;=17000, "$13001 - $17000", IF(Table2[[#This Row],[MonthlyIncome]]&lt;=21000, "$17001 - $21000")))))</f>
        <v>$1001 - $5000</v>
      </c>
      <c r="P132">
        <v>4</v>
      </c>
      <c r="Q132">
        <v>3</v>
      </c>
      <c r="R132">
        <v>3</v>
      </c>
      <c r="S1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3" spans="1:19" ht="14.25" x14ac:dyDescent="0.2">
      <c r="A133">
        <v>27869273</v>
      </c>
      <c r="B133">
        <v>50</v>
      </c>
      <c r="C133" t="s">
        <v>20</v>
      </c>
      <c r="D133" t="s">
        <v>19</v>
      </c>
      <c r="E133" t="s">
        <v>22</v>
      </c>
      <c r="F133">
        <f>IF(Table2[[#This Row],[Attrition]]="Yes", 1, 0)</f>
        <v>0</v>
      </c>
      <c r="G133" t="s">
        <v>21</v>
      </c>
      <c r="H133" t="s">
        <v>17</v>
      </c>
      <c r="I133">
        <v>12</v>
      </c>
      <c r="J133">
        <v>3</v>
      </c>
      <c r="K133" t="s">
        <v>36</v>
      </c>
      <c r="L133">
        <v>3</v>
      </c>
      <c r="M133">
        <v>4</v>
      </c>
      <c r="N133" s="3">
        <v>9208</v>
      </c>
      <c r="O133" s="3" t="str">
        <f>IF(Table2[[#This Row],[MonthlyIncome]]&lt;=5000, "$1001 - $5000", IF(Table2[[#This Row],[MonthlyIncome]]&lt;=9000, "$5001 - $9000", IF(Table2[[#This Row],[MonthlyIncome]]&lt;=13000, "$9001 - $13000", IF(Table2[[#This Row],[MonthlyIncome]]&lt;=17000, "$13001 - $17000", IF(Table2[[#This Row],[MonthlyIncome]]&lt;=21000, "$17001 - $21000")))))</f>
        <v>$9001 - $13000</v>
      </c>
      <c r="P133">
        <v>4</v>
      </c>
      <c r="Q133">
        <v>3</v>
      </c>
      <c r="R133">
        <v>2</v>
      </c>
      <c r="S1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4" spans="1:19" ht="14.25" x14ac:dyDescent="0.2">
      <c r="A134">
        <v>20980043</v>
      </c>
      <c r="B134">
        <v>31</v>
      </c>
      <c r="C134" t="s">
        <v>20</v>
      </c>
      <c r="D134" t="s">
        <v>24</v>
      </c>
      <c r="E134" t="s">
        <v>16</v>
      </c>
      <c r="F134">
        <f>IF(Table2[[#This Row],[Attrition]]="Yes", 1, 0)</f>
        <v>1</v>
      </c>
      <c r="G134" t="s">
        <v>21</v>
      </c>
      <c r="H134" t="s">
        <v>17</v>
      </c>
      <c r="I134">
        <v>20</v>
      </c>
      <c r="J134">
        <v>3</v>
      </c>
      <c r="K134" t="s">
        <v>18</v>
      </c>
      <c r="L134">
        <v>2</v>
      </c>
      <c r="M134">
        <v>3</v>
      </c>
      <c r="N134" s="3">
        <v>4559</v>
      </c>
      <c r="O134" s="3" t="str">
        <f>IF(Table2[[#This Row],[MonthlyIncome]]&lt;=5000, "$1001 - $5000", IF(Table2[[#This Row],[MonthlyIncome]]&lt;=9000, "$5001 - $9000", IF(Table2[[#This Row],[MonthlyIncome]]&lt;=13000, "$9001 - $13000", IF(Table2[[#This Row],[MonthlyIncome]]&lt;=17000, "$13001 - $17000", IF(Table2[[#This Row],[MonthlyIncome]]&lt;=21000, "$17001 - $21000")))))</f>
        <v>$1001 - $5000</v>
      </c>
      <c r="P134">
        <v>3</v>
      </c>
      <c r="Q134">
        <v>3</v>
      </c>
      <c r="R134">
        <v>2</v>
      </c>
      <c r="S1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5" spans="1:19" ht="14.25" x14ac:dyDescent="0.2">
      <c r="A135">
        <v>24734502</v>
      </c>
      <c r="B135">
        <v>41</v>
      </c>
      <c r="C135" t="s">
        <v>25</v>
      </c>
      <c r="D135" t="s">
        <v>30</v>
      </c>
      <c r="E135" t="s">
        <v>22</v>
      </c>
      <c r="F135">
        <f>IF(Table2[[#This Row],[Attrition]]="Yes", 1, 0)</f>
        <v>0</v>
      </c>
      <c r="G135" t="s">
        <v>21</v>
      </c>
      <c r="H135" t="s">
        <v>17</v>
      </c>
      <c r="I135">
        <v>9</v>
      </c>
      <c r="J135">
        <v>1</v>
      </c>
      <c r="K135" t="s">
        <v>18</v>
      </c>
      <c r="L135">
        <v>3</v>
      </c>
      <c r="M135">
        <v>3</v>
      </c>
      <c r="N135" s="3">
        <v>8189</v>
      </c>
      <c r="O135" s="3" t="str">
        <f>IF(Table2[[#This Row],[MonthlyIncome]]&lt;=5000, "$1001 - $5000", IF(Table2[[#This Row],[MonthlyIncome]]&lt;=9000, "$5001 - $9000", IF(Table2[[#This Row],[MonthlyIncome]]&lt;=13000, "$9001 - $13000", IF(Table2[[#This Row],[MonthlyIncome]]&lt;=17000, "$13001 - $17000", IF(Table2[[#This Row],[MonthlyIncome]]&lt;=21000, "$17001 - $21000")))))</f>
        <v>$5001 - $9000</v>
      </c>
      <c r="P135">
        <v>3</v>
      </c>
      <c r="Q135">
        <v>3</v>
      </c>
      <c r="R135">
        <v>9</v>
      </c>
      <c r="S1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6" spans="1:19" ht="14.25" x14ac:dyDescent="0.2">
      <c r="A136">
        <v>47361509</v>
      </c>
      <c r="B136">
        <v>26</v>
      </c>
      <c r="C136" t="s">
        <v>20</v>
      </c>
      <c r="D136" t="s">
        <v>24</v>
      </c>
      <c r="E136" t="s">
        <v>22</v>
      </c>
      <c r="F136">
        <f>IF(Table2[[#This Row],[Attrition]]="Yes", 1, 0)</f>
        <v>0</v>
      </c>
      <c r="G136" t="s">
        <v>38</v>
      </c>
      <c r="H136" t="s">
        <v>38</v>
      </c>
      <c r="I136">
        <v>25</v>
      </c>
      <c r="J136">
        <v>1</v>
      </c>
      <c r="K136" t="s">
        <v>18</v>
      </c>
      <c r="L136">
        <v>3</v>
      </c>
      <c r="M136">
        <v>3</v>
      </c>
      <c r="N136" s="3">
        <v>2942</v>
      </c>
      <c r="O136" s="3" t="str">
        <f>IF(Table2[[#This Row],[MonthlyIncome]]&lt;=5000, "$1001 - $5000", IF(Table2[[#This Row],[MonthlyIncome]]&lt;=9000, "$5001 - $9000", IF(Table2[[#This Row],[MonthlyIncome]]&lt;=13000, "$9001 - $13000", IF(Table2[[#This Row],[MonthlyIncome]]&lt;=17000, "$13001 - $17000", IF(Table2[[#This Row],[MonthlyIncome]]&lt;=21000, "$17001 - $21000")))))</f>
        <v>$1001 - $5000</v>
      </c>
      <c r="P136">
        <v>1</v>
      </c>
      <c r="Q136">
        <v>3</v>
      </c>
      <c r="R136">
        <v>8</v>
      </c>
      <c r="S1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7" spans="1:19" ht="14.25" x14ac:dyDescent="0.2">
      <c r="A137">
        <v>42553570</v>
      </c>
      <c r="B137">
        <v>36</v>
      </c>
      <c r="C137" t="s">
        <v>25</v>
      </c>
      <c r="D137" t="s">
        <v>30</v>
      </c>
      <c r="E137" t="s">
        <v>22</v>
      </c>
      <c r="F137">
        <f>IF(Table2[[#This Row],[Attrition]]="Yes", 1, 0)</f>
        <v>0</v>
      </c>
      <c r="G137" t="s">
        <v>31</v>
      </c>
      <c r="H137" t="s">
        <v>23</v>
      </c>
      <c r="I137">
        <v>6</v>
      </c>
      <c r="J137">
        <v>2</v>
      </c>
      <c r="K137" t="s">
        <v>29</v>
      </c>
      <c r="L137">
        <v>2</v>
      </c>
      <c r="M137">
        <v>2</v>
      </c>
      <c r="N137" s="3">
        <v>4941</v>
      </c>
      <c r="O137" s="3" t="str">
        <f>IF(Table2[[#This Row],[MonthlyIncome]]&lt;=5000, "$1001 - $5000", IF(Table2[[#This Row],[MonthlyIncome]]&lt;=9000, "$5001 - $9000", IF(Table2[[#This Row],[MonthlyIncome]]&lt;=13000, "$9001 - $13000", IF(Table2[[#This Row],[MonthlyIncome]]&lt;=17000, "$13001 - $17000", IF(Table2[[#This Row],[MonthlyIncome]]&lt;=21000, "$17001 - $21000")))))</f>
        <v>$1001 - $5000</v>
      </c>
      <c r="P137">
        <v>6</v>
      </c>
      <c r="Q137">
        <v>3</v>
      </c>
      <c r="R137">
        <v>3</v>
      </c>
      <c r="S1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8" spans="1:19" ht="14.25" x14ac:dyDescent="0.2">
      <c r="A138">
        <v>78539279</v>
      </c>
      <c r="B138">
        <v>51</v>
      </c>
      <c r="C138" t="s">
        <v>25</v>
      </c>
      <c r="D138" t="s">
        <v>19</v>
      </c>
      <c r="E138" t="s">
        <v>16</v>
      </c>
      <c r="F138">
        <f>IF(Table2[[#This Row],[Attrition]]="Yes", 1, 0)</f>
        <v>1</v>
      </c>
      <c r="G138" t="s">
        <v>31</v>
      </c>
      <c r="H138" t="s">
        <v>23</v>
      </c>
      <c r="I138">
        <v>8</v>
      </c>
      <c r="J138">
        <v>4</v>
      </c>
      <c r="K138" t="s">
        <v>18</v>
      </c>
      <c r="L138">
        <v>1</v>
      </c>
      <c r="M138">
        <v>4</v>
      </c>
      <c r="N138" s="3">
        <v>10650</v>
      </c>
      <c r="O138" s="3" t="str">
        <f>IF(Table2[[#This Row],[MonthlyIncome]]&lt;=5000, "$1001 - $5000", IF(Table2[[#This Row],[MonthlyIncome]]&lt;=9000, "$5001 - $9000", IF(Table2[[#This Row],[MonthlyIncome]]&lt;=13000, "$9001 - $13000", IF(Table2[[#This Row],[MonthlyIncome]]&lt;=17000, "$13001 - $17000", IF(Table2[[#This Row],[MonthlyIncome]]&lt;=21000, "$17001 - $21000")))))</f>
        <v>$9001 - $13000</v>
      </c>
      <c r="P138">
        <v>2</v>
      </c>
      <c r="Q138">
        <v>3</v>
      </c>
      <c r="R138">
        <v>4</v>
      </c>
      <c r="S1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9" spans="1:19" ht="14.25" x14ac:dyDescent="0.2">
      <c r="A139">
        <v>32836455</v>
      </c>
      <c r="B139">
        <v>39</v>
      </c>
      <c r="C139" t="s">
        <v>20</v>
      </c>
      <c r="D139" t="s">
        <v>24</v>
      </c>
      <c r="E139" t="s">
        <v>22</v>
      </c>
      <c r="F139">
        <f>IF(Table2[[#This Row],[Attrition]]="Yes", 1, 0)</f>
        <v>0</v>
      </c>
      <c r="G139" t="s">
        <v>21</v>
      </c>
      <c r="H139" t="s">
        <v>17</v>
      </c>
      <c r="I139">
        <v>4</v>
      </c>
      <c r="J139">
        <v>4</v>
      </c>
      <c r="K139" t="s">
        <v>18</v>
      </c>
      <c r="L139">
        <v>4</v>
      </c>
      <c r="M139">
        <v>3</v>
      </c>
      <c r="N139" s="3">
        <v>5902</v>
      </c>
      <c r="O139" s="3" t="str">
        <f>IF(Table2[[#This Row],[MonthlyIncome]]&lt;=5000, "$1001 - $5000", IF(Table2[[#This Row],[MonthlyIncome]]&lt;=9000, "$5001 - $9000", IF(Table2[[#This Row],[MonthlyIncome]]&lt;=13000, "$9001 - $13000", IF(Table2[[#This Row],[MonthlyIncome]]&lt;=17000, "$13001 - $17000", IF(Table2[[#This Row],[MonthlyIncome]]&lt;=21000, "$17001 - $21000")))))</f>
        <v>$5001 - $9000</v>
      </c>
      <c r="P139">
        <v>4</v>
      </c>
      <c r="Q139">
        <v>4</v>
      </c>
      <c r="R139">
        <v>15</v>
      </c>
      <c r="S1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40" spans="1:19" ht="14.25" x14ac:dyDescent="0.2">
      <c r="A140">
        <v>57212572</v>
      </c>
      <c r="B140">
        <v>25</v>
      </c>
      <c r="C140" t="s">
        <v>25</v>
      </c>
      <c r="D140" t="s">
        <v>24</v>
      </c>
      <c r="E140" t="s">
        <v>22</v>
      </c>
      <c r="F140">
        <f>IF(Table2[[#This Row],[Attrition]]="Yes", 1, 0)</f>
        <v>0</v>
      </c>
      <c r="G140" t="s">
        <v>21</v>
      </c>
      <c r="H140" t="s">
        <v>17</v>
      </c>
      <c r="I140">
        <v>28</v>
      </c>
      <c r="J140">
        <v>3</v>
      </c>
      <c r="K140" t="s">
        <v>18</v>
      </c>
      <c r="L140">
        <v>1</v>
      </c>
      <c r="M140">
        <v>3</v>
      </c>
      <c r="N140" s="3">
        <v>8639</v>
      </c>
      <c r="O140" s="3" t="str">
        <f>IF(Table2[[#This Row],[MonthlyIncome]]&lt;=5000, "$1001 - $5000", IF(Table2[[#This Row],[MonthlyIncome]]&lt;=9000, "$5001 - $9000", IF(Table2[[#This Row],[MonthlyIncome]]&lt;=13000, "$9001 - $13000", IF(Table2[[#This Row],[MonthlyIncome]]&lt;=17000, "$13001 - $17000", IF(Table2[[#This Row],[MonthlyIncome]]&lt;=21000, "$17001 - $21000")))))</f>
        <v>$5001 - $9000</v>
      </c>
      <c r="P140">
        <v>2</v>
      </c>
      <c r="Q140">
        <v>3</v>
      </c>
      <c r="R140">
        <v>2</v>
      </c>
      <c r="S1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1" spans="1:19" ht="14.25" x14ac:dyDescent="0.2">
      <c r="A141">
        <v>30715163</v>
      </c>
      <c r="B141">
        <v>30</v>
      </c>
      <c r="C141" t="s">
        <v>25</v>
      </c>
      <c r="D141" t="s">
        <v>24</v>
      </c>
      <c r="E141" t="s">
        <v>22</v>
      </c>
      <c r="F141">
        <f>IF(Table2[[#This Row],[Attrition]]="Yes", 1, 0)</f>
        <v>0</v>
      </c>
      <c r="G141" t="s">
        <v>38</v>
      </c>
      <c r="H141" t="s">
        <v>38</v>
      </c>
      <c r="I141">
        <v>9</v>
      </c>
      <c r="J141">
        <v>3</v>
      </c>
      <c r="K141" t="s">
        <v>38</v>
      </c>
      <c r="L141">
        <v>3</v>
      </c>
      <c r="M141">
        <v>4</v>
      </c>
      <c r="N141" s="3">
        <v>6347</v>
      </c>
      <c r="O141" s="3" t="str">
        <f>IF(Table2[[#This Row],[MonthlyIncome]]&lt;=5000, "$1001 - $5000", IF(Table2[[#This Row],[MonthlyIncome]]&lt;=9000, "$5001 - $9000", IF(Table2[[#This Row],[MonthlyIncome]]&lt;=13000, "$9001 - $13000", IF(Table2[[#This Row],[MonthlyIncome]]&lt;=17000, "$13001 - $17000", IF(Table2[[#This Row],[MonthlyIncome]]&lt;=21000, "$17001 - $21000")))))</f>
        <v>$5001 - $9000</v>
      </c>
      <c r="P141">
        <v>0</v>
      </c>
      <c r="Q141">
        <v>1</v>
      </c>
      <c r="R141">
        <v>11</v>
      </c>
      <c r="S1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2" spans="1:19" ht="14.25" x14ac:dyDescent="0.2">
      <c r="A142">
        <v>10560854</v>
      </c>
      <c r="B142">
        <v>32</v>
      </c>
      <c r="C142" t="s">
        <v>20</v>
      </c>
      <c r="D142" t="s">
        <v>19</v>
      </c>
      <c r="E142" t="s">
        <v>16</v>
      </c>
      <c r="F142">
        <f>IF(Table2[[#This Row],[Attrition]]="Yes", 1, 0)</f>
        <v>1</v>
      </c>
      <c r="G142" t="s">
        <v>28</v>
      </c>
      <c r="H142" t="s">
        <v>23</v>
      </c>
      <c r="I142">
        <v>9</v>
      </c>
      <c r="J142">
        <v>3</v>
      </c>
      <c r="K142" t="s">
        <v>29</v>
      </c>
      <c r="L142">
        <v>1</v>
      </c>
      <c r="M142">
        <v>1</v>
      </c>
      <c r="N142" s="3">
        <v>4200</v>
      </c>
      <c r="O142" s="3" t="str">
        <f>IF(Table2[[#This Row],[MonthlyIncome]]&lt;=5000, "$1001 - $5000", IF(Table2[[#This Row],[MonthlyIncome]]&lt;=9000, "$5001 - $9000", IF(Table2[[#This Row],[MonthlyIncome]]&lt;=13000, "$9001 - $13000", IF(Table2[[#This Row],[MonthlyIncome]]&lt;=17000, "$13001 - $17000", IF(Table2[[#This Row],[MonthlyIncome]]&lt;=21000, "$17001 - $21000")))))</f>
        <v>$1001 - $5000</v>
      </c>
      <c r="P142">
        <v>7</v>
      </c>
      <c r="Q142">
        <v>4</v>
      </c>
      <c r="R142">
        <v>5</v>
      </c>
      <c r="S1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3" spans="1:19" ht="14.25" x14ac:dyDescent="0.2">
      <c r="A143">
        <v>25682458</v>
      </c>
      <c r="B143">
        <v>45</v>
      </c>
      <c r="C143" t="s">
        <v>25</v>
      </c>
      <c r="D143" t="s">
        <v>19</v>
      </c>
      <c r="E143" t="s">
        <v>22</v>
      </c>
      <c r="F143">
        <f>IF(Table2[[#This Row],[Attrition]]="Yes", 1, 0)</f>
        <v>0</v>
      </c>
      <c r="G143" t="s">
        <v>26</v>
      </c>
      <c r="H143" t="s">
        <v>23</v>
      </c>
      <c r="I143">
        <v>29</v>
      </c>
      <c r="J143">
        <v>3</v>
      </c>
      <c r="K143" t="s">
        <v>29</v>
      </c>
      <c r="L143">
        <v>3</v>
      </c>
      <c r="M143">
        <v>4</v>
      </c>
      <c r="N143" s="3">
        <v>3452</v>
      </c>
      <c r="O143" s="3" t="str">
        <f>IF(Table2[[#This Row],[MonthlyIncome]]&lt;=5000, "$1001 - $5000", IF(Table2[[#This Row],[MonthlyIncome]]&lt;=9000, "$5001 - $9000", IF(Table2[[#This Row],[MonthlyIncome]]&lt;=13000, "$9001 - $13000", IF(Table2[[#This Row],[MonthlyIncome]]&lt;=17000, "$13001 - $17000", IF(Table2[[#This Row],[MonthlyIncome]]&lt;=21000, "$17001 - $21000")))))</f>
        <v>$1001 - $5000</v>
      </c>
      <c r="P143">
        <v>5</v>
      </c>
      <c r="Q143">
        <v>2</v>
      </c>
      <c r="R143">
        <v>6</v>
      </c>
      <c r="S1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4" spans="1:19" ht="14.25" x14ac:dyDescent="0.2">
      <c r="A144">
        <v>78932488</v>
      </c>
      <c r="B144">
        <v>38</v>
      </c>
      <c r="C144" t="s">
        <v>20</v>
      </c>
      <c r="D144" t="s">
        <v>19</v>
      </c>
      <c r="E144" t="s">
        <v>22</v>
      </c>
      <c r="F144">
        <f>IF(Table2[[#This Row],[Attrition]]="Yes", 1, 0)</f>
        <v>0</v>
      </c>
      <c r="G144" t="s">
        <v>26</v>
      </c>
      <c r="H144" t="s">
        <v>23</v>
      </c>
      <c r="I144">
        <v>3</v>
      </c>
      <c r="J144">
        <v>5</v>
      </c>
      <c r="K144" t="s">
        <v>37</v>
      </c>
      <c r="L144">
        <v>4</v>
      </c>
      <c r="M144">
        <v>3</v>
      </c>
      <c r="N144" s="3">
        <v>4317</v>
      </c>
      <c r="O144" s="3" t="str">
        <f>IF(Table2[[#This Row],[MonthlyIncome]]&lt;=5000, "$1001 - $5000", IF(Table2[[#This Row],[MonthlyIncome]]&lt;=9000, "$5001 - $9000", IF(Table2[[#This Row],[MonthlyIncome]]&lt;=13000, "$9001 - $13000", IF(Table2[[#This Row],[MonthlyIncome]]&lt;=17000, "$13001 - $17000", IF(Table2[[#This Row],[MonthlyIncome]]&lt;=21000, "$17001 - $21000")))))</f>
        <v>$1001 - $5000</v>
      </c>
      <c r="P144">
        <v>3</v>
      </c>
      <c r="Q144">
        <v>3</v>
      </c>
      <c r="R144">
        <v>3</v>
      </c>
      <c r="S1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5" spans="1:19" ht="14.25" x14ac:dyDescent="0.2">
      <c r="A145">
        <v>44564666</v>
      </c>
      <c r="B145">
        <v>30</v>
      </c>
      <c r="C145" t="s">
        <v>20</v>
      </c>
      <c r="D145" t="s">
        <v>19</v>
      </c>
      <c r="E145" t="s">
        <v>22</v>
      </c>
      <c r="F145">
        <f>IF(Table2[[#This Row],[Attrition]]="Yes", 1, 0)</f>
        <v>0</v>
      </c>
      <c r="G145" t="s">
        <v>26</v>
      </c>
      <c r="H145" t="s">
        <v>23</v>
      </c>
      <c r="I145">
        <v>18</v>
      </c>
      <c r="J145">
        <v>3</v>
      </c>
      <c r="K145" t="s">
        <v>18</v>
      </c>
      <c r="L145">
        <v>1</v>
      </c>
      <c r="M145">
        <v>3</v>
      </c>
      <c r="N145" s="3">
        <v>2632</v>
      </c>
      <c r="O145" s="3" t="str">
        <f>IF(Table2[[#This Row],[MonthlyIncome]]&lt;=5000, "$1001 - $5000", IF(Table2[[#This Row],[MonthlyIncome]]&lt;=9000, "$5001 - $9000", IF(Table2[[#This Row],[MonthlyIncome]]&lt;=13000, "$9001 - $13000", IF(Table2[[#This Row],[MonthlyIncome]]&lt;=17000, "$13001 - $17000", IF(Table2[[#This Row],[MonthlyIncome]]&lt;=21000, "$17001 - $21000")))))</f>
        <v>$1001 - $5000</v>
      </c>
      <c r="P145">
        <v>1</v>
      </c>
      <c r="Q145">
        <v>2</v>
      </c>
      <c r="R145">
        <v>5</v>
      </c>
      <c r="S1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6" spans="1:19" ht="14.25" x14ac:dyDescent="0.2">
      <c r="A146">
        <v>68983734</v>
      </c>
      <c r="B146">
        <v>32</v>
      </c>
      <c r="C146" t="s">
        <v>25</v>
      </c>
      <c r="D146" t="s">
        <v>30</v>
      </c>
      <c r="E146" t="s">
        <v>22</v>
      </c>
      <c r="F146">
        <f>IF(Table2[[#This Row],[Attrition]]="Yes", 1, 0)</f>
        <v>0</v>
      </c>
      <c r="G146" t="s">
        <v>21</v>
      </c>
      <c r="H146" t="s">
        <v>17</v>
      </c>
      <c r="I146">
        <v>9</v>
      </c>
      <c r="J146">
        <v>2</v>
      </c>
      <c r="K146" t="s">
        <v>29</v>
      </c>
      <c r="L146">
        <v>4</v>
      </c>
      <c r="M146">
        <v>4</v>
      </c>
      <c r="N146" s="3">
        <v>4668</v>
      </c>
      <c r="O146" s="3" t="str">
        <f>IF(Table2[[#This Row],[MonthlyIncome]]&lt;=5000, "$1001 - $5000", IF(Table2[[#This Row],[MonthlyIncome]]&lt;=9000, "$5001 - $9000", IF(Table2[[#This Row],[MonthlyIncome]]&lt;=13000, "$9001 - $13000", IF(Table2[[#This Row],[MonthlyIncome]]&lt;=17000, "$13001 - $17000", IF(Table2[[#This Row],[MonthlyIncome]]&lt;=21000, "$17001 - $21000")))))</f>
        <v>$1001 - $5000</v>
      </c>
      <c r="P146">
        <v>0</v>
      </c>
      <c r="Q146">
        <v>4</v>
      </c>
      <c r="R146">
        <v>8</v>
      </c>
      <c r="S1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7" spans="1:19" ht="14.25" x14ac:dyDescent="0.2">
      <c r="A147">
        <v>38673437</v>
      </c>
      <c r="B147">
        <v>30</v>
      </c>
      <c r="C147" t="s">
        <v>20</v>
      </c>
      <c r="D147" t="s">
        <v>30</v>
      </c>
      <c r="E147" t="s">
        <v>22</v>
      </c>
      <c r="F147">
        <f>IF(Table2[[#This Row],[Attrition]]="Yes", 1, 0)</f>
        <v>0</v>
      </c>
      <c r="G147" t="s">
        <v>26</v>
      </c>
      <c r="H147" t="s">
        <v>23</v>
      </c>
      <c r="I147">
        <v>5</v>
      </c>
      <c r="J147">
        <v>3</v>
      </c>
      <c r="K147" t="s">
        <v>37</v>
      </c>
      <c r="L147">
        <v>4</v>
      </c>
      <c r="M147">
        <v>1</v>
      </c>
      <c r="N147" s="3">
        <v>3204</v>
      </c>
      <c r="O147" s="3" t="str">
        <f>IF(Table2[[#This Row],[MonthlyIncome]]&lt;=5000, "$1001 - $5000", IF(Table2[[#This Row],[MonthlyIncome]]&lt;=9000, "$5001 - $9000", IF(Table2[[#This Row],[MonthlyIncome]]&lt;=13000, "$9001 - $13000", IF(Table2[[#This Row],[MonthlyIncome]]&lt;=17000, "$13001 - $17000", IF(Table2[[#This Row],[MonthlyIncome]]&lt;=21000, "$17001 - $21000")))))</f>
        <v>$1001 - $5000</v>
      </c>
      <c r="P147">
        <v>5</v>
      </c>
      <c r="Q147">
        <v>3</v>
      </c>
      <c r="R147">
        <v>3</v>
      </c>
      <c r="S1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8" spans="1:19" ht="14.25" x14ac:dyDescent="0.2">
      <c r="A148">
        <v>75212715</v>
      </c>
      <c r="B148">
        <v>30</v>
      </c>
      <c r="C148" t="s">
        <v>25</v>
      </c>
      <c r="D148" t="s">
        <v>19</v>
      </c>
      <c r="E148" t="s">
        <v>22</v>
      </c>
      <c r="F148">
        <f>IF(Table2[[#This Row],[Attrition]]="Yes", 1, 0)</f>
        <v>0</v>
      </c>
      <c r="G148" t="s">
        <v>28</v>
      </c>
      <c r="H148" t="s">
        <v>23</v>
      </c>
      <c r="I148">
        <v>2</v>
      </c>
      <c r="J148">
        <v>1</v>
      </c>
      <c r="K148" t="s">
        <v>29</v>
      </c>
      <c r="L148">
        <v>2</v>
      </c>
      <c r="M148">
        <v>4</v>
      </c>
      <c r="N148" s="3">
        <v>2720</v>
      </c>
      <c r="O148" s="3" t="str">
        <f>IF(Table2[[#This Row],[MonthlyIncome]]&lt;=5000, "$1001 - $5000", IF(Table2[[#This Row],[MonthlyIncome]]&lt;=9000, "$5001 - $9000", IF(Table2[[#This Row],[MonthlyIncome]]&lt;=13000, "$9001 - $13000", IF(Table2[[#This Row],[MonthlyIncome]]&lt;=17000, "$13001 - $17000", IF(Table2[[#This Row],[MonthlyIncome]]&lt;=21000, "$17001 - $21000")))))</f>
        <v>$1001 - $5000</v>
      </c>
      <c r="P148">
        <v>0</v>
      </c>
      <c r="Q148">
        <v>3</v>
      </c>
      <c r="R148">
        <v>5</v>
      </c>
      <c r="S1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9" spans="1:19" ht="14.25" x14ac:dyDescent="0.2">
      <c r="A149">
        <v>12205979</v>
      </c>
      <c r="B149">
        <v>41</v>
      </c>
      <c r="C149" t="s">
        <v>25</v>
      </c>
      <c r="D149" t="s">
        <v>30</v>
      </c>
      <c r="E149" t="s">
        <v>22</v>
      </c>
      <c r="F149">
        <f>IF(Table2[[#This Row],[Attrition]]="Yes", 1, 0)</f>
        <v>0</v>
      </c>
      <c r="G149" t="s">
        <v>33</v>
      </c>
      <c r="H149" t="s">
        <v>23</v>
      </c>
      <c r="I149">
        <v>10</v>
      </c>
      <c r="J149">
        <v>3</v>
      </c>
      <c r="K149" t="s">
        <v>18</v>
      </c>
      <c r="L149">
        <v>4</v>
      </c>
      <c r="M149">
        <v>1</v>
      </c>
      <c r="N149" s="3">
        <v>17181</v>
      </c>
      <c r="O149" s="3" t="str">
        <f>IF(Table2[[#This Row],[MonthlyIncome]]&lt;=5000, "$1001 - $5000", IF(Table2[[#This Row],[MonthlyIncome]]&lt;=9000, "$5001 - $9000", IF(Table2[[#This Row],[MonthlyIncome]]&lt;=13000, "$9001 - $13000", IF(Table2[[#This Row],[MonthlyIncome]]&lt;=17000, "$13001 - $17000", IF(Table2[[#This Row],[MonthlyIncome]]&lt;=21000, "$17001 - $21000")))))</f>
        <v>$17001 - $21000</v>
      </c>
      <c r="P149">
        <v>4</v>
      </c>
      <c r="Q149">
        <v>2</v>
      </c>
      <c r="R149">
        <v>7</v>
      </c>
      <c r="S1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50" spans="1:19" ht="14.25" x14ac:dyDescent="0.2">
      <c r="A150">
        <v>27116823</v>
      </c>
      <c r="B150">
        <v>41</v>
      </c>
      <c r="C150" t="s">
        <v>25</v>
      </c>
      <c r="D150" t="s">
        <v>24</v>
      </c>
      <c r="E150" t="s">
        <v>22</v>
      </c>
      <c r="F150">
        <f>IF(Table2[[#This Row],[Attrition]]="Yes", 1, 0)</f>
        <v>0</v>
      </c>
      <c r="G150" t="s">
        <v>28</v>
      </c>
      <c r="H150" t="s">
        <v>23</v>
      </c>
      <c r="I150">
        <v>9</v>
      </c>
      <c r="J150">
        <v>4</v>
      </c>
      <c r="K150" t="s">
        <v>18</v>
      </c>
      <c r="L150">
        <v>3</v>
      </c>
      <c r="M150">
        <v>1</v>
      </c>
      <c r="N150" s="3">
        <v>2238</v>
      </c>
      <c r="O150" s="3" t="str">
        <f>IF(Table2[[#This Row],[MonthlyIncome]]&lt;=5000, "$1001 - $5000", IF(Table2[[#This Row],[MonthlyIncome]]&lt;=9000, "$5001 - $9000", IF(Table2[[#This Row],[MonthlyIncome]]&lt;=13000, "$9001 - $13000", IF(Table2[[#This Row],[MonthlyIncome]]&lt;=17000, "$13001 - $17000", IF(Table2[[#This Row],[MonthlyIncome]]&lt;=21000, "$17001 - $21000")))))</f>
        <v>$1001 - $5000</v>
      </c>
      <c r="P150">
        <v>2</v>
      </c>
      <c r="Q150">
        <v>3</v>
      </c>
      <c r="R150">
        <v>5</v>
      </c>
      <c r="S1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51" spans="1:19" ht="14.25" x14ac:dyDescent="0.2">
      <c r="A151">
        <v>74678812</v>
      </c>
      <c r="B151">
        <v>19</v>
      </c>
      <c r="C151" t="s">
        <v>20</v>
      </c>
      <c r="D151" t="s">
        <v>19</v>
      </c>
      <c r="E151" t="s">
        <v>22</v>
      </c>
      <c r="F151">
        <f>IF(Table2[[#This Row],[Attrition]]="Yes", 1, 0)</f>
        <v>0</v>
      </c>
      <c r="G151" t="s">
        <v>28</v>
      </c>
      <c r="H151" t="s">
        <v>23</v>
      </c>
      <c r="I151">
        <v>3</v>
      </c>
      <c r="J151">
        <v>1</v>
      </c>
      <c r="K151" t="s">
        <v>29</v>
      </c>
      <c r="L151">
        <v>2</v>
      </c>
      <c r="M151">
        <v>2</v>
      </c>
      <c r="N151" s="3">
        <v>1483</v>
      </c>
      <c r="O151" s="3" t="str">
        <f>IF(Table2[[#This Row],[MonthlyIncome]]&lt;=5000, "$1001 - $5000", IF(Table2[[#This Row],[MonthlyIncome]]&lt;=9000, "$5001 - $9000", IF(Table2[[#This Row],[MonthlyIncome]]&lt;=13000, "$9001 - $13000", IF(Table2[[#This Row],[MonthlyIncome]]&lt;=17000, "$13001 - $17000", IF(Table2[[#This Row],[MonthlyIncome]]&lt;=21000, "$17001 - $21000")))))</f>
        <v>$1001 - $5000</v>
      </c>
      <c r="P151">
        <v>1</v>
      </c>
      <c r="Q151">
        <v>3</v>
      </c>
      <c r="R151">
        <v>1</v>
      </c>
      <c r="S1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52" spans="1:19" ht="14.25" x14ac:dyDescent="0.2">
      <c r="A152">
        <v>12360481</v>
      </c>
      <c r="B152">
        <v>40</v>
      </c>
      <c r="C152" t="s">
        <v>20</v>
      </c>
      <c r="D152" t="s">
        <v>30</v>
      </c>
      <c r="E152" t="s">
        <v>22</v>
      </c>
      <c r="F152">
        <f>IF(Table2[[#This Row],[Attrition]]="Yes", 1, 0)</f>
        <v>0</v>
      </c>
      <c r="G152" t="s">
        <v>26</v>
      </c>
      <c r="H152" t="s">
        <v>23</v>
      </c>
      <c r="I152">
        <v>26</v>
      </c>
      <c r="J152">
        <v>3</v>
      </c>
      <c r="K152" t="s">
        <v>29</v>
      </c>
      <c r="L152">
        <v>2</v>
      </c>
      <c r="M152">
        <v>2</v>
      </c>
      <c r="N152" s="3">
        <v>5605</v>
      </c>
      <c r="O152" s="3" t="str">
        <f>IF(Table2[[#This Row],[MonthlyIncome]]&lt;=5000, "$1001 - $5000", IF(Table2[[#This Row],[MonthlyIncome]]&lt;=9000, "$5001 - $9000", IF(Table2[[#This Row],[MonthlyIncome]]&lt;=13000, "$9001 - $13000", IF(Table2[[#This Row],[MonthlyIncome]]&lt;=17000, "$13001 - $17000", IF(Table2[[#This Row],[MonthlyIncome]]&lt;=21000, "$17001 - $21000")))))</f>
        <v>$5001 - $9000</v>
      </c>
      <c r="P152">
        <v>1</v>
      </c>
      <c r="Q152">
        <v>3</v>
      </c>
      <c r="R152">
        <v>20</v>
      </c>
      <c r="S1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53" spans="1:19" ht="14.25" x14ac:dyDescent="0.2">
      <c r="A153">
        <v>58835531</v>
      </c>
      <c r="B153">
        <v>35</v>
      </c>
      <c r="C153" t="s">
        <v>25</v>
      </c>
      <c r="D153" t="s">
        <v>24</v>
      </c>
      <c r="E153" t="s">
        <v>22</v>
      </c>
      <c r="F153">
        <f>IF(Table2[[#This Row],[Attrition]]="Yes", 1, 0)</f>
        <v>0</v>
      </c>
      <c r="G153" t="s">
        <v>21</v>
      </c>
      <c r="H153" t="s">
        <v>17</v>
      </c>
      <c r="I153">
        <v>1</v>
      </c>
      <c r="J153">
        <v>5</v>
      </c>
      <c r="K153" t="s">
        <v>36</v>
      </c>
      <c r="L153">
        <v>3</v>
      </c>
      <c r="M153">
        <v>2</v>
      </c>
      <c r="N153" s="3">
        <v>7295</v>
      </c>
      <c r="O153" s="3" t="str">
        <f>IF(Table2[[#This Row],[MonthlyIncome]]&lt;=5000, "$1001 - $5000", IF(Table2[[#This Row],[MonthlyIncome]]&lt;=9000, "$5001 - $9000", IF(Table2[[#This Row],[MonthlyIncome]]&lt;=13000, "$9001 - $13000", IF(Table2[[#This Row],[MonthlyIncome]]&lt;=17000, "$13001 - $17000", IF(Table2[[#This Row],[MonthlyIncome]]&lt;=21000, "$17001 - $21000")))))</f>
        <v>$5001 - $9000</v>
      </c>
      <c r="P153">
        <v>1</v>
      </c>
      <c r="Q153">
        <v>3</v>
      </c>
      <c r="R153">
        <v>10</v>
      </c>
      <c r="S1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54" spans="1:19" ht="14.25" x14ac:dyDescent="0.2">
      <c r="A154">
        <v>39381880</v>
      </c>
      <c r="B154">
        <v>53</v>
      </c>
      <c r="C154" t="s">
        <v>25</v>
      </c>
      <c r="D154" t="s">
        <v>24</v>
      </c>
      <c r="E154" t="s">
        <v>22</v>
      </c>
      <c r="F154">
        <f>IF(Table2[[#This Row],[Attrition]]="Yes", 1, 0)</f>
        <v>0</v>
      </c>
      <c r="G154" t="s">
        <v>34</v>
      </c>
      <c r="H154" t="s">
        <v>17</v>
      </c>
      <c r="I154">
        <v>6</v>
      </c>
      <c r="J154">
        <v>2</v>
      </c>
      <c r="K154" t="s">
        <v>36</v>
      </c>
      <c r="L154">
        <v>2</v>
      </c>
      <c r="M154">
        <v>3</v>
      </c>
      <c r="N154" s="3">
        <v>2306</v>
      </c>
      <c r="O154" s="3" t="str">
        <f>IF(Table2[[#This Row],[MonthlyIncome]]&lt;=5000, "$1001 - $5000", IF(Table2[[#This Row],[MonthlyIncome]]&lt;=9000, "$5001 - $9000", IF(Table2[[#This Row],[MonthlyIncome]]&lt;=13000, "$9001 - $13000", IF(Table2[[#This Row],[MonthlyIncome]]&lt;=17000, "$13001 - $17000", IF(Table2[[#This Row],[MonthlyIncome]]&lt;=21000, "$17001 - $21000")))))</f>
        <v>$1001 - $5000</v>
      </c>
      <c r="P154">
        <v>2</v>
      </c>
      <c r="Q154">
        <v>1</v>
      </c>
      <c r="R154">
        <v>7</v>
      </c>
      <c r="S1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55" spans="1:19" ht="14.25" x14ac:dyDescent="0.2">
      <c r="A155">
        <v>53019605</v>
      </c>
      <c r="B155">
        <v>45</v>
      </c>
      <c r="C155" t="s">
        <v>25</v>
      </c>
      <c r="D155" t="s">
        <v>30</v>
      </c>
      <c r="E155" t="s">
        <v>22</v>
      </c>
      <c r="F155">
        <f>IF(Table2[[#This Row],[Attrition]]="Yes", 1, 0)</f>
        <v>0</v>
      </c>
      <c r="G155" t="s">
        <v>28</v>
      </c>
      <c r="H155" t="s">
        <v>23</v>
      </c>
      <c r="I155">
        <v>9</v>
      </c>
      <c r="J155">
        <v>3</v>
      </c>
      <c r="K155" t="s">
        <v>18</v>
      </c>
      <c r="L155">
        <v>2</v>
      </c>
      <c r="M155">
        <v>2</v>
      </c>
      <c r="N155" s="3">
        <v>2348</v>
      </c>
      <c r="O155" s="3" t="str">
        <f>IF(Table2[[#This Row],[MonthlyIncome]]&lt;=5000, "$1001 - $5000", IF(Table2[[#This Row],[MonthlyIncome]]&lt;=9000, "$5001 - $9000", IF(Table2[[#This Row],[MonthlyIncome]]&lt;=13000, "$9001 - $13000", IF(Table2[[#This Row],[MonthlyIncome]]&lt;=17000, "$13001 - $17000", IF(Table2[[#This Row],[MonthlyIncome]]&lt;=21000, "$17001 - $21000")))))</f>
        <v>$1001 - $5000</v>
      </c>
      <c r="P155">
        <v>8</v>
      </c>
      <c r="Q155">
        <v>1</v>
      </c>
      <c r="R155">
        <v>17</v>
      </c>
      <c r="S1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56" spans="1:19" ht="14.25" x14ac:dyDescent="0.2">
      <c r="A156">
        <v>46434249</v>
      </c>
      <c r="B156">
        <v>32</v>
      </c>
      <c r="C156" t="s">
        <v>20</v>
      </c>
      <c r="D156" t="s">
        <v>19</v>
      </c>
      <c r="E156" t="s">
        <v>22</v>
      </c>
      <c r="F156">
        <f>IF(Table2[[#This Row],[Attrition]]="Yes", 1, 0)</f>
        <v>0</v>
      </c>
      <c r="G156" t="s">
        <v>21</v>
      </c>
      <c r="H156" t="s">
        <v>17</v>
      </c>
      <c r="I156">
        <v>8</v>
      </c>
      <c r="J156">
        <v>3</v>
      </c>
      <c r="K156" t="s">
        <v>36</v>
      </c>
      <c r="L156">
        <v>2</v>
      </c>
      <c r="M156">
        <v>4</v>
      </c>
      <c r="N156" s="3">
        <v>8998</v>
      </c>
      <c r="O156" s="3" t="str">
        <f>IF(Table2[[#This Row],[MonthlyIncome]]&lt;=5000, "$1001 - $5000", IF(Table2[[#This Row],[MonthlyIncome]]&lt;=9000, "$5001 - $9000", IF(Table2[[#This Row],[MonthlyIncome]]&lt;=13000, "$9001 - $13000", IF(Table2[[#This Row],[MonthlyIncome]]&lt;=17000, "$13001 - $17000", IF(Table2[[#This Row],[MonthlyIncome]]&lt;=21000, "$17001 - $21000")))))</f>
        <v>$5001 - $9000</v>
      </c>
      <c r="P156">
        <v>1</v>
      </c>
      <c r="Q156">
        <v>3</v>
      </c>
      <c r="R156">
        <v>9</v>
      </c>
      <c r="S1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57" spans="1:19" ht="14.25" x14ac:dyDescent="0.2">
      <c r="A157">
        <v>23196498</v>
      </c>
      <c r="B157">
        <v>29</v>
      </c>
      <c r="C157" t="s">
        <v>25</v>
      </c>
      <c r="D157" t="s">
        <v>24</v>
      </c>
      <c r="E157" t="s">
        <v>22</v>
      </c>
      <c r="F157">
        <f>IF(Table2[[#This Row],[Attrition]]="Yes", 1, 0)</f>
        <v>0</v>
      </c>
      <c r="G157" t="s">
        <v>31</v>
      </c>
      <c r="H157" t="s">
        <v>23</v>
      </c>
      <c r="I157">
        <v>1</v>
      </c>
      <c r="J157">
        <v>1</v>
      </c>
      <c r="K157" t="s">
        <v>37</v>
      </c>
      <c r="L157">
        <v>4</v>
      </c>
      <c r="M157">
        <v>3</v>
      </c>
      <c r="N157" s="3">
        <v>4319</v>
      </c>
      <c r="O157" s="3" t="str">
        <f>IF(Table2[[#This Row],[MonthlyIncome]]&lt;=5000, "$1001 - $5000", IF(Table2[[#This Row],[MonthlyIncome]]&lt;=9000, "$5001 - $9000", IF(Table2[[#This Row],[MonthlyIncome]]&lt;=13000, "$9001 - $13000", IF(Table2[[#This Row],[MonthlyIncome]]&lt;=17000, "$13001 - $17000", IF(Table2[[#This Row],[MonthlyIncome]]&lt;=21000, "$17001 - $21000")))))</f>
        <v>$1001 - $5000</v>
      </c>
      <c r="P157">
        <v>1</v>
      </c>
      <c r="Q157">
        <v>3</v>
      </c>
      <c r="R157">
        <v>10</v>
      </c>
      <c r="S1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58" spans="1:19" ht="14.25" x14ac:dyDescent="0.2">
      <c r="A158">
        <v>56104638</v>
      </c>
      <c r="B158">
        <v>51</v>
      </c>
      <c r="C158" t="s">
        <v>25</v>
      </c>
      <c r="D158" t="s">
        <v>24</v>
      </c>
      <c r="E158" t="s">
        <v>22</v>
      </c>
      <c r="F158">
        <f>IF(Table2[[#This Row],[Attrition]]="Yes", 1, 0)</f>
        <v>0</v>
      </c>
      <c r="G158" t="s">
        <v>31</v>
      </c>
      <c r="H158" t="s">
        <v>23</v>
      </c>
      <c r="I158">
        <v>7</v>
      </c>
      <c r="J158">
        <v>4</v>
      </c>
      <c r="K158" t="s">
        <v>29</v>
      </c>
      <c r="L158">
        <v>2</v>
      </c>
      <c r="M158">
        <v>3</v>
      </c>
      <c r="N158" s="3">
        <v>6132</v>
      </c>
      <c r="O158" s="3" t="str">
        <f>IF(Table2[[#This Row],[MonthlyIncome]]&lt;=5000, "$1001 - $5000", IF(Table2[[#This Row],[MonthlyIncome]]&lt;=9000, "$5001 - $9000", IF(Table2[[#This Row],[MonthlyIncome]]&lt;=13000, "$9001 - $13000", IF(Table2[[#This Row],[MonthlyIncome]]&lt;=17000, "$13001 - $17000", IF(Table2[[#This Row],[MonthlyIncome]]&lt;=21000, "$17001 - $21000")))))</f>
        <v>$5001 - $9000</v>
      </c>
      <c r="P158">
        <v>2</v>
      </c>
      <c r="Q158">
        <v>3</v>
      </c>
      <c r="R158">
        <v>1</v>
      </c>
      <c r="S1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59" spans="1:19" ht="14.25" x14ac:dyDescent="0.2">
      <c r="A159">
        <v>59051726</v>
      </c>
      <c r="B159">
        <v>58</v>
      </c>
      <c r="C159" t="s">
        <v>20</v>
      </c>
      <c r="D159" t="s">
        <v>24</v>
      </c>
      <c r="E159" t="s">
        <v>22</v>
      </c>
      <c r="F159">
        <f>IF(Table2[[#This Row],[Attrition]]="Yes", 1, 0)</f>
        <v>0</v>
      </c>
      <c r="G159" t="s">
        <v>26</v>
      </c>
      <c r="H159" t="s">
        <v>23</v>
      </c>
      <c r="I159">
        <v>9</v>
      </c>
      <c r="J159">
        <v>3</v>
      </c>
      <c r="K159" t="s">
        <v>29</v>
      </c>
      <c r="L159">
        <v>2</v>
      </c>
      <c r="M159">
        <v>2</v>
      </c>
      <c r="N159" s="3">
        <v>3346</v>
      </c>
      <c r="O159" s="3" t="str">
        <f>IF(Table2[[#This Row],[MonthlyIncome]]&lt;=5000, "$1001 - $5000", IF(Table2[[#This Row],[MonthlyIncome]]&lt;=9000, "$5001 - $9000", IF(Table2[[#This Row],[MonthlyIncome]]&lt;=13000, "$9001 - $13000", IF(Table2[[#This Row],[MonthlyIncome]]&lt;=17000, "$13001 - $17000", IF(Table2[[#This Row],[MonthlyIncome]]&lt;=21000, "$17001 - $21000")))))</f>
        <v>$1001 - $5000</v>
      </c>
      <c r="P159">
        <v>4</v>
      </c>
      <c r="Q159">
        <v>2</v>
      </c>
      <c r="R159">
        <v>1</v>
      </c>
      <c r="S1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60" spans="1:19" ht="14.25" x14ac:dyDescent="0.2">
      <c r="A160">
        <v>80731064</v>
      </c>
      <c r="B160">
        <v>40</v>
      </c>
      <c r="C160" t="s">
        <v>25</v>
      </c>
      <c r="D160" t="s">
        <v>24</v>
      </c>
      <c r="E160" t="s">
        <v>22</v>
      </c>
      <c r="F160">
        <f>IF(Table2[[#This Row],[Attrition]]="Yes", 1, 0)</f>
        <v>0</v>
      </c>
      <c r="G160" t="s">
        <v>21</v>
      </c>
      <c r="H160" t="s">
        <v>17</v>
      </c>
      <c r="I160">
        <v>4</v>
      </c>
      <c r="J160">
        <v>4</v>
      </c>
      <c r="K160" t="s">
        <v>36</v>
      </c>
      <c r="L160">
        <v>3</v>
      </c>
      <c r="M160">
        <v>4</v>
      </c>
      <c r="N160" s="3">
        <v>10855</v>
      </c>
      <c r="O160" s="3" t="str">
        <f>IF(Table2[[#This Row],[MonthlyIncome]]&lt;=5000, "$1001 - $5000", IF(Table2[[#This Row],[MonthlyIncome]]&lt;=9000, "$5001 - $9000", IF(Table2[[#This Row],[MonthlyIncome]]&lt;=13000, "$9001 - $13000", IF(Table2[[#This Row],[MonthlyIncome]]&lt;=17000, "$13001 - $17000", IF(Table2[[#This Row],[MonthlyIncome]]&lt;=21000, "$17001 - $21000")))))</f>
        <v>$9001 - $13000</v>
      </c>
      <c r="P160">
        <v>7</v>
      </c>
      <c r="Q160">
        <v>2</v>
      </c>
      <c r="R160">
        <v>12</v>
      </c>
      <c r="S1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61" spans="1:19" ht="14.25" x14ac:dyDescent="0.2">
      <c r="A161">
        <v>65617457</v>
      </c>
      <c r="B161">
        <v>34</v>
      </c>
      <c r="C161" t="s">
        <v>20</v>
      </c>
      <c r="D161" t="s">
        <v>24</v>
      </c>
      <c r="E161" t="s">
        <v>22</v>
      </c>
      <c r="F161">
        <f>IF(Table2[[#This Row],[Attrition]]="Yes", 1, 0)</f>
        <v>0</v>
      </c>
      <c r="G161" t="s">
        <v>34</v>
      </c>
      <c r="H161" t="s">
        <v>17</v>
      </c>
      <c r="I161">
        <v>2</v>
      </c>
      <c r="J161">
        <v>4</v>
      </c>
      <c r="K161" t="s">
        <v>36</v>
      </c>
      <c r="L161">
        <v>3</v>
      </c>
      <c r="M161">
        <v>3</v>
      </c>
      <c r="N161" s="3">
        <v>2231</v>
      </c>
      <c r="O161" s="3" t="str">
        <f>IF(Table2[[#This Row],[MonthlyIncome]]&lt;=5000, "$1001 - $5000", IF(Table2[[#This Row],[MonthlyIncome]]&lt;=9000, "$5001 - $9000", IF(Table2[[#This Row],[MonthlyIncome]]&lt;=13000, "$9001 - $13000", IF(Table2[[#This Row],[MonthlyIncome]]&lt;=17000, "$13001 - $17000", IF(Table2[[#This Row],[MonthlyIncome]]&lt;=21000, "$17001 - $21000")))))</f>
        <v>$1001 - $5000</v>
      </c>
      <c r="P161">
        <v>6</v>
      </c>
      <c r="Q161">
        <v>3</v>
      </c>
      <c r="R161">
        <v>4</v>
      </c>
      <c r="S1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62" spans="1:19" ht="14.25" x14ac:dyDescent="0.2">
      <c r="A162">
        <v>24521818</v>
      </c>
      <c r="B162">
        <v>22</v>
      </c>
      <c r="C162" t="s">
        <v>25</v>
      </c>
      <c r="D162" t="s">
        <v>24</v>
      </c>
      <c r="E162" t="s">
        <v>22</v>
      </c>
      <c r="F162">
        <f>IF(Table2[[#This Row],[Attrition]]="Yes", 1, 0)</f>
        <v>0</v>
      </c>
      <c r="G162" t="s">
        <v>26</v>
      </c>
      <c r="H162" t="s">
        <v>23</v>
      </c>
      <c r="I162">
        <v>19</v>
      </c>
      <c r="J162">
        <v>1</v>
      </c>
      <c r="K162" t="s">
        <v>29</v>
      </c>
      <c r="L162">
        <v>3</v>
      </c>
      <c r="M162">
        <v>4</v>
      </c>
      <c r="N162" s="3">
        <v>2323</v>
      </c>
      <c r="O162" s="3" t="str">
        <f>IF(Table2[[#This Row],[MonthlyIncome]]&lt;=5000, "$1001 - $5000", IF(Table2[[#This Row],[MonthlyIncome]]&lt;=9000, "$5001 - $9000", IF(Table2[[#This Row],[MonthlyIncome]]&lt;=13000, "$9001 - $13000", IF(Table2[[#This Row],[MonthlyIncome]]&lt;=17000, "$13001 - $17000", IF(Table2[[#This Row],[MonthlyIncome]]&lt;=21000, "$17001 - $21000")))))</f>
        <v>$1001 - $5000</v>
      </c>
      <c r="P162">
        <v>1</v>
      </c>
      <c r="Q162">
        <v>3</v>
      </c>
      <c r="R162">
        <v>2</v>
      </c>
      <c r="S1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63" spans="1:19" ht="14.25" x14ac:dyDescent="0.2">
      <c r="A163">
        <v>32354957</v>
      </c>
      <c r="B163">
        <v>27</v>
      </c>
      <c r="C163" t="s">
        <v>25</v>
      </c>
      <c r="D163" t="s">
        <v>30</v>
      </c>
      <c r="E163" t="s">
        <v>22</v>
      </c>
      <c r="F163">
        <f>IF(Table2[[#This Row],[Attrition]]="Yes", 1, 0)</f>
        <v>0</v>
      </c>
      <c r="G163" t="s">
        <v>26</v>
      </c>
      <c r="H163" t="s">
        <v>23</v>
      </c>
      <c r="I163">
        <v>9</v>
      </c>
      <c r="J163">
        <v>3</v>
      </c>
      <c r="K163" t="s">
        <v>29</v>
      </c>
      <c r="L163">
        <v>4</v>
      </c>
      <c r="M163">
        <v>2</v>
      </c>
      <c r="N163" s="3">
        <v>2024</v>
      </c>
      <c r="O163" s="3" t="str">
        <f>IF(Table2[[#This Row],[MonthlyIncome]]&lt;=5000, "$1001 - $5000", IF(Table2[[#This Row],[MonthlyIncome]]&lt;=9000, "$5001 - $9000", IF(Table2[[#This Row],[MonthlyIncome]]&lt;=13000, "$9001 - $13000", IF(Table2[[#This Row],[MonthlyIncome]]&lt;=17000, "$13001 - $17000", IF(Table2[[#This Row],[MonthlyIncome]]&lt;=21000, "$17001 - $21000")))))</f>
        <v>$1001 - $5000</v>
      </c>
      <c r="P163">
        <v>6</v>
      </c>
      <c r="Q163">
        <v>1</v>
      </c>
      <c r="R163">
        <v>2</v>
      </c>
      <c r="S1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64" spans="1:19" ht="14.25" x14ac:dyDescent="0.2">
      <c r="A164">
        <v>89213162</v>
      </c>
      <c r="B164">
        <v>28</v>
      </c>
      <c r="C164" t="s">
        <v>25</v>
      </c>
      <c r="D164" t="s">
        <v>24</v>
      </c>
      <c r="E164" t="s">
        <v>22</v>
      </c>
      <c r="F164">
        <f>IF(Table2[[#This Row],[Attrition]]="Yes", 1, 0)</f>
        <v>0</v>
      </c>
      <c r="G164" t="s">
        <v>26</v>
      </c>
      <c r="H164" t="s">
        <v>23</v>
      </c>
      <c r="I164">
        <v>21</v>
      </c>
      <c r="J164">
        <v>3</v>
      </c>
      <c r="K164" t="s">
        <v>29</v>
      </c>
      <c r="L164">
        <v>3</v>
      </c>
      <c r="M164">
        <v>4</v>
      </c>
      <c r="N164" s="3">
        <v>2713</v>
      </c>
      <c r="O164" s="3" t="str">
        <f>IF(Table2[[#This Row],[MonthlyIncome]]&lt;=5000, "$1001 - $5000", IF(Table2[[#This Row],[MonthlyIncome]]&lt;=9000, "$5001 - $9000", IF(Table2[[#This Row],[MonthlyIncome]]&lt;=13000, "$9001 - $13000", IF(Table2[[#This Row],[MonthlyIncome]]&lt;=17000, "$13001 - $17000", IF(Table2[[#This Row],[MonthlyIncome]]&lt;=21000, "$17001 - $21000")))))</f>
        <v>$1001 - $5000</v>
      </c>
      <c r="P164">
        <v>1</v>
      </c>
      <c r="Q164">
        <v>1</v>
      </c>
      <c r="R164">
        <v>5</v>
      </c>
      <c r="S1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65" spans="1:19" ht="14.25" x14ac:dyDescent="0.2">
      <c r="A165">
        <v>55801282</v>
      </c>
      <c r="B165">
        <v>57</v>
      </c>
      <c r="C165" t="s">
        <v>25</v>
      </c>
      <c r="D165" t="s">
        <v>30</v>
      </c>
      <c r="E165" t="s">
        <v>22</v>
      </c>
      <c r="F165">
        <f>IF(Table2[[#This Row],[Attrition]]="Yes", 1, 0)</f>
        <v>0</v>
      </c>
      <c r="G165" t="s">
        <v>32</v>
      </c>
      <c r="H165" t="s">
        <v>23</v>
      </c>
      <c r="I165">
        <v>24</v>
      </c>
      <c r="J165">
        <v>2</v>
      </c>
      <c r="K165" t="s">
        <v>18</v>
      </c>
      <c r="L165">
        <v>3</v>
      </c>
      <c r="M165">
        <v>4</v>
      </c>
      <c r="N165" s="3">
        <v>9439</v>
      </c>
      <c r="O165" s="3" t="str">
        <f>IF(Table2[[#This Row],[MonthlyIncome]]&lt;=5000, "$1001 - $5000", IF(Table2[[#This Row],[MonthlyIncome]]&lt;=9000, "$5001 - $9000", IF(Table2[[#This Row],[MonthlyIncome]]&lt;=13000, "$9001 - $13000", IF(Table2[[#This Row],[MonthlyIncome]]&lt;=17000, "$13001 - $17000", IF(Table2[[#This Row],[MonthlyIncome]]&lt;=21000, "$17001 - $21000")))))</f>
        <v>$9001 - $13000</v>
      </c>
      <c r="P165">
        <v>3</v>
      </c>
      <c r="Q165">
        <v>1</v>
      </c>
      <c r="R165">
        <v>5</v>
      </c>
      <c r="S1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66" spans="1:19" ht="14.25" x14ac:dyDescent="0.2">
      <c r="A166">
        <v>39282228</v>
      </c>
      <c r="B166">
        <v>27</v>
      </c>
      <c r="C166" t="s">
        <v>25</v>
      </c>
      <c r="D166" t="s">
        <v>30</v>
      </c>
      <c r="E166" t="s">
        <v>22</v>
      </c>
      <c r="F166">
        <f>IF(Table2[[#This Row],[Attrition]]="Yes", 1, 0)</f>
        <v>0</v>
      </c>
      <c r="G166" t="s">
        <v>26</v>
      </c>
      <c r="H166" t="s">
        <v>23</v>
      </c>
      <c r="I166">
        <v>3</v>
      </c>
      <c r="J166">
        <v>3</v>
      </c>
      <c r="K166" t="s">
        <v>29</v>
      </c>
      <c r="L166">
        <v>3</v>
      </c>
      <c r="M166">
        <v>3</v>
      </c>
      <c r="N166" s="3">
        <v>2566</v>
      </c>
      <c r="O166" s="3" t="str">
        <f>IF(Table2[[#This Row],[MonthlyIncome]]&lt;=5000, "$1001 - $5000", IF(Table2[[#This Row],[MonthlyIncome]]&lt;=9000, "$5001 - $9000", IF(Table2[[#This Row],[MonthlyIncome]]&lt;=13000, "$9001 - $13000", IF(Table2[[#This Row],[MonthlyIncome]]&lt;=17000, "$13001 - $17000", IF(Table2[[#This Row],[MonthlyIncome]]&lt;=21000, "$17001 - $21000")))))</f>
        <v>$1001 - $5000</v>
      </c>
      <c r="P166">
        <v>1</v>
      </c>
      <c r="Q166">
        <v>2</v>
      </c>
      <c r="R166">
        <v>1</v>
      </c>
      <c r="S1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67" spans="1:19" ht="14.25" x14ac:dyDescent="0.2">
      <c r="A167">
        <v>78886739</v>
      </c>
      <c r="B167">
        <v>50</v>
      </c>
      <c r="C167" t="s">
        <v>20</v>
      </c>
      <c r="D167" t="s">
        <v>19</v>
      </c>
      <c r="E167" t="s">
        <v>22</v>
      </c>
      <c r="F167">
        <f>IF(Table2[[#This Row],[Attrition]]="Yes", 1, 0)</f>
        <v>0</v>
      </c>
      <c r="G167" t="s">
        <v>33</v>
      </c>
      <c r="H167" t="s">
        <v>23</v>
      </c>
      <c r="I167">
        <v>11</v>
      </c>
      <c r="J167">
        <v>3</v>
      </c>
      <c r="K167" t="s">
        <v>18</v>
      </c>
      <c r="L167">
        <v>3</v>
      </c>
      <c r="M167">
        <v>2</v>
      </c>
      <c r="N167" s="3">
        <v>19926</v>
      </c>
      <c r="O167" s="3" t="str">
        <f>IF(Table2[[#This Row],[MonthlyIncome]]&lt;=5000, "$1001 - $5000", IF(Table2[[#This Row],[MonthlyIncome]]&lt;=9000, "$5001 - $9000", IF(Table2[[#This Row],[MonthlyIncome]]&lt;=13000, "$9001 - $13000", IF(Table2[[#This Row],[MonthlyIncome]]&lt;=17000, "$13001 - $17000", IF(Table2[[#This Row],[MonthlyIncome]]&lt;=21000, "$17001 - $21000")))))</f>
        <v>$17001 - $21000</v>
      </c>
      <c r="P167">
        <v>3</v>
      </c>
      <c r="Q167">
        <v>3</v>
      </c>
      <c r="R167">
        <v>5</v>
      </c>
      <c r="S1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68" spans="1:19" ht="14.25" x14ac:dyDescent="0.2">
      <c r="A168">
        <v>14633476</v>
      </c>
      <c r="B168">
        <v>41</v>
      </c>
      <c r="C168" t="s">
        <v>25</v>
      </c>
      <c r="D168" t="s">
        <v>30</v>
      </c>
      <c r="E168" t="s">
        <v>22</v>
      </c>
      <c r="F168">
        <f>IF(Table2[[#This Row],[Attrition]]="Yes", 1, 0)</f>
        <v>0</v>
      </c>
      <c r="G168" t="s">
        <v>26</v>
      </c>
      <c r="H168" t="s">
        <v>23</v>
      </c>
      <c r="I168">
        <v>14</v>
      </c>
      <c r="J168">
        <v>3</v>
      </c>
      <c r="K168" t="s">
        <v>18</v>
      </c>
      <c r="L168">
        <v>1</v>
      </c>
      <c r="M168">
        <v>3</v>
      </c>
      <c r="N168" s="3">
        <v>2451</v>
      </c>
      <c r="O168" s="3" t="str">
        <f>IF(Table2[[#This Row],[MonthlyIncome]]&lt;=5000, "$1001 - $5000", IF(Table2[[#This Row],[MonthlyIncome]]&lt;=9000, "$5001 - $9000", IF(Table2[[#This Row],[MonthlyIncome]]&lt;=13000, "$9001 - $13000", IF(Table2[[#This Row],[MonthlyIncome]]&lt;=17000, "$13001 - $17000", IF(Table2[[#This Row],[MonthlyIncome]]&lt;=21000, "$17001 - $21000")))))</f>
        <v>$1001 - $5000</v>
      </c>
      <c r="P168">
        <v>4</v>
      </c>
      <c r="Q168">
        <v>3</v>
      </c>
      <c r="R168">
        <v>9</v>
      </c>
      <c r="S1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69" spans="1:19" ht="14.25" x14ac:dyDescent="0.2">
      <c r="A169">
        <v>84813668</v>
      </c>
      <c r="B169">
        <v>30</v>
      </c>
      <c r="C169" t="s">
        <v>20</v>
      </c>
      <c r="D169" t="s">
        <v>24</v>
      </c>
      <c r="E169" t="s">
        <v>22</v>
      </c>
      <c r="F169">
        <f>IF(Table2[[#This Row],[Attrition]]="Yes", 1, 0)</f>
        <v>0</v>
      </c>
      <c r="G169" t="s">
        <v>21</v>
      </c>
      <c r="H169" t="s">
        <v>17</v>
      </c>
      <c r="I169">
        <v>5</v>
      </c>
      <c r="J169">
        <v>3</v>
      </c>
      <c r="K169" t="s">
        <v>18</v>
      </c>
      <c r="L169">
        <v>2</v>
      </c>
      <c r="M169">
        <v>4</v>
      </c>
      <c r="N169" s="3">
        <v>9419</v>
      </c>
      <c r="O169" s="3" t="str">
        <f>IF(Table2[[#This Row],[MonthlyIncome]]&lt;=5000, "$1001 - $5000", IF(Table2[[#This Row],[MonthlyIncome]]&lt;=9000, "$5001 - $9000", IF(Table2[[#This Row],[MonthlyIncome]]&lt;=13000, "$9001 - $13000", IF(Table2[[#This Row],[MonthlyIncome]]&lt;=17000, "$13001 - $17000", IF(Table2[[#This Row],[MonthlyIncome]]&lt;=21000, "$17001 - $21000")))))</f>
        <v>$9001 - $13000</v>
      </c>
      <c r="P169">
        <v>2</v>
      </c>
      <c r="Q169">
        <v>3</v>
      </c>
      <c r="R169">
        <v>10</v>
      </c>
      <c r="S1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70" spans="1:19" ht="14.25" x14ac:dyDescent="0.2">
      <c r="A170">
        <v>81209907</v>
      </c>
      <c r="B170">
        <v>38</v>
      </c>
      <c r="C170" t="s">
        <v>20</v>
      </c>
      <c r="D170" t="s">
        <v>19</v>
      </c>
      <c r="E170" t="s">
        <v>22</v>
      </c>
      <c r="F170">
        <f>IF(Table2[[#This Row],[Attrition]]="Yes", 1, 0)</f>
        <v>0</v>
      </c>
      <c r="G170" t="s">
        <v>21</v>
      </c>
      <c r="H170" t="s">
        <v>17</v>
      </c>
      <c r="I170">
        <v>1</v>
      </c>
      <c r="J170">
        <v>4</v>
      </c>
      <c r="K170" t="s">
        <v>18</v>
      </c>
      <c r="L170">
        <v>1</v>
      </c>
      <c r="M170">
        <v>4</v>
      </c>
      <c r="N170" s="3">
        <v>8686</v>
      </c>
      <c r="O170" s="3" t="str">
        <f>IF(Table2[[#This Row],[MonthlyIncome]]&lt;=5000, "$1001 - $5000", IF(Table2[[#This Row],[MonthlyIncome]]&lt;=9000, "$5001 - $9000", IF(Table2[[#This Row],[MonthlyIncome]]&lt;=13000, "$9001 - $13000", IF(Table2[[#This Row],[MonthlyIncome]]&lt;=17000, "$13001 - $17000", IF(Table2[[#This Row],[MonthlyIncome]]&lt;=21000, "$17001 - $21000")))))</f>
        <v>$5001 - $9000</v>
      </c>
      <c r="P170">
        <v>4</v>
      </c>
      <c r="Q170">
        <v>4</v>
      </c>
      <c r="R170">
        <v>8</v>
      </c>
      <c r="S1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71" spans="1:19" ht="14.25" x14ac:dyDescent="0.2">
      <c r="A171">
        <v>16361934</v>
      </c>
      <c r="B171">
        <v>32</v>
      </c>
      <c r="C171" t="s">
        <v>25</v>
      </c>
      <c r="D171" t="s">
        <v>19</v>
      </c>
      <c r="E171" t="s">
        <v>22</v>
      </c>
      <c r="F171">
        <f>IF(Table2[[#This Row],[Attrition]]="Yes", 1, 0)</f>
        <v>0</v>
      </c>
      <c r="G171" t="s">
        <v>26</v>
      </c>
      <c r="H171" t="s">
        <v>23</v>
      </c>
      <c r="I171">
        <v>6</v>
      </c>
      <c r="J171">
        <v>5</v>
      </c>
      <c r="K171" t="s">
        <v>18</v>
      </c>
      <c r="L171">
        <v>3</v>
      </c>
      <c r="M171">
        <v>3</v>
      </c>
      <c r="N171" s="3">
        <v>3038</v>
      </c>
      <c r="O171" s="3" t="str">
        <f>IF(Table2[[#This Row],[MonthlyIncome]]&lt;=5000, "$1001 - $5000", IF(Table2[[#This Row],[MonthlyIncome]]&lt;=9000, "$5001 - $9000", IF(Table2[[#This Row],[MonthlyIncome]]&lt;=13000, "$9001 - $13000", IF(Table2[[#This Row],[MonthlyIncome]]&lt;=17000, "$13001 - $17000", IF(Table2[[#This Row],[MonthlyIncome]]&lt;=21000, "$17001 - $21000")))))</f>
        <v>$1001 - $5000</v>
      </c>
      <c r="P171">
        <v>3</v>
      </c>
      <c r="Q171">
        <v>3</v>
      </c>
      <c r="R171">
        <v>5</v>
      </c>
      <c r="S1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72" spans="1:19" ht="14.25" x14ac:dyDescent="0.2">
      <c r="A172">
        <v>44329409</v>
      </c>
      <c r="B172">
        <v>27</v>
      </c>
      <c r="C172" t="s">
        <v>25</v>
      </c>
      <c r="D172" t="s">
        <v>24</v>
      </c>
      <c r="E172" t="s">
        <v>22</v>
      </c>
      <c r="F172">
        <f>IF(Table2[[#This Row],[Attrition]]="Yes", 1, 0)</f>
        <v>0</v>
      </c>
      <c r="G172" t="s">
        <v>26</v>
      </c>
      <c r="H172" t="s">
        <v>23</v>
      </c>
      <c r="I172">
        <v>17</v>
      </c>
      <c r="J172">
        <v>3</v>
      </c>
      <c r="K172" t="s">
        <v>37</v>
      </c>
      <c r="L172">
        <v>3</v>
      </c>
      <c r="M172">
        <v>2</v>
      </c>
      <c r="N172" s="3">
        <v>3058</v>
      </c>
      <c r="O172" s="3" t="str">
        <f>IF(Table2[[#This Row],[MonthlyIncome]]&lt;=5000, "$1001 - $5000", IF(Table2[[#This Row],[MonthlyIncome]]&lt;=9000, "$5001 - $9000", IF(Table2[[#This Row],[MonthlyIncome]]&lt;=13000, "$9001 - $13000", IF(Table2[[#This Row],[MonthlyIncome]]&lt;=17000, "$13001 - $17000", IF(Table2[[#This Row],[MonthlyIncome]]&lt;=21000, "$17001 - $21000")))))</f>
        <v>$1001 - $5000</v>
      </c>
      <c r="P172">
        <v>0</v>
      </c>
      <c r="Q172">
        <v>2</v>
      </c>
      <c r="R172">
        <v>5</v>
      </c>
      <c r="S1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73" spans="1:19" ht="14.25" x14ac:dyDescent="0.2">
      <c r="A173">
        <v>72126349</v>
      </c>
      <c r="B173">
        <v>19</v>
      </c>
      <c r="C173" t="s">
        <v>20</v>
      </c>
      <c r="D173" t="s">
        <v>19</v>
      </c>
      <c r="E173" t="s">
        <v>16</v>
      </c>
      <c r="F173">
        <f>IF(Table2[[#This Row],[Attrition]]="Yes", 1, 0)</f>
        <v>1</v>
      </c>
      <c r="G173" t="s">
        <v>34</v>
      </c>
      <c r="H173" t="s">
        <v>17</v>
      </c>
      <c r="I173">
        <v>1</v>
      </c>
      <c r="J173">
        <v>1</v>
      </c>
      <c r="K173" t="s">
        <v>37</v>
      </c>
      <c r="L173">
        <v>3</v>
      </c>
      <c r="M173">
        <v>1</v>
      </c>
      <c r="N173" s="3">
        <v>2325</v>
      </c>
      <c r="O173" s="3" t="str">
        <f>IF(Table2[[#This Row],[MonthlyIncome]]&lt;=5000, "$1001 - $5000", IF(Table2[[#This Row],[MonthlyIncome]]&lt;=9000, "$5001 - $9000", IF(Table2[[#This Row],[MonthlyIncome]]&lt;=13000, "$9001 - $13000", IF(Table2[[#This Row],[MonthlyIncome]]&lt;=17000, "$13001 - $17000", IF(Table2[[#This Row],[MonthlyIncome]]&lt;=21000, "$17001 - $21000")))))</f>
        <v>$1001 - $5000</v>
      </c>
      <c r="P173">
        <v>0</v>
      </c>
      <c r="Q173">
        <v>4</v>
      </c>
      <c r="R173">
        <v>0</v>
      </c>
      <c r="S1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74" spans="1:19" ht="14.25" x14ac:dyDescent="0.2">
      <c r="A174">
        <v>40475404</v>
      </c>
      <c r="B174">
        <v>36</v>
      </c>
      <c r="C174" t="s">
        <v>25</v>
      </c>
      <c r="D174" t="s">
        <v>19</v>
      </c>
      <c r="E174" t="s">
        <v>22</v>
      </c>
      <c r="F174">
        <f>IF(Table2[[#This Row],[Attrition]]="Yes", 1, 0)</f>
        <v>0</v>
      </c>
      <c r="G174" t="s">
        <v>28</v>
      </c>
      <c r="H174" t="s">
        <v>23</v>
      </c>
      <c r="I174">
        <v>3</v>
      </c>
      <c r="J174">
        <v>2</v>
      </c>
      <c r="K174" t="s">
        <v>29</v>
      </c>
      <c r="L174">
        <v>4</v>
      </c>
      <c r="M174">
        <v>2</v>
      </c>
      <c r="N174" s="3">
        <v>2088</v>
      </c>
      <c r="O174" s="3" t="str">
        <f>IF(Table2[[#This Row],[MonthlyIncome]]&lt;=5000, "$1001 - $5000", IF(Table2[[#This Row],[MonthlyIncome]]&lt;=9000, "$5001 - $9000", IF(Table2[[#This Row],[MonthlyIncome]]&lt;=13000, "$9001 - $13000", IF(Table2[[#This Row],[MonthlyIncome]]&lt;=17000, "$13001 - $17000", IF(Table2[[#This Row],[MonthlyIncome]]&lt;=21000, "$17001 - $21000")))))</f>
        <v>$1001 - $5000</v>
      </c>
      <c r="P174">
        <v>4</v>
      </c>
      <c r="Q174">
        <v>2</v>
      </c>
      <c r="R174">
        <v>8</v>
      </c>
      <c r="S1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75" spans="1:19" ht="14.25" x14ac:dyDescent="0.2">
      <c r="A175">
        <v>53716872</v>
      </c>
      <c r="B175">
        <v>30</v>
      </c>
      <c r="C175" t="s">
        <v>25</v>
      </c>
      <c r="D175" t="s">
        <v>30</v>
      </c>
      <c r="E175" t="s">
        <v>22</v>
      </c>
      <c r="F175">
        <f>IF(Table2[[#This Row],[Attrition]]="Yes", 1, 0)</f>
        <v>0</v>
      </c>
      <c r="G175" t="s">
        <v>28</v>
      </c>
      <c r="H175" t="s">
        <v>23</v>
      </c>
      <c r="I175">
        <v>9</v>
      </c>
      <c r="J175">
        <v>3</v>
      </c>
      <c r="K175" t="s">
        <v>29</v>
      </c>
      <c r="L175">
        <v>3</v>
      </c>
      <c r="M175">
        <v>1</v>
      </c>
      <c r="N175" s="3">
        <v>3072</v>
      </c>
      <c r="O175" s="3" t="str">
        <f>IF(Table2[[#This Row],[MonthlyIncome]]&lt;=5000, "$1001 - $5000", IF(Table2[[#This Row],[MonthlyIncome]]&lt;=9000, "$5001 - $9000", IF(Table2[[#This Row],[MonthlyIncome]]&lt;=13000, "$9001 - $13000", IF(Table2[[#This Row],[MonthlyIncome]]&lt;=17000, "$13001 - $17000", IF(Table2[[#This Row],[MonthlyIncome]]&lt;=21000, "$17001 - $21000")))))</f>
        <v>$1001 - $5000</v>
      </c>
      <c r="P175">
        <v>1</v>
      </c>
      <c r="Q175">
        <v>3</v>
      </c>
      <c r="R175">
        <v>12</v>
      </c>
      <c r="S1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76" spans="1:19" ht="14.25" x14ac:dyDescent="0.2">
      <c r="A176">
        <v>41823180</v>
      </c>
      <c r="B176">
        <v>45</v>
      </c>
      <c r="C176" t="s">
        <v>20</v>
      </c>
      <c r="D176" t="s">
        <v>30</v>
      </c>
      <c r="E176" t="s">
        <v>22</v>
      </c>
      <c r="F176">
        <f>IF(Table2[[#This Row],[Attrition]]="Yes", 1, 0)</f>
        <v>0</v>
      </c>
      <c r="G176" t="s">
        <v>21</v>
      </c>
      <c r="H176" t="s">
        <v>17</v>
      </c>
      <c r="I176">
        <v>4</v>
      </c>
      <c r="J176">
        <v>2</v>
      </c>
      <c r="K176" t="s">
        <v>18</v>
      </c>
      <c r="L176">
        <v>3</v>
      </c>
      <c r="M176">
        <v>1</v>
      </c>
      <c r="N176" s="3">
        <v>5006</v>
      </c>
      <c r="O176" s="3" t="str">
        <f>IF(Table2[[#This Row],[MonthlyIncome]]&lt;=5000, "$1001 - $5000", IF(Table2[[#This Row],[MonthlyIncome]]&lt;=9000, "$5001 - $9000", IF(Table2[[#This Row],[MonthlyIncome]]&lt;=13000, "$9001 - $13000", IF(Table2[[#This Row],[MonthlyIncome]]&lt;=17000, "$13001 - $17000", IF(Table2[[#This Row],[MonthlyIncome]]&lt;=21000, "$17001 - $21000")))))</f>
        <v>$5001 - $9000</v>
      </c>
      <c r="P176">
        <v>4</v>
      </c>
      <c r="Q176">
        <v>4</v>
      </c>
      <c r="R176">
        <v>5</v>
      </c>
      <c r="S1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77" spans="1:19" ht="14.25" x14ac:dyDescent="0.2">
      <c r="A177">
        <v>86796104</v>
      </c>
      <c r="B177">
        <v>56</v>
      </c>
      <c r="C177" t="s">
        <v>20</v>
      </c>
      <c r="D177" t="s">
        <v>30</v>
      </c>
      <c r="E177" t="s">
        <v>22</v>
      </c>
      <c r="F177">
        <f>IF(Table2[[#This Row],[Attrition]]="Yes", 1, 0)</f>
        <v>0</v>
      </c>
      <c r="G177" t="s">
        <v>26</v>
      </c>
      <c r="H177" t="s">
        <v>23</v>
      </c>
      <c r="I177">
        <v>8</v>
      </c>
      <c r="J177">
        <v>3</v>
      </c>
      <c r="K177" t="s">
        <v>18</v>
      </c>
      <c r="L177">
        <v>3</v>
      </c>
      <c r="M177">
        <v>1</v>
      </c>
      <c r="N177" s="3">
        <v>4257</v>
      </c>
      <c r="O177" s="3" t="str">
        <f>IF(Table2[[#This Row],[MonthlyIncome]]&lt;=5000, "$1001 - $5000", IF(Table2[[#This Row],[MonthlyIncome]]&lt;=9000, "$5001 - $9000", IF(Table2[[#This Row],[MonthlyIncome]]&lt;=13000, "$9001 - $13000", IF(Table2[[#This Row],[MonthlyIncome]]&lt;=17000, "$13001 - $17000", IF(Table2[[#This Row],[MonthlyIncome]]&lt;=21000, "$17001 - $21000")))))</f>
        <v>$1001 - $5000</v>
      </c>
      <c r="P177">
        <v>4</v>
      </c>
      <c r="Q177">
        <v>3</v>
      </c>
      <c r="R177">
        <v>2</v>
      </c>
      <c r="S1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78" spans="1:19" ht="14.25" x14ac:dyDescent="0.2">
      <c r="A178">
        <v>28509363</v>
      </c>
      <c r="B178">
        <v>33</v>
      </c>
      <c r="C178" t="s">
        <v>25</v>
      </c>
      <c r="D178" t="s">
        <v>19</v>
      </c>
      <c r="E178" t="s">
        <v>22</v>
      </c>
      <c r="F178">
        <f>IF(Table2[[#This Row],[Attrition]]="Yes", 1, 0)</f>
        <v>0</v>
      </c>
      <c r="G178" t="s">
        <v>26</v>
      </c>
      <c r="H178" t="s">
        <v>23</v>
      </c>
      <c r="I178">
        <v>2</v>
      </c>
      <c r="J178">
        <v>3</v>
      </c>
      <c r="K178" t="s">
        <v>18</v>
      </c>
      <c r="L178">
        <v>3</v>
      </c>
      <c r="M178">
        <v>4</v>
      </c>
      <c r="N178" s="3">
        <v>2500</v>
      </c>
      <c r="O178" s="3" t="str">
        <f>IF(Table2[[#This Row],[MonthlyIncome]]&lt;=5000, "$1001 - $5000", IF(Table2[[#This Row],[MonthlyIncome]]&lt;=9000, "$5001 - $9000", IF(Table2[[#This Row],[MonthlyIncome]]&lt;=13000, "$9001 - $13000", IF(Table2[[#This Row],[MonthlyIncome]]&lt;=17000, "$13001 - $17000", IF(Table2[[#This Row],[MonthlyIncome]]&lt;=21000, "$17001 - $21000")))))</f>
        <v>$1001 - $5000</v>
      </c>
      <c r="P178">
        <v>0</v>
      </c>
      <c r="Q178">
        <v>4</v>
      </c>
      <c r="R178">
        <v>3</v>
      </c>
      <c r="S1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79" spans="1:19" ht="14.25" x14ac:dyDescent="0.2">
      <c r="A179">
        <v>14739427</v>
      </c>
      <c r="B179">
        <v>19</v>
      </c>
      <c r="C179" t="s">
        <v>25</v>
      </c>
      <c r="D179" t="s">
        <v>19</v>
      </c>
      <c r="E179" t="s">
        <v>16</v>
      </c>
      <c r="F179">
        <f>IF(Table2[[#This Row],[Attrition]]="Yes", 1, 0)</f>
        <v>1</v>
      </c>
      <c r="G179" t="s">
        <v>28</v>
      </c>
      <c r="H179" t="s">
        <v>23</v>
      </c>
      <c r="I179">
        <v>2</v>
      </c>
      <c r="J179">
        <v>3</v>
      </c>
      <c r="K179" t="s">
        <v>18</v>
      </c>
      <c r="L179">
        <v>2</v>
      </c>
      <c r="M179">
        <v>4</v>
      </c>
      <c r="N179" s="3">
        <v>1102</v>
      </c>
      <c r="O179" s="3" t="str">
        <f>IF(Table2[[#This Row],[MonthlyIncome]]&lt;=5000, "$1001 - $5000", IF(Table2[[#This Row],[MonthlyIncome]]&lt;=9000, "$5001 - $9000", IF(Table2[[#This Row],[MonthlyIncome]]&lt;=13000, "$9001 - $13000", IF(Table2[[#This Row],[MonthlyIncome]]&lt;=17000, "$13001 - $17000", IF(Table2[[#This Row],[MonthlyIncome]]&lt;=21000, "$17001 - $21000")))))</f>
        <v>$1001 - $5000</v>
      </c>
      <c r="P179">
        <v>1</v>
      </c>
      <c r="Q179">
        <v>2</v>
      </c>
      <c r="R179">
        <v>1</v>
      </c>
      <c r="S1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80" spans="1:19" ht="14.25" x14ac:dyDescent="0.2">
      <c r="A180">
        <v>35968917</v>
      </c>
      <c r="B180">
        <v>46</v>
      </c>
      <c r="C180" t="s">
        <v>20</v>
      </c>
      <c r="D180" t="s">
        <v>30</v>
      </c>
      <c r="E180" t="s">
        <v>22</v>
      </c>
      <c r="F180">
        <f>IF(Table2[[#This Row],[Attrition]]="Yes", 1, 0)</f>
        <v>0</v>
      </c>
      <c r="G180" t="s">
        <v>21</v>
      </c>
      <c r="H180" t="s">
        <v>17</v>
      </c>
      <c r="I180">
        <v>1</v>
      </c>
      <c r="J180">
        <v>2</v>
      </c>
      <c r="K180" t="s">
        <v>36</v>
      </c>
      <c r="L180">
        <v>2</v>
      </c>
      <c r="M180">
        <v>1</v>
      </c>
      <c r="N180" s="3">
        <v>10453</v>
      </c>
      <c r="O180" s="3" t="str">
        <f>IF(Table2[[#This Row],[MonthlyIncome]]&lt;=5000, "$1001 - $5000", IF(Table2[[#This Row],[MonthlyIncome]]&lt;=9000, "$5001 - $9000", IF(Table2[[#This Row],[MonthlyIncome]]&lt;=13000, "$9001 - $13000", IF(Table2[[#This Row],[MonthlyIncome]]&lt;=17000, "$13001 - $17000", IF(Table2[[#This Row],[MonthlyIncome]]&lt;=21000, "$17001 - $21000")))))</f>
        <v>$9001 - $13000</v>
      </c>
      <c r="P180">
        <v>1</v>
      </c>
      <c r="Q180">
        <v>3</v>
      </c>
      <c r="R180">
        <v>24</v>
      </c>
      <c r="S1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81" spans="1:19" ht="14.25" x14ac:dyDescent="0.2">
      <c r="A181">
        <v>66913263</v>
      </c>
      <c r="B181">
        <v>38</v>
      </c>
      <c r="C181" t="s">
        <v>20</v>
      </c>
      <c r="D181" t="s">
        <v>19</v>
      </c>
      <c r="E181" t="s">
        <v>22</v>
      </c>
      <c r="F181">
        <f>IF(Table2[[#This Row],[Attrition]]="Yes", 1, 0)</f>
        <v>0</v>
      </c>
      <c r="G181" t="s">
        <v>28</v>
      </c>
      <c r="H181" t="s">
        <v>23</v>
      </c>
      <c r="I181">
        <v>9</v>
      </c>
      <c r="J181">
        <v>2</v>
      </c>
      <c r="K181" t="s">
        <v>18</v>
      </c>
      <c r="L181">
        <v>3</v>
      </c>
      <c r="M181">
        <v>4</v>
      </c>
      <c r="N181" s="3">
        <v>2288</v>
      </c>
      <c r="O181" s="3" t="str">
        <f>IF(Table2[[#This Row],[MonthlyIncome]]&lt;=5000, "$1001 - $5000", IF(Table2[[#This Row],[MonthlyIncome]]&lt;=9000, "$5001 - $9000", IF(Table2[[#This Row],[MonthlyIncome]]&lt;=13000, "$9001 - $13000", IF(Table2[[#This Row],[MonthlyIncome]]&lt;=17000, "$13001 - $17000", IF(Table2[[#This Row],[MonthlyIncome]]&lt;=21000, "$17001 - $21000")))))</f>
        <v>$1001 - $5000</v>
      </c>
      <c r="P181">
        <v>1</v>
      </c>
      <c r="Q181">
        <v>3</v>
      </c>
      <c r="R181">
        <v>2</v>
      </c>
      <c r="S1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82" spans="1:19" ht="14.25" x14ac:dyDescent="0.2">
      <c r="A182">
        <v>24555492</v>
      </c>
      <c r="B182">
        <v>31</v>
      </c>
      <c r="C182" t="s">
        <v>20</v>
      </c>
      <c r="D182" t="s">
        <v>24</v>
      </c>
      <c r="E182" t="s">
        <v>22</v>
      </c>
      <c r="F182">
        <f>IF(Table2[[#This Row],[Attrition]]="Yes", 1, 0)</f>
        <v>0</v>
      </c>
      <c r="G182" t="s">
        <v>26</v>
      </c>
      <c r="H182" t="s">
        <v>23</v>
      </c>
      <c r="I182">
        <v>12</v>
      </c>
      <c r="J182">
        <v>1</v>
      </c>
      <c r="K182" t="s">
        <v>29</v>
      </c>
      <c r="L182">
        <v>3</v>
      </c>
      <c r="M182">
        <v>4</v>
      </c>
      <c r="N182" s="3">
        <v>3929</v>
      </c>
      <c r="O182" s="3" t="str">
        <f>IF(Table2[[#This Row],[MonthlyIncome]]&lt;=5000, "$1001 - $5000", IF(Table2[[#This Row],[MonthlyIncome]]&lt;=9000, "$5001 - $9000", IF(Table2[[#This Row],[MonthlyIncome]]&lt;=13000, "$9001 - $13000", IF(Table2[[#This Row],[MonthlyIncome]]&lt;=17000, "$13001 - $17000", IF(Table2[[#This Row],[MonthlyIncome]]&lt;=21000, "$17001 - $21000")))))</f>
        <v>$1001 - $5000</v>
      </c>
      <c r="P182">
        <v>8</v>
      </c>
      <c r="Q182">
        <v>3</v>
      </c>
      <c r="R182">
        <v>4</v>
      </c>
      <c r="S1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83" spans="1:19" ht="14.25" x14ac:dyDescent="0.2">
      <c r="A183">
        <v>26929401</v>
      </c>
      <c r="B183">
        <v>34</v>
      </c>
      <c r="C183" t="s">
        <v>20</v>
      </c>
      <c r="D183" t="s">
        <v>19</v>
      </c>
      <c r="E183" t="s">
        <v>22</v>
      </c>
      <c r="F183">
        <f>IF(Table2[[#This Row],[Attrition]]="Yes", 1, 0)</f>
        <v>0</v>
      </c>
      <c r="G183" t="s">
        <v>26</v>
      </c>
      <c r="H183" t="s">
        <v>23</v>
      </c>
      <c r="I183">
        <v>27</v>
      </c>
      <c r="J183">
        <v>2</v>
      </c>
      <c r="K183" t="s">
        <v>29</v>
      </c>
      <c r="L183">
        <v>4</v>
      </c>
      <c r="M183">
        <v>2</v>
      </c>
      <c r="N183" s="3">
        <v>2311</v>
      </c>
      <c r="O183" s="3" t="str">
        <f>IF(Table2[[#This Row],[MonthlyIncome]]&lt;=5000, "$1001 - $5000", IF(Table2[[#This Row],[MonthlyIncome]]&lt;=9000, "$5001 - $9000", IF(Table2[[#This Row],[MonthlyIncome]]&lt;=13000, "$9001 - $13000", IF(Table2[[#This Row],[MonthlyIncome]]&lt;=17000, "$13001 - $17000", IF(Table2[[#This Row],[MonthlyIncome]]&lt;=21000, "$17001 - $21000")))))</f>
        <v>$1001 - $5000</v>
      </c>
      <c r="P183">
        <v>2</v>
      </c>
      <c r="Q183">
        <v>3</v>
      </c>
      <c r="R183">
        <v>3</v>
      </c>
      <c r="S1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84" spans="1:19" ht="14.25" x14ac:dyDescent="0.2">
      <c r="A184">
        <v>56316650</v>
      </c>
      <c r="B184">
        <v>41</v>
      </c>
      <c r="C184" t="s">
        <v>20</v>
      </c>
      <c r="D184" t="s">
        <v>19</v>
      </c>
      <c r="E184" t="s">
        <v>16</v>
      </c>
      <c r="F184">
        <f>IF(Table2[[#This Row],[Attrition]]="Yes", 1, 0)</f>
        <v>1</v>
      </c>
      <c r="G184" t="s">
        <v>34</v>
      </c>
      <c r="H184" t="s">
        <v>17</v>
      </c>
      <c r="I184">
        <v>20</v>
      </c>
      <c r="J184">
        <v>2</v>
      </c>
      <c r="K184" t="s">
        <v>36</v>
      </c>
      <c r="L184">
        <v>2</v>
      </c>
      <c r="M184">
        <v>2</v>
      </c>
      <c r="N184" s="3">
        <v>3140</v>
      </c>
      <c r="O184" s="3" t="str">
        <f>IF(Table2[[#This Row],[MonthlyIncome]]&lt;=5000, "$1001 - $5000", IF(Table2[[#This Row],[MonthlyIncome]]&lt;=9000, "$5001 - $9000", IF(Table2[[#This Row],[MonthlyIncome]]&lt;=13000, "$9001 - $13000", IF(Table2[[#This Row],[MonthlyIncome]]&lt;=17000, "$13001 - $17000", IF(Table2[[#This Row],[MonthlyIncome]]&lt;=21000, "$17001 - $21000")))))</f>
        <v>$1001 - $5000</v>
      </c>
      <c r="P184">
        <v>1</v>
      </c>
      <c r="Q184">
        <v>2</v>
      </c>
      <c r="R184">
        <v>4</v>
      </c>
      <c r="S1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85" spans="1:19" ht="14.25" x14ac:dyDescent="0.2">
      <c r="A185">
        <v>88610492</v>
      </c>
      <c r="B185">
        <v>50</v>
      </c>
      <c r="C185" t="s">
        <v>25</v>
      </c>
      <c r="D185" t="s">
        <v>24</v>
      </c>
      <c r="E185" t="s">
        <v>22</v>
      </c>
      <c r="F185">
        <f>IF(Table2[[#This Row],[Attrition]]="Yes", 1, 0)</f>
        <v>0</v>
      </c>
      <c r="G185" t="s">
        <v>28</v>
      </c>
      <c r="H185" t="s">
        <v>23</v>
      </c>
      <c r="I185">
        <v>1</v>
      </c>
      <c r="J185">
        <v>3</v>
      </c>
      <c r="K185" t="s">
        <v>29</v>
      </c>
      <c r="L185">
        <v>3</v>
      </c>
      <c r="M185">
        <v>3</v>
      </c>
      <c r="N185" s="3">
        <v>3690</v>
      </c>
      <c r="O185" s="3" t="str">
        <f>IF(Table2[[#This Row],[MonthlyIncome]]&lt;=5000, "$1001 - $5000", IF(Table2[[#This Row],[MonthlyIncome]]&lt;=9000, "$5001 - $9000", IF(Table2[[#This Row],[MonthlyIncome]]&lt;=13000, "$9001 - $13000", IF(Table2[[#This Row],[MonthlyIncome]]&lt;=17000, "$13001 - $17000", IF(Table2[[#This Row],[MonthlyIncome]]&lt;=21000, "$17001 - $21000")))))</f>
        <v>$1001 - $5000</v>
      </c>
      <c r="P185">
        <v>2</v>
      </c>
      <c r="Q185">
        <v>2</v>
      </c>
      <c r="R185">
        <v>3</v>
      </c>
      <c r="S1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86" spans="1:19" ht="14.25" x14ac:dyDescent="0.2">
      <c r="A186">
        <v>58014540</v>
      </c>
      <c r="B186">
        <v>53</v>
      </c>
      <c r="C186" t="s">
        <v>20</v>
      </c>
      <c r="D186" t="s">
        <v>30</v>
      </c>
      <c r="E186" t="s">
        <v>22</v>
      </c>
      <c r="F186">
        <f>IF(Table2[[#This Row],[Attrition]]="Yes", 1, 0)</f>
        <v>0</v>
      </c>
      <c r="G186" t="s">
        <v>31</v>
      </c>
      <c r="H186" t="s">
        <v>23</v>
      </c>
      <c r="I186">
        <v>13</v>
      </c>
      <c r="J186">
        <v>2</v>
      </c>
      <c r="K186" t="s">
        <v>29</v>
      </c>
      <c r="L186">
        <v>4</v>
      </c>
      <c r="M186">
        <v>1</v>
      </c>
      <c r="N186" s="3">
        <v>4450</v>
      </c>
      <c r="O186" s="3" t="str">
        <f>IF(Table2[[#This Row],[MonthlyIncome]]&lt;=5000, "$1001 - $5000", IF(Table2[[#This Row],[MonthlyIncome]]&lt;=9000, "$5001 - $9000", IF(Table2[[#This Row],[MonthlyIncome]]&lt;=13000, "$9001 - $13000", IF(Table2[[#This Row],[MonthlyIncome]]&lt;=17000, "$13001 - $17000", IF(Table2[[#This Row],[MonthlyIncome]]&lt;=21000, "$17001 - $21000")))))</f>
        <v>$1001 - $5000</v>
      </c>
      <c r="P186">
        <v>1</v>
      </c>
      <c r="Q186">
        <v>3</v>
      </c>
      <c r="R186">
        <v>4</v>
      </c>
      <c r="S1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87" spans="1:19" ht="14.25" x14ac:dyDescent="0.2">
      <c r="A187">
        <v>76156773</v>
      </c>
      <c r="B187">
        <v>33</v>
      </c>
      <c r="C187" t="s">
        <v>20</v>
      </c>
      <c r="D187" t="s">
        <v>24</v>
      </c>
      <c r="E187" t="s">
        <v>22</v>
      </c>
      <c r="F187">
        <f>IF(Table2[[#This Row],[Attrition]]="Yes", 1, 0)</f>
        <v>0</v>
      </c>
      <c r="G187" t="s">
        <v>26</v>
      </c>
      <c r="H187" t="s">
        <v>23</v>
      </c>
      <c r="I187">
        <v>14</v>
      </c>
      <c r="J187">
        <v>3</v>
      </c>
      <c r="K187" t="s">
        <v>29</v>
      </c>
      <c r="L187">
        <v>4</v>
      </c>
      <c r="M187">
        <v>2</v>
      </c>
      <c r="N187" s="3">
        <v>2756</v>
      </c>
      <c r="O187" s="3" t="str">
        <f>IF(Table2[[#This Row],[MonthlyIncome]]&lt;=5000, "$1001 - $5000", IF(Table2[[#This Row],[MonthlyIncome]]&lt;=9000, "$5001 - $9000", IF(Table2[[#This Row],[MonthlyIncome]]&lt;=13000, "$9001 - $13000", IF(Table2[[#This Row],[MonthlyIncome]]&lt;=17000, "$13001 - $17000", IF(Table2[[#This Row],[MonthlyIncome]]&lt;=21000, "$17001 - $21000")))))</f>
        <v>$1001 - $5000</v>
      </c>
      <c r="P187">
        <v>1</v>
      </c>
      <c r="Q187">
        <v>3</v>
      </c>
      <c r="R187">
        <v>8</v>
      </c>
      <c r="S1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88" spans="1:19" ht="14.25" x14ac:dyDescent="0.2">
      <c r="A188">
        <v>79748446</v>
      </c>
      <c r="B188">
        <v>40</v>
      </c>
      <c r="C188" t="s">
        <v>20</v>
      </c>
      <c r="D188" t="s">
        <v>24</v>
      </c>
      <c r="E188" t="s">
        <v>22</v>
      </c>
      <c r="F188">
        <f>IF(Table2[[#This Row],[Attrition]]="Yes", 1, 0)</f>
        <v>0</v>
      </c>
      <c r="G188" t="s">
        <v>33</v>
      </c>
      <c r="H188" t="s">
        <v>23</v>
      </c>
      <c r="I188">
        <v>4</v>
      </c>
      <c r="J188">
        <v>1</v>
      </c>
      <c r="K188" t="s">
        <v>29</v>
      </c>
      <c r="L188">
        <v>4</v>
      </c>
      <c r="M188">
        <v>3</v>
      </c>
      <c r="N188" s="3">
        <v>19033</v>
      </c>
      <c r="O188" s="3" t="str">
        <f>IF(Table2[[#This Row],[MonthlyIncome]]&lt;=5000, "$1001 - $5000", IF(Table2[[#This Row],[MonthlyIncome]]&lt;=9000, "$5001 - $9000", IF(Table2[[#This Row],[MonthlyIncome]]&lt;=13000, "$9001 - $13000", IF(Table2[[#This Row],[MonthlyIncome]]&lt;=17000, "$13001 - $17000", IF(Table2[[#This Row],[MonthlyIncome]]&lt;=21000, "$17001 - $21000")))))</f>
        <v>$17001 - $21000</v>
      </c>
      <c r="P188">
        <v>1</v>
      </c>
      <c r="Q188">
        <v>3</v>
      </c>
      <c r="R188">
        <v>20</v>
      </c>
      <c r="S1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89" spans="1:19" ht="14.25" x14ac:dyDescent="0.2">
      <c r="A189">
        <v>76279165</v>
      </c>
      <c r="B189">
        <v>55</v>
      </c>
      <c r="C189" t="s">
        <v>25</v>
      </c>
      <c r="D189" t="s">
        <v>19</v>
      </c>
      <c r="E189" t="s">
        <v>22</v>
      </c>
      <c r="F189">
        <f>IF(Table2[[#This Row],[Attrition]]="Yes", 1, 0)</f>
        <v>0</v>
      </c>
      <c r="G189" t="s">
        <v>35</v>
      </c>
      <c r="H189" t="s">
        <v>23</v>
      </c>
      <c r="I189">
        <v>14</v>
      </c>
      <c r="J189">
        <v>4</v>
      </c>
      <c r="K189" t="s">
        <v>29</v>
      </c>
      <c r="L189">
        <v>3</v>
      </c>
      <c r="M189">
        <v>2</v>
      </c>
      <c r="N189" s="3">
        <v>18722</v>
      </c>
      <c r="O189" s="3" t="str">
        <f>IF(Table2[[#This Row],[MonthlyIncome]]&lt;=5000, "$1001 - $5000", IF(Table2[[#This Row],[MonthlyIncome]]&lt;=9000, "$5001 - $9000", IF(Table2[[#This Row],[MonthlyIncome]]&lt;=13000, "$9001 - $13000", IF(Table2[[#This Row],[MonthlyIncome]]&lt;=17000, "$13001 - $17000", IF(Table2[[#This Row],[MonthlyIncome]]&lt;=21000, "$17001 - $21000")))))</f>
        <v>$17001 - $21000</v>
      </c>
      <c r="P189">
        <v>8</v>
      </c>
      <c r="Q189">
        <v>3</v>
      </c>
      <c r="R189">
        <v>24</v>
      </c>
      <c r="S1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90" spans="1:19" ht="14.25" x14ac:dyDescent="0.2">
      <c r="A190">
        <v>19161332</v>
      </c>
      <c r="B190">
        <v>34</v>
      </c>
      <c r="C190" t="s">
        <v>25</v>
      </c>
      <c r="D190" t="s">
        <v>24</v>
      </c>
      <c r="E190" t="s">
        <v>22</v>
      </c>
      <c r="F190">
        <f>IF(Table2[[#This Row],[Attrition]]="Yes", 1, 0)</f>
        <v>0</v>
      </c>
      <c r="G190" t="s">
        <v>31</v>
      </c>
      <c r="H190" t="s">
        <v>23</v>
      </c>
      <c r="I190">
        <v>2</v>
      </c>
      <c r="J190">
        <v>1</v>
      </c>
      <c r="K190" t="s">
        <v>18</v>
      </c>
      <c r="L190">
        <v>4</v>
      </c>
      <c r="M190">
        <v>3</v>
      </c>
      <c r="N190" s="3">
        <v>9547</v>
      </c>
      <c r="O190" s="3" t="str">
        <f>IF(Table2[[#This Row],[MonthlyIncome]]&lt;=5000, "$1001 - $5000", IF(Table2[[#This Row],[MonthlyIncome]]&lt;=9000, "$5001 - $9000", IF(Table2[[#This Row],[MonthlyIncome]]&lt;=13000, "$9001 - $13000", IF(Table2[[#This Row],[MonthlyIncome]]&lt;=17000, "$13001 - $17000", IF(Table2[[#This Row],[MonthlyIncome]]&lt;=21000, "$17001 - $21000")))))</f>
        <v>$9001 - $13000</v>
      </c>
      <c r="P190">
        <v>1</v>
      </c>
      <c r="Q190">
        <v>2</v>
      </c>
      <c r="R190">
        <v>10</v>
      </c>
      <c r="S1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91" spans="1:19" ht="14.25" x14ac:dyDescent="0.2">
      <c r="A191">
        <v>66445114</v>
      </c>
      <c r="B191">
        <v>51</v>
      </c>
      <c r="C191" t="s">
        <v>20</v>
      </c>
      <c r="D191" t="s">
        <v>19</v>
      </c>
      <c r="E191" t="s">
        <v>22</v>
      </c>
      <c r="F191">
        <f>IF(Table2[[#This Row],[Attrition]]="Yes", 1, 0)</f>
        <v>0</v>
      </c>
      <c r="G191" t="s">
        <v>32</v>
      </c>
      <c r="H191" t="s">
        <v>23</v>
      </c>
      <c r="I191">
        <v>3</v>
      </c>
      <c r="J191">
        <v>3</v>
      </c>
      <c r="K191" t="s">
        <v>29</v>
      </c>
      <c r="L191">
        <v>4</v>
      </c>
      <c r="M191">
        <v>2</v>
      </c>
      <c r="N191" s="3">
        <v>13734</v>
      </c>
      <c r="O191" s="3" t="str">
        <f>IF(Table2[[#This Row],[MonthlyIncome]]&lt;=5000, "$1001 - $5000", IF(Table2[[#This Row],[MonthlyIncome]]&lt;=9000, "$5001 - $9000", IF(Table2[[#This Row],[MonthlyIncome]]&lt;=13000, "$9001 - $13000", IF(Table2[[#This Row],[MonthlyIncome]]&lt;=17000, "$13001 - $17000", IF(Table2[[#This Row],[MonthlyIncome]]&lt;=21000, "$17001 - $21000")))))</f>
        <v>$13001 - $17000</v>
      </c>
      <c r="P191">
        <v>3</v>
      </c>
      <c r="Q191">
        <v>3</v>
      </c>
      <c r="R191">
        <v>7</v>
      </c>
      <c r="S1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92" spans="1:19" ht="14.25" x14ac:dyDescent="0.2">
      <c r="A192">
        <v>44356288</v>
      </c>
      <c r="B192">
        <v>52</v>
      </c>
      <c r="C192" t="s">
        <v>25</v>
      </c>
      <c r="D192" t="s">
        <v>24</v>
      </c>
      <c r="E192" t="s">
        <v>22</v>
      </c>
      <c r="F192">
        <f>IF(Table2[[#This Row],[Attrition]]="Yes", 1, 0)</f>
        <v>0</v>
      </c>
      <c r="G192" t="s">
        <v>33</v>
      </c>
      <c r="H192" t="s">
        <v>23</v>
      </c>
      <c r="I192">
        <v>1</v>
      </c>
      <c r="J192">
        <v>4</v>
      </c>
      <c r="K192" t="s">
        <v>18</v>
      </c>
      <c r="L192">
        <v>3</v>
      </c>
      <c r="M192">
        <v>3</v>
      </c>
      <c r="N192" s="3">
        <v>19999</v>
      </c>
      <c r="O192" s="3" t="str">
        <f>IF(Table2[[#This Row],[MonthlyIncome]]&lt;=5000, "$1001 - $5000", IF(Table2[[#This Row],[MonthlyIncome]]&lt;=9000, "$5001 - $9000", IF(Table2[[#This Row],[MonthlyIncome]]&lt;=13000, "$9001 - $13000", IF(Table2[[#This Row],[MonthlyIncome]]&lt;=17000, "$13001 - $17000", IF(Table2[[#This Row],[MonthlyIncome]]&lt;=21000, "$17001 - $21000")))))</f>
        <v>$17001 - $21000</v>
      </c>
      <c r="P192">
        <v>0</v>
      </c>
      <c r="Q192">
        <v>3</v>
      </c>
      <c r="R192">
        <v>33</v>
      </c>
      <c r="S1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30 - 35 Years</v>
      </c>
    </row>
    <row r="193" spans="1:19" ht="14.25" x14ac:dyDescent="0.2">
      <c r="A193">
        <v>56235731</v>
      </c>
      <c r="B193">
        <v>27</v>
      </c>
      <c r="C193" t="s">
        <v>20</v>
      </c>
      <c r="D193" t="s">
        <v>19</v>
      </c>
      <c r="E193" t="s">
        <v>22</v>
      </c>
      <c r="F193">
        <f>IF(Table2[[#This Row],[Attrition]]="Yes", 1, 0)</f>
        <v>0</v>
      </c>
      <c r="G193" t="s">
        <v>26</v>
      </c>
      <c r="H193" t="s">
        <v>23</v>
      </c>
      <c r="I193">
        <v>9</v>
      </c>
      <c r="J193">
        <v>3</v>
      </c>
      <c r="K193" t="s">
        <v>29</v>
      </c>
      <c r="L193">
        <v>4</v>
      </c>
      <c r="M193">
        <v>2</v>
      </c>
      <c r="N193" s="3">
        <v>2279</v>
      </c>
      <c r="O193" s="3" t="str">
        <f>IF(Table2[[#This Row],[MonthlyIncome]]&lt;=5000, "$1001 - $5000", IF(Table2[[#This Row],[MonthlyIncome]]&lt;=9000, "$5001 - $9000", IF(Table2[[#This Row],[MonthlyIncome]]&lt;=13000, "$9001 - $13000", IF(Table2[[#This Row],[MonthlyIncome]]&lt;=17000, "$13001 - $17000", IF(Table2[[#This Row],[MonthlyIncome]]&lt;=21000, "$17001 - $21000")))))</f>
        <v>$1001 - $5000</v>
      </c>
      <c r="P193">
        <v>1</v>
      </c>
      <c r="Q193">
        <v>2</v>
      </c>
      <c r="R193">
        <v>7</v>
      </c>
      <c r="S1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94" spans="1:19" ht="14.25" x14ac:dyDescent="0.2">
      <c r="A194">
        <v>79819466</v>
      </c>
      <c r="B194">
        <v>35</v>
      </c>
      <c r="C194" t="s">
        <v>25</v>
      </c>
      <c r="D194" t="s">
        <v>24</v>
      </c>
      <c r="E194" t="s">
        <v>16</v>
      </c>
      <c r="F194">
        <f>IF(Table2[[#This Row],[Attrition]]="Yes", 1, 0)</f>
        <v>1</v>
      </c>
      <c r="G194" t="s">
        <v>31</v>
      </c>
      <c r="H194" t="s">
        <v>23</v>
      </c>
      <c r="I194">
        <v>23</v>
      </c>
      <c r="J194">
        <v>2</v>
      </c>
      <c r="K194" t="s">
        <v>18</v>
      </c>
      <c r="L194">
        <v>2</v>
      </c>
      <c r="M194">
        <v>3</v>
      </c>
      <c r="N194" s="3">
        <v>5916</v>
      </c>
      <c r="O194" s="3" t="str">
        <f>IF(Table2[[#This Row],[MonthlyIncome]]&lt;=5000, "$1001 - $5000", IF(Table2[[#This Row],[MonthlyIncome]]&lt;=9000, "$5001 - $9000", IF(Table2[[#This Row],[MonthlyIncome]]&lt;=13000, "$9001 - $13000", IF(Table2[[#This Row],[MonthlyIncome]]&lt;=17000, "$13001 - $17000", IF(Table2[[#This Row],[MonthlyIncome]]&lt;=21000, "$17001 - $21000")))))</f>
        <v>$5001 - $9000</v>
      </c>
      <c r="P194">
        <v>3</v>
      </c>
      <c r="Q194">
        <v>3</v>
      </c>
      <c r="R194">
        <v>1</v>
      </c>
      <c r="S1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95" spans="1:19" ht="14.25" x14ac:dyDescent="0.2">
      <c r="A195">
        <v>28072017</v>
      </c>
      <c r="B195">
        <v>43</v>
      </c>
      <c r="C195" t="s">
        <v>25</v>
      </c>
      <c r="D195" t="s">
        <v>30</v>
      </c>
      <c r="E195" t="s">
        <v>22</v>
      </c>
      <c r="F195">
        <f>IF(Table2[[#This Row],[Attrition]]="Yes", 1, 0)</f>
        <v>0</v>
      </c>
      <c r="G195" t="s">
        <v>26</v>
      </c>
      <c r="H195" t="s">
        <v>23</v>
      </c>
      <c r="I195">
        <v>7</v>
      </c>
      <c r="J195">
        <v>3</v>
      </c>
      <c r="K195" t="s">
        <v>29</v>
      </c>
      <c r="L195">
        <v>4</v>
      </c>
      <c r="M195">
        <v>4</v>
      </c>
      <c r="N195" s="3">
        <v>2089</v>
      </c>
      <c r="O195" s="3" t="str">
        <f>IF(Table2[[#This Row],[MonthlyIncome]]&lt;=5000, "$1001 - $5000", IF(Table2[[#This Row],[MonthlyIncome]]&lt;=9000, "$5001 - $9000", IF(Table2[[#This Row],[MonthlyIncome]]&lt;=13000, "$9001 - $13000", IF(Table2[[#This Row],[MonthlyIncome]]&lt;=17000, "$13001 - $17000", IF(Table2[[#This Row],[MonthlyIncome]]&lt;=21000, "$17001 - $21000")))))</f>
        <v>$1001 - $5000</v>
      </c>
      <c r="P195">
        <v>4</v>
      </c>
      <c r="Q195">
        <v>4</v>
      </c>
      <c r="R195">
        <v>5</v>
      </c>
      <c r="S1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96" spans="1:19" ht="14.25" x14ac:dyDescent="0.2">
      <c r="A196">
        <v>33308831</v>
      </c>
      <c r="B196">
        <v>45</v>
      </c>
      <c r="C196" t="s">
        <v>25</v>
      </c>
      <c r="D196" t="s">
        <v>24</v>
      </c>
      <c r="E196" t="s">
        <v>22</v>
      </c>
      <c r="F196">
        <f>IF(Table2[[#This Row],[Attrition]]="Yes", 1, 0)</f>
        <v>0</v>
      </c>
      <c r="G196" t="s">
        <v>33</v>
      </c>
      <c r="H196" t="s">
        <v>23</v>
      </c>
      <c r="I196">
        <v>2</v>
      </c>
      <c r="J196">
        <v>2</v>
      </c>
      <c r="K196" t="s">
        <v>29</v>
      </c>
      <c r="L196">
        <v>1</v>
      </c>
      <c r="M196">
        <v>4</v>
      </c>
      <c r="N196" s="3">
        <v>16792</v>
      </c>
      <c r="O196" s="3" t="str">
        <f>IF(Table2[[#This Row],[MonthlyIncome]]&lt;=5000, "$1001 - $5000", IF(Table2[[#This Row],[MonthlyIncome]]&lt;=9000, "$5001 - $9000", IF(Table2[[#This Row],[MonthlyIncome]]&lt;=13000, "$9001 - $13000", IF(Table2[[#This Row],[MonthlyIncome]]&lt;=17000, "$13001 - $17000", IF(Table2[[#This Row],[MonthlyIncome]]&lt;=21000, "$17001 - $21000")))))</f>
        <v>$13001 - $17000</v>
      </c>
      <c r="P196">
        <v>9</v>
      </c>
      <c r="Q196">
        <v>3</v>
      </c>
      <c r="R196">
        <v>20</v>
      </c>
      <c r="S1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97" spans="1:19" ht="14.25" x14ac:dyDescent="0.2">
      <c r="A197">
        <v>76772708</v>
      </c>
      <c r="B197">
        <v>37</v>
      </c>
      <c r="C197" t="s">
        <v>25</v>
      </c>
      <c r="D197" t="s">
        <v>24</v>
      </c>
      <c r="E197" t="s">
        <v>22</v>
      </c>
      <c r="F197">
        <f>IF(Table2[[#This Row],[Attrition]]="Yes", 1, 0)</f>
        <v>0</v>
      </c>
      <c r="G197" t="s">
        <v>26</v>
      </c>
      <c r="H197" t="s">
        <v>23</v>
      </c>
      <c r="I197">
        <v>21</v>
      </c>
      <c r="J197">
        <v>3</v>
      </c>
      <c r="K197" t="s">
        <v>18</v>
      </c>
      <c r="L197">
        <v>2</v>
      </c>
      <c r="M197">
        <v>1</v>
      </c>
      <c r="N197" s="3">
        <v>3564</v>
      </c>
      <c r="O197" s="3" t="str">
        <f>IF(Table2[[#This Row],[MonthlyIncome]]&lt;=5000, "$1001 - $5000", IF(Table2[[#This Row],[MonthlyIncome]]&lt;=9000, "$5001 - $9000", IF(Table2[[#This Row],[MonthlyIncome]]&lt;=13000, "$9001 - $13000", IF(Table2[[#This Row],[MonthlyIncome]]&lt;=17000, "$13001 - $17000", IF(Table2[[#This Row],[MonthlyIncome]]&lt;=21000, "$17001 - $21000")))))</f>
        <v>$1001 - $5000</v>
      </c>
      <c r="P197">
        <v>1</v>
      </c>
      <c r="Q197">
        <v>2</v>
      </c>
      <c r="R197">
        <v>8</v>
      </c>
      <c r="S1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98" spans="1:19" ht="14.25" x14ac:dyDescent="0.2">
      <c r="A198">
        <v>74183192</v>
      </c>
      <c r="B198">
        <v>35</v>
      </c>
      <c r="C198" t="s">
        <v>20</v>
      </c>
      <c r="D198" t="s">
        <v>19</v>
      </c>
      <c r="E198" t="s">
        <v>22</v>
      </c>
      <c r="F198">
        <f>IF(Table2[[#This Row],[Attrition]]="Yes", 1, 0)</f>
        <v>0</v>
      </c>
      <c r="G198" t="s">
        <v>28</v>
      </c>
      <c r="H198" t="s">
        <v>23</v>
      </c>
      <c r="I198">
        <v>2</v>
      </c>
      <c r="J198">
        <v>3</v>
      </c>
      <c r="K198" t="s">
        <v>29</v>
      </c>
      <c r="L198">
        <v>2</v>
      </c>
      <c r="M198">
        <v>2</v>
      </c>
      <c r="N198" s="3">
        <v>4425</v>
      </c>
      <c r="O198" s="3" t="str">
        <f>IF(Table2[[#This Row],[MonthlyIncome]]&lt;=5000, "$1001 - $5000", IF(Table2[[#This Row],[MonthlyIncome]]&lt;=9000, "$5001 - $9000", IF(Table2[[#This Row],[MonthlyIncome]]&lt;=13000, "$9001 - $13000", IF(Table2[[#This Row],[MonthlyIncome]]&lt;=17000, "$13001 - $17000", IF(Table2[[#This Row],[MonthlyIncome]]&lt;=21000, "$17001 - $21000")))))</f>
        <v>$1001 - $5000</v>
      </c>
      <c r="P198">
        <v>5</v>
      </c>
      <c r="Q198">
        <v>3</v>
      </c>
      <c r="R198">
        <v>6</v>
      </c>
      <c r="S1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99" spans="1:19" ht="14.25" x14ac:dyDescent="0.2">
      <c r="A199">
        <v>39158497</v>
      </c>
      <c r="B199">
        <v>42</v>
      </c>
      <c r="C199" t="s">
        <v>20</v>
      </c>
      <c r="D199" t="s">
        <v>30</v>
      </c>
      <c r="E199" t="s">
        <v>22</v>
      </c>
      <c r="F199">
        <f>IF(Table2[[#This Row],[Attrition]]="Yes", 1, 0)</f>
        <v>0</v>
      </c>
      <c r="G199" t="s">
        <v>31</v>
      </c>
      <c r="H199" t="s">
        <v>23</v>
      </c>
      <c r="I199">
        <v>21</v>
      </c>
      <c r="J199">
        <v>2</v>
      </c>
      <c r="K199" t="s">
        <v>29</v>
      </c>
      <c r="L199">
        <v>3</v>
      </c>
      <c r="M199">
        <v>3</v>
      </c>
      <c r="N199" s="3">
        <v>5265</v>
      </c>
      <c r="O199" s="3" t="str">
        <f>IF(Table2[[#This Row],[MonthlyIncome]]&lt;=5000, "$1001 - $5000", IF(Table2[[#This Row],[MonthlyIncome]]&lt;=9000, "$5001 - $9000", IF(Table2[[#This Row],[MonthlyIncome]]&lt;=13000, "$9001 - $13000", IF(Table2[[#This Row],[MonthlyIncome]]&lt;=17000, "$13001 - $17000", IF(Table2[[#This Row],[MonthlyIncome]]&lt;=21000, "$17001 - $21000")))))</f>
        <v>$5001 - $9000</v>
      </c>
      <c r="P199">
        <v>2</v>
      </c>
      <c r="Q199">
        <v>3</v>
      </c>
      <c r="R199">
        <v>5</v>
      </c>
      <c r="S1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00" spans="1:19" ht="14.25" x14ac:dyDescent="0.2">
      <c r="A200">
        <v>61820232</v>
      </c>
      <c r="B200">
        <v>38</v>
      </c>
      <c r="C200" t="s">
        <v>25</v>
      </c>
      <c r="D200" t="s">
        <v>24</v>
      </c>
      <c r="E200" t="s">
        <v>22</v>
      </c>
      <c r="F200">
        <f>IF(Table2[[#This Row],[Attrition]]="Yes", 1, 0)</f>
        <v>0</v>
      </c>
      <c r="G200" t="s">
        <v>31</v>
      </c>
      <c r="H200" t="s">
        <v>23</v>
      </c>
      <c r="I200">
        <v>2</v>
      </c>
      <c r="J200">
        <v>4</v>
      </c>
      <c r="K200" t="s">
        <v>18</v>
      </c>
      <c r="L200">
        <v>4</v>
      </c>
      <c r="M200">
        <v>3</v>
      </c>
      <c r="N200" s="3">
        <v>6553</v>
      </c>
      <c r="O200" s="3" t="str">
        <f>IF(Table2[[#This Row],[MonthlyIncome]]&lt;=5000, "$1001 - $5000", IF(Table2[[#This Row],[MonthlyIncome]]&lt;=9000, "$5001 - $9000", IF(Table2[[#This Row],[MonthlyIncome]]&lt;=13000, "$9001 - $13000", IF(Table2[[#This Row],[MonthlyIncome]]&lt;=17000, "$13001 - $17000", IF(Table2[[#This Row],[MonthlyIncome]]&lt;=21000, "$17001 - $21000")))))</f>
        <v>$5001 - $9000</v>
      </c>
      <c r="P200">
        <v>9</v>
      </c>
      <c r="Q200">
        <v>3</v>
      </c>
      <c r="R200">
        <v>1</v>
      </c>
      <c r="S2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01" spans="1:19" ht="14.25" x14ac:dyDescent="0.2">
      <c r="A201">
        <v>39598999</v>
      </c>
      <c r="B201">
        <v>38</v>
      </c>
      <c r="C201" t="s">
        <v>25</v>
      </c>
      <c r="D201" t="s">
        <v>24</v>
      </c>
      <c r="E201" t="s">
        <v>22</v>
      </c>
      <c r="F201">
        <f>IF(Table2[[#This Row],[Attrition]]="Yes", 1, 0)</f>
        <v>0</v>
      </c>
      <c r="G201" t="s">
        <v>31</v>
      </c>
      <c r="H201" t="s">
        <v>23</v>
      </c>
      <c r="I201">
        <v>29</v>
      </c>
      <c r="J201">
        <v>3</v>
      </c>
      <c r="K201" t="s">
        <v>37</v>
      </c>
      <c r="L201">
        <v>4</v>
      </c>
      <c r="M201">
        <v>4</v>
      </c>
      <c r="N201" s="3">
        <v>6261</v>
      </c>
      <c r="O201" s="3" t="str">
        <f>IF(Table2[[#This Row],[MonthlyIncome]]&lt;=5000, "$1001 - $5000", IF(Table2[[#This Row],[MonthlyIncome]]&lt;=9000, "$5001 - $9000", IF(Table2[[#This Row],[MonthlyIncome]]&lt;=13000, "$9001 - $13000", IF(Table2[[#This Row],[MonthlyIncome]]&lt;=17000, "$13001 - $17000", IF(Table2[[#This Row],[MonthlyIncome]]&lt;=21000, "$17001 - $21000")))))</f>
        <v>$5001 - $9000</v>
      </c>
      <c r="P201">
        <v>3</v>
      </c>
      <c r="Q201">
        <v>1</v>
      </c>
      <c r="R201">
        <v>7</v>
      </c>
      <c r="S2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02" spans="1:19" ht="14.25" x14ac:dyDescent="0.2">
      <c r="A202">
        <v>31586707</v>
      </c>
      <c r="B202">
        <v>27</v>
      </c>
      <c r="C202" t="s">
        <v>25</v>
      </c>
      <c r="D202" t="s">
        <v>24</v>
      </c>
      <c r="E202" t="s">
        <v>22</v>
      </c>
      <c r="F202">
        <f>IF(Table2[[#This Row],[Attrition]]="Yes", 1, 0)</f>
        <v>0</v>
      </c>
      <c r="G202" t="s">
        <v>31</v>
      </c>
      <c r="H202" t="s">
        <v>23</v>
      </c>
      <c r="I202">
        <v>1</v>
      </c>
      <c r="J202">
        <v>1</v>
      </c>
      <c r="K202" t="s">
        <v>37</v>
      </c>
      <c r="L202">
        <v>3</v>
      </c>
      <c r="M202">
        <v>1</v>
      </c>
      <c r="N202" s="3">
        <v>4298</v>
      </c>
      <c r="O202" s="3" t="str">
        <f>IF(Table2[[#This Row],[MonthlyIncome]]&lt;=5000, "$1001 - $5000", IF(Table2[[#This Row],[MonthlyIncome]]&lt;=9000, "$5001 - $9000", IF(Table2[[#This Row],[MonthlyIncome]]&lt;=13000, "$9001 - $13000", IF(Table2[[#This Row],[MonthlyIncome]]&lt;=17000, "$13001 - $17000", IF(Table2[[#This Row],[MonthlyIncome]]&lt;=21000, "$17001 - $21000")))))</f>
        <v>$1001 - $5000</v>
      </c>
      <c r="P202">
        <v>5</v>
      </c>
      <c r="Q202">
        <v>3</v>
      </c>
      <c r="R202">
        <v>2</v>
      </c>
      <c r="S2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03" spans="1:19" ht="14.25" x14ac:dyDescent="0.2">
      <c r="A203">
        <v>51959912</v>
      </c>
      <c r="B203">
        <v>49</v>
      </c>
      <c r="C203" t="s">
        <v>25</v>
      </c>
      <c r="D203" t="s">
        <v>30</v>
      </c>
      <c r="E203" t="s">
        <v>22</v>
      </c>
      <c r="F203">
        <f>IF(Table2[[#This Row],[Attrition]]="Yes", 1, 0)</f>
        <v>0</v>
      </c>
      <c r="G203" t="s">
        <v>31</v>
      </c>
      <c r="H203" t="s">
        <v>23</v>
      </c>
      <c r="I203">
        <v>18</v>
      </c>
      <c r="J203">
        <v>4</v>
      </c>
      <c r="K203" t="s">
        <v>18</v>
      </c>
      <c r="L203">
        <v>4</v>
      </c>
      <c r="M203">
        <v>4</v>
      </c>
      <c r="N203" s="3">
        <v>6804</v>
      </c>
      <c r="O203" s="3" t="str">
        <f>IF(Table2[[#This Row],[MonthlyIncome]]&lt;=5000, "$1001 - $5000", IF(Table2[[#This Row],[MonthlyIncome]]&lt;=9000, "$5001 - $9000", IF(Table2[[#This Row],[MonthlyIncome]]&lt;=13000, "$9001 - $13000", IF(Table2[[#This Row],[MonthlyIncome]]&lt;=17000, "$13001 - $17000", IF(Table2[[#This Row],[MonthlyIncome]]&lt;=21000, "$17001 - $21000")))))</f>
        <v>$5001 - $9000</v>
      </c>
      <c r="P203">
        <v>1</v>
      </c>
      <c r="Q203">
        <v>3</v>
      </c>
      <c r="R203">
        <v>7</v>
      </c>
      <c r="S2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04" spans="1:19" ht="14.25" x14ac:dyDescent="0.2">
      <c r="A204">
        <v>39020040</v>
      </c>
      <c r="B204">
        <v>34</v>
      </c>
      <c r="C204" t="s">
        <v>25</v>
      </c>
      <c r="D204" t="s">
        <v>30</v>
      </c>
      <c r="E204" t="s">
        <v>22</v>
      </c>
      <c r="F204">
        <f>IF(Table2[[#This Row],[Attrition]]="Yes", 1, 0)</f>
        <v>0</v>
      </c>
      <c r="G204" t="s">
        <v>26</v>
      </c>
      <c r="H204" t="s">
        <v>23</v>
      </c>
      <c r="I204">
        <v>10</v>
      </c>
      <c r="J204">
        <v>4</v>
      </c>
      <c r="K204" t="s">
        <v>29</v>
      </c>
      <c r="L204">
        <v>4</v>
      </c>
      <c r="M204">
        <v>3</v>
      </c>
      <c r="N204" s="3">
        <v>3815</v>
      </c>
      <c r="O204" s="3" t="str">
        <f>IF(Table2[[#This Row],[MonthlyIncome]]&lt;=5000, "$1001 - $5000", IF(Table2[[#This Row],[MonthlyIncome]]&lt;=9000, "$5001 - $9000", IF(Table2[[#This Row],[MonthlyIncome]]&lt;=13000, "$9001 - $13000", IF(Table2[[#This Row],[MonthlyIncome]]&lt;=17000, "$13001 - $17000", IF(Table2[[#This Row],[MonthlyIncome]]&lt;=21000, "$17001 - $21000")))))</f>
        <v>$1001 - $5000</v>
      </c>
      <c r="P204">
        <v>1</v>
      </c>
      <c r="Q204">
        <v>4</v>
      </c>
      <c r="R204">
        <v>5</v>
      </c>
      <c r="S2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05" spans="1:19" ht="14.25" x14ac:dyDescent="0.2">
      <c r="A205">
        <v>45044708</v>
      </c>
      <c r="B205">
        <v>40</v>
      </c>
      <c r="C205" t="s">
        <v>25</v>
      </c>
      <c r="D205" t="s">
        <v>24</v>
      </c>
      <c r="E205" t="s">
        <v>22</v>
      </c>
      <c r="F205">
        <f>IF(Table2[[#This Row],[Attrition]]="Yes", 1, 0)</f>
        <v>0</v>
      </c>
      <c r="G205" t="s">
        <v>28</v>
      </c>
      <c r="H205" t="s">
        <v>23</v>
      </c>
      <c r="I205">
        <v>19</v>
      </c>
      <c r="J205">
        <v>2</v>
      </c>
      <c r="K205" t="s">
        <v>29</v>
      </c>
      <c r="L205">
        <v>3</v>
      </c>
      <c r="M205">
        <v>4</v>
      </c>
      <c r="N205" s="3">
        <v>2741</v>
      </c>
      <c r="O205" s="3" t="str">
        <f>IF(Table2[[#This Row],[MonthlyIncome]]&lt;=5000, "$1001 - $5000", IF(Table2[[#This Row],[MonthlyIncome]]&lt;=9000, "$5001 - $9000", IF(Table2[[#This Row],[MonthlyIncome]]&lt;=13000, "$9001 - $13000", IF(Table2[[#This Row],[MonthlyIncome]]&lt;=17000, "$13001 - $17000", IF(Table2[[#This Row],[MonthlyIncome]]&lt;=21000, "$17001 - $21000")))))</f>
        <v>$1001 - $5000</v>
      </c>
      <c r="P205">
        <v>8</v>
      </c>
      <c r="Q205">
        <v>4</v>
      </c>
      <c r="R205">
        <v>7</v>
      </c>
      <c r="S2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06" spans="1:19" ht="14.25" x14ac:dyDescent="0.2">
      <c r="A206">
        <v>26102735</v>
      </c>
      <c r="B206">
        <v>38</v>
      </c>
      <c r="C206" t="s">
        <v>25</v>
      </c>
      <c r="D206" t="s">
        <v>24</v>
      </c>
      <c r="E206" t="s">
        <v>16</v>
      </c>
      <c r="F206">
        <f>IF(Table2[[#This Row],[Attrition]]="Yes", 1, 0)</f>
        <v>1</v>
      </c>
      <c r="G206" t="s">
        <v>32</v>
      </c>
      <c r="H206" t="s">
        <v>23</v>
      </c>
      <c r="I206">
        <v>29</v>
      </c>
      <c r="J206">
        <v>1</v>
      </c>
      <c r="K206" t="s">
        <v>29</v>
      </c>
      <c r="L206">
        <v>2</v>
      </c>
      <c r="M206">
        <v>1</v>
      </c>
      <c r="N206" s="3">
        <v>6673</v>
      </c>
      <c r="O206" s="3" t="str">
        <f>IF(Table2[[#This Row],[MonthlyIncome]]&lt;=5000, "$1001 - $5000", IF(Table2[[#This Row],[MonthlyIncome]]&lt;=9000, "$5001 - $9000", IF(Table2[[#This Row],[MonthlyIncome]]&lt;=13000, "$9001 - $13000", IF(Table2[[#This Row],[MonthlyIncome]]&lt;=17000, "$13001 - $17000", IF(Table2[[#This Row],[MonthlyIncome]]&lt;=21000, "$17001 - $21000")))))</f>
        <v>$5001 - $9000</v>
      </c>
      <c r="P206">
        <v>7</v>
      </c>
      <c r="Q206">
        <v>3</v>
      </c>
      <c r="R206">
        <v>1</v>
      </c>
      <c r="S2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07" spans="1:19" ht="14.25" x14ac:dyDescent="0.2">
      <c r="A207">
        <v>11783776</v>
      </c>
      <c r="B207">
        <v>29</v>
      </c>
      <c r="C207" t="s">
        <v>20</v>
      </c>
      <c r="D207" t="s">
        <v>24</v>
      </c>
      <c r="E207" t="s">
        <v>16</v>
      </c>
      <c r="F207">
        <f>IF(Table2[[#This Row],[Attrition]]="Yes", 1, 0)</f>
        <v>1</v>
      </c>
      <c r="G207" t="s">
        <v>21</v>
      </c>
      <c r="H207" t="s">
        <v>17</v>
      </c>
      <c r="I207">
        <v>27</v>
      </c>
      <c r="J207">
        <v>3</v>
      </c>
      <c r="K207" t="s">
        <v>36</v>
      </c>
      <c r="L207">
        <v>2</v>
      </c>
      <c r="M207">
        <v>4</v>
      </c>
      <c r="N207" s="3">
        <v>7639</v>
      </c>
      <c r="O207" s="3" t="str">
        <f>IF(Table2[[#This Row],[MonthlyIncome]]&lt;=5000, "$1001 - $5000", IF(Table2[[#This Row],[MonthlyIncome]]&lt;=9000, "$5001 - $9000", IF(Table2[[#This Row],[MonthlyIncome]]&lt;=13000, "$9001 - $13000", IF(Table2[[#This Row],[MonthlyIncome]]&lt;=17000, "$13001 - $17000", IF(Table2[[#This Row],[MonthlyIncome]]&lt;=21000, "$17001 - $21000")))))</f>
        <v>$5001 - $9000</v>
      </c>
      <c r="P207">
        <v>1</v>
      </c>
      <c r="Q207">
        <v>2</v>
      </c>
      <c r="R207">
        <v>10</v>
      </c>
      <c r="S2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08" spans="1:19" ht="14.25" x14ac:dyDescent="0.2">
      <c r="A208">
        <v>48154364</v>
      </c>
      <c r="B208">
        <v>22</v>
      </c>
      <c r="C208" t="s">
        <v>25</v>
      </c>
      <c r="D208" t="s">
        <v>30</v>
      </c>
      <c r="E208" t="s">
        <v>22</v>
      </c>
      <c r="F208">
        <f>IF(Table2[[#This Row],[Attrition]]="Yes", 1, 0)</f>
        <v>0</v>
      </c>
      <c r="G208" t="s">
        <v>26</v>
      </c>
      <c r="H208" t="s">
        <v>23</v>
      </c>
      <c r="I208">
        <v>5</v>
      </c>
      <c r="J208">
        <v>3</v>
      </c>
      <c r="K208" t="s">
        <v>18</v>
      </c>
      <c r="L208">
        <v>4</v>
      </c>
      <c r="M208">
        <v>2</v>
      </c>
      <c r="N208" s="3">
        <v>2328</v>
      </c>
      <c r="O208" s="3" t="str">
        <f>IF(Table2[[#This Row],[MonthlyIncome]]&lt;=5000, "$1001 - $5000", IF(Table2[[#This Row],[MonthlyIncome]]&lt;=9000, "$5001 - $9000", IF(Table2[[#This Row],[MonthlyIncome]]&lt;=13000, "$9001 - $13000", IF(Table2[[#This Row],[MonthlyIncome]]&lt;=17000, "$13001 - $17000", IF(Table2[[#This Row],[MonthlyIncome]]&lt;=21000, "$17001 - $21000")))))</f>
        <v>$1001 - $5000</v>
      </c>
      <c r="P208">
        <v>1</v>
      </c>
      <c r="Q208">
        <v>2</v>
      </c>
      <c r="R208">
        <v>4</v>
      </c>
      <c r="S2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09" spans="1:19" ht="14.25" x14ac:dyDescent="0.2">
      <c r="A209">
        <v>17878314</v>
      </c>
      <c r="B209">
        <v>36</v>
      </c>
      <c r="C209" t="s">
        <v>20</v>
      </c>
      <c r="D209" t="s">
        <v>19</v>
      </c>
      <c r="E209" t="s">
        <v>22</v>
      </c>
      <c r="F209">
        <f>IF(Table2[[#This Row],[Attrition]]="Yes", 1, 0)</f>
        <v>0</v>
      </c>
      <c r="G209" t="s">
        <v>28</v>
      </c>
      <c r="H209" t="s">
        <v>23</v>
      </c>
      <c r="I209">
        <v>18</v>
      </c>
      <c r="J209">
        <v>1</v>
      </c>
      <c r="K209" t="s">
        <v>29</v>
      </c>
      <c r="L209">
        <v>2</v>
      </c>
      <c r="M209">
        <v>4</v>
      </c>
      <c r="N209" s="3">
        <v>2153</v>
      </c>
      <c r="O209" s="3" t="str">
        <f>IF(Table2[[#This Row],[MonthlyIncome]]&lt;=5000, "$1001 - $5000", IF(Table2[[#This Row],[MonthlyIncome]]&lt;=9000, "$5001 - $9000", IF(Table2[[#This Row],[MonthlyIncome]]&lt;=13000, "$9001 - $13000", IF(Table2[[#This Row],[MonthlyIncome]]&lt;=17000, "$13001 - $17000", IF(Table2[[#This Row],[MonthlyIncome]]&lt;=21000, "$17001 - $21000")))))</f>
        <v>$1001 - $5000</v>
      </c>
      <c r="P209">
        <v>1</v>
      </c>
      <c r="Q209">
        <v>3</v>
      </c>
      <c r="R209">
        <v>8</v>
      </c>
      <c r="S2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10" spans="1:19" ht="14.25" x14ac:dyDescent="0.2">
      <c r="A210">
        <v>13249724</v>
      </c>
      <c r="B210">
        <v>40</v>
      </c>
      <c r="C210" t="s">
        <v>25</v>
      </c>
      <c r="D210" t="s">
        <v>24</v>
      </c>
      <c r="E210" t="s">
        <v>22</v>
      </c>
      <c r="F210">
        <f>IF(Table2[[#This Row],[Attrition]]="Yes", 1, 0)</f>
        <v>0</v>
      </c>
      <c r="G210" t="s">
        <v>32</v>
      </c>
      <c r="H210" t="s">
        <v>23</v>
      </c>
      <c r="I210">
        <v>9</v>
      </c>
      <c r="J210">
        <v>5</v>
      </c>
      <c r="K210" t="s">
        <v>18</v>
      </c>
      <c r="L210">
        <v>4</v>
      </c>
      <c r="M210">
        <v>4</v>
      </c>
      <c r="N210" s="3">
        <v>4876</v>
      </c>
      <c r="O210" s="3" t="str">
        <f>IF(Table2[[#This Row],[MonthlyIncome]]&lt;=5000, "$1001 - $5000", IF(Table2[[#This Row],[MonthlyIncome]]&lt;=9000, "$5001 - $9000", IF(Table2[[#This Row],[MonthlyIncome]]&lt;=13000, "$9001 - $13000", IF(Table2[[#This Row],[MonthlyIncome]]&lt;=17000, "$13001 - $17000", IF(Table2[[#This Row],[MonthlyIncome]]&lt;=21000, "$17001 - $21000")))))</f>
        <v>$1001 - $5000</v>
      </c>
      <c r="P210">
        <v>9</v>
      </c>
      <c r="Q210">
        <v>1</v>
      </c>
      <c r="R210">
        <v>3</v>
      </c>
      <c r="S2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11" spans="1:19" ht="14.25" x14ac:dyDescent="0.2">
      <c r="A211">
        <v>66262346</v>
      </c>
      <c r="B211">
        <v>46</v>
      </c>
      <c r="C211" t="s">
        <v>25</v>
      </c>
      <c r="D211" t="s">
        <v>30</v>
      </c>
      <c r="E211" t="s">
        <v>22</v>
      </c>
      <c r="F211">
        <f>IF(Table2[[#This Row],[Attrition]]="Yes", 1, 0)</f>
        <v>0</v>
      </c>
      <c r="G211" t="s">
        <v>32</v>
      </c>
      <c r="H211" t="s">
        <v>23</v>
      </c>
      <c r="I211">
        <v>1</v>
      </c>
      <c r="J211">
        <v>4</v>
      </c>
      <c r="K211" t="s">
        <v>29</v>
      </c>
      <c r="L211">
        <v>4</v>
      </c>
      <c r="M211">
        <v>1</v>
      </c>
      <c r="N211" s="3">
        <v>9396</v>
      </c>
      <c r="O211" s="3" t="str">
        <f>IF(Table2[[#This Row],[MonthlyIncome]]&lt;=5000, "$1001 - $5000", IF(Table2[[#This Row],[MonthlyIncome]]&lt;=9000, "$5001 - $9000", IF(Table2[[#This Row],[MonthlyIncome]]&lt;=13000, "$9001 - $13000", IF(Table2[[#This Row],[MonthlyIncome]]&lt;=17000, "$13001 - $17000", IF(Table2[[#This Row],[MonthlyIncome]]&lt;=21000, "$17001 - $21000")))))</f>
        <v>$9001 - $13000</v>
      </c>
      <c r="P211">
        <v>7</v>
      </c>
      <c r="Q211">
        <v>3</v>
      </c>
      <c r="R211">
        <v>4</v>
      </c>
      <c r="S2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12" spans="1:19" ht="14.25" x14ac:dyDescent="0.2">
      <c r="A212">
        <v>80791831</v>
      </c>
      <c r="B212">
        <v>32</v>
      </c>
      <c r="C212" t="s">
        <v>25</v>
      </c>
      <c r="D212" t="s">
        <v>24</v>
      </c>
      <c r="E212" t="s">
        <v>16</v>
      </c>
      <c r="F212">
        <f>IF(Table2[[#This Row],[Attrition]]="Yes", 1, 0)</f>
        <v>1</v>
      </c>
      <c r="G212" t="s">
        <v>21</v>
      </c>
      <c r="H212" t="s">
        <v>17</v>
      </c>
      <c r="I212">
        <v>4</v>
      </c>
      <c r="J212">
        <v>4</v>
      </c>
      <c r="K212" t="s">
        <v>29</v>
      </c>
      <c r="L212">
        <v>4</v>
      </c>
      <c r="M212">
        <v>4</v>
      </c>
      <c r="N212" s="3">
        <v>10400</v>
      </c>
      <c r="O212" s="3" t="str">
        <f>IF(Table2[[#This Row],[MonthlyIncome]]&lt;=5000, "$1001 - $5000", IF(Table2[[#This Row],[MonthlyIncome]]&lt;=9000, "$5001 - $9000", IF(Table2[[#This Row],[MonthlyIncome]]&lt;=13000, "$9001 - $13000", IF(Table2[[#This Row],[MonthlyIncome]]&lt;=17000, "$13001 - $17000", IF(Table2[[#This Row],[MonthlyIncome]]&lt;=21000, "$17001 - $21000")))))</f>
        <v>$9001 - $13000</v>
      </c>
      <c r="P212">
        <v>1</v>
      </c>
      <c r="Q212">
        <v>2</v>
      </c>
      <c r="R212">
        <v>14</v>
      </c>
      <c r="S2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13" spans="1:19" ht="14.25" x14ac:dyDescent="0.2">
      <c r="A213">
        <v>26397355</v>
      </c>
      <c r="B213">
        <v>30</v>
      </c>
      <c r="C213" t="s">
        <v>25</v>
      </c>
      <c r="D213" t="s">
        <v>19</v>
      </c>
      <c r="E213" t="s">
        <v>22</v>
      </c>
      <c r="F213">
        <f>IF(Table2[[#This Row],[Attrition]]="Yes", 1, 0)</f>
        <v>0</v>
      </c>
      <c r="G213" t="s">
        <v>31</v>
      </c>
      <c r="H213" t="s">
        <v>23</v>
      </c>
      <c r="I213">
        <v>1</v>
      </c>
      <c r="J213">
        <v>1</v>
      </c>
      <c r="K213" t="s">
        <v>18</v>
      </c>
      <c r="L213">
        <v>3</v>
      </c>
      <c r="M213">
        <v>3</v>
      </c>
      <c r="N213" s="3">
        <v>8474</v>
      </c>
      <c r="O213" s="3" t="str">
        <f>IF(Table2[[#This Row],[MonthlyIncome]]&lt;=5000, "$1001 - $5000", IF(Table2[[#This Row],[MonthlyIncome]]&lt;=9000, "$5001 - $9000", IF(Table2[[#This Row],[MonthlyIncome]]&lt;=13000, "$9001 - $13000", IF(Table2[[#This Row],[MonthlyIncome]]&lt;=17000, "$13001 - $17000", IF(Table2[[#This Row],[MonthlyIncome]]&lt;=21000, "$17001 - $21000")))))</f>
        <v>$5001 - $9000</v>
      </c>
      <c r="P213">
        <v>1</v>
      </c>
      <c r="Q213">
        <v>3</v>
      </c>
      <c r="R213">
        <v>11</v>
      </c>
      <c r="S2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14" spans="1:19" ht="14.25" x14ac:dyDescent="0.2">
      <c r="A214">
        <v>57527591</v>
      </c>
      <c r="B214">
        <v>27</v>
      </c>
      <c r="C214" t="s">
        <v>20</v>
      </c>
      <c r="D214" t="s">
        <v>19</v>
      </c>
      <c r="E214" t="s">
        <v>22</v>
      </c>
      <c r="F214">
        <f>IF(Table2[[#This Row],[Attrition]]="Yes", 1, 0)</f>
        <v>0</v>
      </c>
      <c r="G214" t="s">
        <v>21</v>
      </c>
      <c r="H214" t="s">
        <v>17</v>
      </c>
      <c r="I214">
        <v>20</v>
      </c>
      <c r="J214">
        <v>3</v>
      </c>
      <c r="K214" t="s">
        <v>18</v>
      </c>
      <c r="L214">
        <v>4</v>
      </c>
      <c r="M214">
        <v>3</v>
      </c>
      <c r="N214" s="3">
        <v>9981</v>
      </c>
      <c r="O214" s="3" t="str">
        <f>IF(Table2[[#This Row],[MonthlyIncome]]&lt;=5000, "$1001 - $5000", IF(Table2[[#This Row],[MonthlyIncome]]&lt;=9000, "$5001 - $9000", IF(Table2[[#This Row],[MonthlyIncome]]&lt;=13000, "$9001 - $13000", IF(Table2[[#This Row],[MonthlyIncome]]&lt;=17000, "$13001 - $17000", IF(Table2[[#This Row],[MonthlyIncome]]&lt;=21000, "$17001 - $21000")))))</f>
        <v>$9001 - $13000</v>
      </c>
      <c r="P214">
        <v>1</v>
      </c>
      <c r="Q214">
        <v>3</v>
      </c>
      <c r="R214">
        <v>7</v>
      </c>
      <c r="S2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15" spans="1:19" ht="14.25" x14ac:dyDescent="0.2">
      <c r="A215">
        <v>23302033</v>
      </c>
      <c r="B215">
        <v>51</v>
      </c>
      <c r="C215" t="s">
        <v>25</v>
      </c>
      <c r="D215" t="s">
        <v>24</v>
      </c>
      <c r="E215" t="s">
        <v>22</v>
      </c>
      <c r="F215">
        <f>IF(Table2[[#This Row],[Attrition]]="Yes", 1, 0)</f>
        <v>0</v>
      </c>
      <c r="G215" t="s">
        <v>35</v>
      </c>
      <c r="H215" t="s">
        <v>23</v>
      </c>
      <c r="I215">
        <v>8</v>
      </c>
      <c r="J215">
        <v>4</v>
      </c>
      <c r="K215" t="s">
        <v>18</v>
      </c>
      <c r="L215">
        <v>2</v>
      </c>
      <c r="M215">
        <v>2</v>
      </c>
      <c r="N215" s="3">
        <v>12490</v>
      </c>
      <c r="O215" s="3" t="str">
        <f>IF(Table2[[#This Row],[MonthlyIncome]]&lt;=5000, "$1001 - $5000", IF(Table2[[#This Row],[MonthlyIncome]]&lt;=9000, "$5001 - $9000", IF(Table2[[#This Row],[MonthlyIncome]]&lt;=13000, "$9001 - $13000", IF(Table2[[#This Row],[MonthlyIncome]]&lt;=17000, "$13001 - $17000", IF(Table2[[#This Row],[MonthlyIncome]]&lt;=21000, "$17001 - $21000")))))</f>
        <v>$9001 - $13000</v>
      </c>
      <c r="P215">
        <v>5</v>
      </c>
      <c r="Q215">
        <v>1</v>
      </c>
      <c r="R215">
        <v>10</v>
      </c>
      <c r="S2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16" spans="1:19" ht="14.25" x14ac:dyDescent="0.2">
      <c r="A216">
        <v>66957847</v>
      </c>
      <c r="B216">
        <v>30</v>
      </c>
      <c r="C216" t="s">
        <v>20</v>
      </c>
      <c r="D216" t="s">
        <v>19</v>
      </c>
      <c r="E216" t="s">
        <v>16</v>
      </c>
      <c r="F216">
        <f>IF(Table2[[#This Row],[Attrition]]="Yes", 1, 0)</f>
        <v>1</v>
      </c>
      <c r="G216" t="s">
        <v>26</v>
      </c>
      <c r="H216" t="s">
        <v>23</v>
      </c>
      <c r="I216">
        <v>3</v>
      </c>
      <c r="J216">
        <v>3</v>
      </c>
      <c r="K216" t="s">
        <v>37</v>
      </c>
      <c r="L216">
        <v>4</v>
      </c>
      <c r="M216">
        <v>1</v>
      </c>
      <c r="N216" s="3">
        <v>2657</v>
      </c>
      <c r="O216" s="3" t="str">
        <f>IF(Table2[[#This Row],[MonthlyIncome]]&lt;=5000, "$1001 - $5000", IF(Table2[[#This Row],[MonthlyIncome]]&lt;=9000, "$5001 - $9000", IF(Table2[[#This Row],[MonthlyIncome]]&lt;=13000, "$9001 - $13000", IF(Table2[[#This Row],[MonthlyIncome]]&lt;=17000, "$13001 - $17000", IF(Table2[[#This Row],[MonthlyIncome]]&lt;=21000, "$17001 - $21000")))))</f>
        <v>$1001 - $5000</v>
      </c>
      <c r="P216">
        <v>5</v>
      </c>
      <c r="Q216">
        <v>3</v>
      </c>
      <c r="R216">
        <v>5</v>
      </c>
      <c r="S2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17" spans="1:19" ht="14.25" x14ac:dyDescent="0.2">
      <c r="A217">
        <v>62911778</v>
      </c>
      <c r="B217">
        <v>41</v>
      </c>
      <c r="C217" t="s">
        <v>20</v>
      </c>
      <c r="D217" t="s">
        <v>19</v>
      </c>
      <c r="E217" t="s">
        <v>22</v>
      </c>
      <c r="F217">
        <f>IF(Table2[[#This Row],[Attrition]]="Yes", 1, 0)</f>
        <v>0</v>
      </c>
      <c r="G217" t="s">
        <v>33</v>
      </c>
      <c r="H217" t="s">
        <v>17</v>
      </c>
      <c r="I217">
        <v>6</v>
      </c>
      <c r="J217">
        <v>3</v>
      </c>
      <c r="K217" t="s">
        <v>18</v>
      </c>
      <c r="L217">
        <v>4</v>
      </c>
      <c r="M217">
        <v>4</v>
      </c>
      <c r="N217" s="3">
        <v>13591</v>
      </c>
      <c r="O217" s="3" t="str">
        <f>IF(Table2[[#This Row],[MonthlyIncome]]&lt;=5000, "$1001 - $5000", IF(Table2[[#This Row],[MonthlyIncome]]&lt;=9000, "$5001 - $9000", IF(Table2[[#This Row],[MonthlyIncome]]&lt;=13000, "$9001 - $13000", IF(Table2[[#This Row],[MonthlyIncome]]&lt;=17000, "$13001 - $17000", IF(Table2[[#This Row],[MonthlyIncome]]&lt;=21000, "$17001 - $21000")))))</f>
        <v>$13001 - $17000</v>
      </c>
      <c r="P217">
        <v>3</v>
      </c>
      <c r="Q217">
        <v>3</v>
      </c>
      <c r="R217">
        <v>1</v>
      </c>
      <c r="S2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18" spans="1:19" ht="14.25" x14ac:dyDescent="0.2">
      <c r="A218">
        <v>12722995</v>
      </c>
      <c r="B218">
        <v>30</v>
      </c>
      <c r="C218" t="s">
        <v>20</v>
      </c>
      <c r="D218" t="s">
        <v>19</v>
      </c>
      <c r="E218" t="s">
        <v>16</v>
      </c>
      <c r="F218">
        <f>IF(Table2[[#This Row],[Attrition]]="Yes", 1, 0)</f>
        <v>1</v>
      </c>
      <c r="G218" t="s">
        <v>21</v>
      </c>
      <c r="H218" t="s">
        <v>17</v>
      </c>
      <c r="I218">
        <v>26</v>
      </c>
      <c r="J218">
        <v>4</v>
      </c>
      <c r="K218" t="s">
        <v>36</v>
      </c>
      <c r="L218">
        <v>3</v>
      </c>
      <c r="M218">
        <v>1</v>
      </c>
      <c r="N218" s="3">
        <v>6696</v>
      </c>
      <c r="O218" s="3" t="str">
        <f>IF(Table2[[#This Row],[MonthlyIncome]]&lt;=5000, "$1001 - $5000", IF(Table2[[#This Row],[MonthlyIncome]]&lt;=9000, "$5001 - $9000", IF(Table2[[#This Row],[MonthlyIncome]]&lt;=13000, "$9001 - $13000", IF(Table2[[#This Row],[MonthlyIncome]]&lt;=17000, "$13001 - $17000", IF(Table2[[#This Row],[MonthlyIncome]]&lt;=21000, "$17001 - $21000")))))</f>
        <v>$5001 - $9000</v>
      </c>
      <c r="P218">
        <v>5</v>
      </c>
      <c r="Q218">
        <v>2</v>
      </c>
      <c r="R218">
        <v>6</v>
      </c>
      <c r="S2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19" spans="1:19" ht="14.25" x14ac:dyDescent="0.2">
      <c r="A219">
        <v>36327887</v>
      </c>
      <c r="B219">
        <v>29</v>
      </c>
      <c r="C219" t="s">
        <v>25</v>
      </c>
      <c r="D219" t="s">
        <v>19</v>
      </c>
      <c r="E219" t="s">
        <v>16</v>
      </c>
      <c r="F219">
        <f>IF(Table2[[#This Row],[Attrition]]="Yes", 1, 0)</f>
        <v>1</v>
      </c>
      <c r="G219" t="s">
        <v>26</v>
      </c>
      <c r="H219" t="s">
        <v>23</v>
      </c>
      <c r="I219">
        <v>1</v>
      </c>
      <c r="J219">
        <v>3</v>
      </c>
      <c r="K219" t="s">
        <v>37</v>
      </c>
      <c r="L219">
        <v>3</v>
      </c>
      <c r="M219">
        <v>3</v>
      </c>
      <c r="N219" s="3">
        <v>2058</v>
      </c>
      <c r="O219" s="3" t="str">
        <f>IF(Table2[[#This Row],[MonthlyIncome]]&lt;=5000, "$1001 - $5000", IF(Table2[[#This Row],[MonthlyIncome]]&lt;=9000, "$5001 - $9000", IF(Table2[[#This Row],[MonthlyIncome]]&lt;=13000, "$9001 - $13000", IF(Table2[[#This Row],[MonthlyIncome]]&lt;=17000, "$13001 - $17000", IF(Table2[[#This Row],[MonthlyIncome]]&lt;=21000, "$17001 - $21000")))))</f>
        <v>$1001 - $5000</v>
      </c>
      <c r="P219">
        <v>0</v>
      </c>
      <c r="Q219">
        <v>2</v>
      </c>
      <c r="R219">
        <v>6</v>
      </c>
      <c r="S2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20" spans="1:19" ht="14.25" x14ac:dyDescent="0.2">
      <c r="A220">
        <v>27058403</v>
      </c>
      <c r="B220">
        <v>45</v>
      </c>
      <c r="C220" t="s">
        <v>20</v>
      </c>
      <c r="D220" t="s">
        <v>19</v>
      </c>
      <c r="E220" t="s">
        <v>22</v>
      </c>
      <c r="F220">
        <f>IF(Table2[[#This Row],[Attrition]]="Yes", 1, 0)</f>
        <v>0</v>
      </c>
      <c r="G220" t="s">
        <v>21</v>
      </c>
      <c r="H220" t="s">
        <v>17</v>
      </c>
      <c r="I220">
        <v>6</v>
      </c>
      <c r="J220">
        <v>3</v>
      </c>
      <c r="K220" t="s">
        <v>29</v>
      </c>
      <c r="L220">
        <v>4</v>
      </c>
      <c r="M220">
        <v>4</v>
      </c>
      <c r="N220" s="3">
        <v>8865</v>
      </c>
      <c r="O220" s="3" t="str">
        <f>IF(Table2[[#This Row],[MonthlyIncome]]&lt;=5000, "$1001 - $5000", IF(Table2[[#This Row],[MonthlyIncome]]&lt;=9000, "$5001 - $9000", IF(Table2[[#This Row],[MonthlyIncome]]&lt;=13000, "$9001 - $13000", IF(Table2[[#This Row],[MonthlyIncome]]&lt;=17000, "$13001 - $17000", IF(Table2[[#This Row],[MonthlyIncome]]&lt;=21000, "$17001 - $21000")))))</f>
        <v>$5001 - $9000</v>
      </c>
      <c r="P220">
        <v>6</v>
      </c>
      <c r="Q220">
        <v>3</v>
      </c>
      <c r="R220">
        <v>19</v>
      </c>
      <c r="S2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221" spans="1:19" ht="14.25" x14ac:dyDescent="0.2">
      <c r="A221">
        <v>51204792</v>
      </c>
      <c r="B221">
        <v>54</v>
      </c>
      <c r="C221" t="s">
        <v>20</v>
      </c>
      <c r="D221" t="s">
        <v>24</v>
      </c>
      <c r="E221" t="s">
        <v>22</v>
      </c>
      <c r="F221">
        <f>IF(Table2[[#This Row],[Attrition]]="Yes", 1, 0)</f>
        <v>0</v>
      </c>
      <c r="G221" t="s">
        <v>21</v>
      </c>
      <c r="H221" t="s">
        <v>17</v>
      </c>
      <c r="I221">
        <v>3</v>
      </c>
      <c r="J221">
        <v>3</v>
      </c>
      <c r="K221" t="s">
        <v>36</v>
      </c>
      <c r="L221">
        <v>4</v>
      </c>
      <c r="M221">
        <v>1</v>
      </c>
      <c r="N221" s="3">
        <v>5940</v>
      </c>
      <c r="O221" s="3" t="str">
        <f>IF(Table2[[#This Row],[MonthlyIncome]]&lt;=5000, "$1001 - $5000", IF(Table2[[#This Row],[MonthlyIncome]]&lt;=9000, "$5001 - $9000", IF(Table2[[#This Row],[MonthlyIncome]]&lt;=13000, "$9001 - $13000", IF(Table2[[#This Row],[MonthlyIncome]]&lt;=17000, "$13001 - $17000", IF(Table2[[#This Row],[MonthlyIncome]]&lt;=21000, "$17001 - $21000")))))</f>
        <v>$5001 - $9000</v>
      </c>
      <c r="P221">
        <v>2</v>
      </c>
      <c r="Q221">
        <v>3</v>
      </c>
      <c r="R221">
        <v>6</v>
      </c>
      <c r="S2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22" spans="1:19" ht="14.25" x14ac:dyDescent="0.2">
      <c r="A222">
        <v>70805842</v>
      </c>
      <c r="B222">
        <v>36</v>
      </c>
      <c r="C222" t="s">
        <v>25</v>
      </c>
      <c r="D222" t="s">
        <v>19</v>
      </c>
      <c r="E222" t="s">
        <v>22</v>
      </c>
      <c r="F222">
        <f>IF(Table2[[#This Row],[Attrition]]="Yes", 1, 0)</f>
        <v>0</v>
      </c>
      <c r="G222" t="s">
        <v>28</v>
      </c>
      <c r="H222" t="s">
        <v>23</v>
      </c>
      <c r="I222">
        <v>5</v>
      </c>
      <c r="J222">
        <v>2</v>
      </c>
      <c r="K222" t="s">
        <v>18</v>
      </c>
      <c r="L222">
        <v>4</v>
      </c>
      <c r="M222">
        <v>2</v>
      </c>
      <c r="N222" s="3">
        <v>5914</v>
      </c>
      <c r="O222" s="3" t="str">
        <f>IF(Table2[[#This Row],[MonthlyIncome]]&lt;=5000, "$1001 - $5000", IF(Table2[[#This Row],[MonthlyIncome]]&lt;=9000, "$5001 - $9000", IF(Table2[[#This Row],[MonthlyIncome]]&lt;=13000, "$9001 - $13000", IF(Table2[[#This Row],[MonthlyIncome]]&lt;=17000, "$13001 - $17000", IF(Table2[[#This Row],[MonthlyIncome]]&lt;=21000, "$17001 - $21000")))))</f>
        <v>$5001 - $9000</v>
      </c>
      <c r="P222">
        <v>8</v>
      </c>
      <c r="Q222">
        <v>4</v>
      </c>
      <c r="R222">
        <v>13</v>
      </c>
      <c r="S2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23" spans="1:19" ht="14.25" x14ac:dyDescent="0.2">
      <c r="A223">
        <v>87823218</v>
      </c>
      <c r="B223">
        <v>33</v>
      </c>
      <c r="C223" t="s">
        <v>20</v>
      </c>
      <c r="D223" t="s">
        <v>24</v>
      </c>
      <c r="E223" t="s">
        <v>22</v>
      </c>
      <c r="F223">
        <f>IF(Table2[[#This Row],[Attrition]]="Yes", 1, 0)</f>
        <v>0</v>
      </c>
      <c r="G223" t="s">
        <v>26</v>
      </c>
      <c r="H223" t="s">
        <v>23</v>
      </c>
      <c r="I223">
        <v>4</v>
      </c>
      <c r="J223">
        <v>4</v>
      </c>
      <c r="K223" t="s">
        <v>29</v>
      </c>
      <c r="L223">
        <v>3</v>
      </c>
      <c r="M223">
        <v>2</v>
      </c>
      <c r="N223" s="3">
        <v>2622</v>
      </c>
      <c r="O223" s="3" t="str">
        <f>IF(Table2[[#This Row],[MonthlyIncome]]&lt;=5000, "$1001 - $5000", IF(Table2[[#This Row],[MonthlyIncome]]&lt;=9000, "$5001 - $9000", IF(Table2[[#This Row],[MonthlyIncome]]&lt;=13000, "$9001 - $13000", IF(Table2[[#This Row],[MonthlyIncome]]&lt;=17000, "$13001 - $17000", IF(Table2[[#This Row],[MonthlyIncome]]&lt;=21000, "$17001 - $21000")))))</f>
        <v>$1001 - $5000</v>
      </c>
      <c r="P223">
        <v>6</v>
      </c>
      <c r="Q223">
        <v>3</v>
      </c>
      <c r="R223">
        <v>3</v>
      </c>
      <c r="S2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24" spans="1:19" ht="14.25" x14ac:dyDescent="0.2">
      <c r="A224">
        <v>25443723</v>
      </c>
      <c r="B224">
        <v>37</v>
      </c>
      <c r="C224" t="s">
        <v>25</v>
      </c>
      <c r="D224" t="s">
        <v>30</v>
      </c>
      <c r="E224" t="s">
        <v>22</v>
      </c>
      <c r="F224">
        <f>IF(Table2[[#This Row],[Attrition]]="Yes", 1, 0)</f>
        <v>0</v>
      </c>
      <c r="G224" t="s">
        <v>35</v>
      </c>
      <c r="H224" t="s">
        <v>23</v>
      </c>
      <c r="I224">
        <v>11</v>
      </c>
      <c r="J224">
        <v>3</v>
      </c>
      <c r="K224" t="s">
        <v>27</v>
      </c>
      <c r="L224">
        <v>2</v>
      </c>
      <c r="M224">
        <v>4</v>
      </c>
      <c r="N224" s="3">
        <v>12185</v>
      </c>
      <c r="O224" s="3" t="str">
        <f>IF(Table2[[#This Row],[MonthlyIncome]]&lt;=5000, "$1001 - $5000", IF(Table2[[#This Row],[MonthlyIncome]]&lt;=9000, "$5001 - $9000", IF(Table2[[#This Row],[MonthlyIncome]]&lt;=13000, "$9001 - $13000", IF(Table2[[#This Row],[MonthlyIncome]]&lt;=17000, "$13001 - $17000", IF(Table2[[#This Row],[MonthlyIncome]]&lt;=21000, "$17001 - $21000")))))</f>
        <v>$9001 - $13000</v>
      </c>
      <c r="P224">
        <v>1</v>
      </c>
      <c r="Q224">
        <v>3</v>
      </c>
      <c r="R224">
        <v>10</v>
      </c>
      <c r="S2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25" spans="1:19" ht="14.25" x14ac:dyDescent="0.2">
      <c r="A225">
        <v>59040671</v>
      </c>
      <c r="B225">
        <v>38</v>
      </c>
      <c r="C225" t="s">
        <v>25</v>
      </c>
      <c r="D225" t="s">
        <v>30</v>
      </c>
      <c r="E225" t="s">
        <v>22</v>
      </c>
      <c r="F225">
        <f>IF(Table2[[#This Row],[Attrition]]="Yes", 1, 0)</f>
        <v>0</v>
      </c>
      <c r="G225" t="s">
        <v>21</v>
      </c>
      <c r="H225" t="s">
        <v>17</v>
      </c>
      <c r="I225">
        <v>3</v>
      </c>
      <c r="J225">
        <v>3</v>
      </c>
      <c r="K225" t="s">
        <v>18</v>
      </c>
      <c r="L225">
        <v>1</v>
      </c>
      <c r="M225">
        <v>3</v>
      </c>
      <c r="N225" s="3">
        <v>10609</v>
      </c>
      <c r="O225" s="3" t="str">
        <f>IF(Table2[[#This Row],[MonthlyIncome]]&lt;=5000, "$1001 - $5000", IF(Table2[[#This Row],[MonthlyIncome]]&lt;=9000, "$5001 - $9000", IF(Table2[[#This Row],[MonthlyIncome]]&lt;=13000, "$9001 - $13000", IF(Table2[[#This Row],[MonthlyIncome]]&lt;=17000, "$13001 - $17000", IF(Table2[[#This Row],[MonthlyIncome]]&lt;=21000, "$17001 - $21000")))))</f>
        <v>$9001 - $13000</v>
      </c>
      <c r="P225">
        <v>0</v>
      </c>
      <c r="Q225">
        <v>2</v>
      </c>
      <c r="R225">
        <v>16</v>
      </c>
      <c r="S2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226" spans="1:19" ht="14.25" x14ac:dyDescent="0.2">
      <c r="A226">
        <v>78679948</v>
      </c>
      <c r="B226">
        <v>31</v>
      </c>
      <c r="C226" t="s">
        <v>25</v>
      </c>
      <c r="D226" t="s">
        <v>24</v>
      </c>
      <c r="E226" t="s">
        <v>22</v>
      </c>
      <c r="F226">
        <f>IF(Table2[[#This Row],[Attrition]]="Yes", 1, 0)</f>
        <v>0</v>
      </c>
      <c r="G226" t="s">
        <v>31</v>
      </c>
      <c r="H226" t="s">
        <v>23</v>
      </c>
      <c r="I226">
        <v>1</v>
      </c>
      <c r="J226">
        <v>4</v>
      </c>
      <c r="K226" t="s">
        <v>29</v>
      </c>
      <c r="L226">
        <v>3</v>
      </c>
      <c r="M226">
        <v>3</v>
      </c>
      <c r="N226" s="3">
        <v>4345</v>
      </c>
      <c r="O226" s="3" t="str">
        <f>IF(Table2[[#This Row],[MonthlyIncome]]&lt;=5000, "$1001 - $5000", IF(Table2[[#This Row],[MonthlyIncome]]&lt;=9000, "$5001 - $9000", IF(Table2[[#This Row],[MonthlyIncome]]&lt;=13000, "$9001 - $13000", IF(Table2[[#This Row],[MonthlyIncome]]&lt;=17000, "$13001 - $17000", IF(Table2[[#This Row],[MonthlyIncome]]&lt;=21000, "$17001 - $21000")))))</f>
        <v>$1001 - $5000</v>
      </c>
      <c r="P226">
        <v>0</v>
      </c>
      <c r="Q226">
        <v>3</v>
      </c>
      <c r="R226">
        <v>5</v>
      </c>
      <c r="S2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27" spans="1:19" ht="14.25" x14ac:dyDescent="0.2">
      <c r="A227">
        <v>57381588</v>
      </c>
      <c r="B227">
        <v>59</v>
      </c>
      <c r="C227" t="s">
        <v>25</v>
      </c>
      <c r="D227" t="s">
        <v>24</v>
      </c>
      <c r="E227" t="s">
        <v>22</v>
      </c>
      <c r="F227">
        <f>IF(Table2[[#This Row],[Attrition]]="Yes", 1, 0)</f>
        <v>0</v>
      </c>
      <c r="G227" t="s">
        <v>26</v>
      </c>
      <c r="H227" t="s">
        <v>23</v>
      </c>
      <c r="I227">
        <v>3</v>
      </c>
      <c r="J227">
        <v>3</v>
      </c>
      <c r="K227" t="s">
        <v>18</v>
      </c>
      <c r="L227">
        <v>3</v>
      </c>
      <c r="M227">
        <v>4</v>
      </c>
      <c r="N227" s="3">
        <v>2177</v>
      </c>
      <c r="O227" s="3" t="str">
        <f>IF(Table2[[#This Row],[MonthlyIncome]]&lt;=5000, "$1001 - $5000", IF(Table2[[#This Row],[MonthlyIncome]]&lt;=9000, "$5001 - $9000", IF(Table2[[#This Row],[MonthlyIncome]]&lt;=13000, "$9001 - $13000", IF(Table2[[#This Row],[MonthlyIncome]]&lt;=17000, "$13001 - $17000", IF(Table2[[#This Row],[MonthlyIncome]]&lt;=21000, "$17001 - $21000")))))</f>
        <v>$1001 - $5000</v>
      </c>
      <c r="P227">
        <v>3</v>
      </c>
      <c r="Q227">
        <v>3</v>
      </c>
      <c r="R227">
        <v>1</v>
      </c>
      <c r="S2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28" spans="1:19" ht="14.25" x14ac:dyDescent="0.2">
      <c r="A228">
        <v>37845508</v>
      </c>
      <c r="B228">
        <v>37</v>
      </c>
      <c r="C228" t="s">
        <v>25</v>
      </c>
      <c r="D228" t="s">
        <v>30</v>
      </c>
      <c r="E228" t="s">
        <v>22</v>
      </c>
      <c r="F228">
        <f>IF(Table2[[#This Row],[Attrition]]="Yes", 1, 0)</f>
        <v>0</v>
      </c>
      <c r="G228" t="s">
        <v>34</v>
      </c>
      <c r="H228" t="s">
        <v>17</v>
      </c>
      <c r="I228">
        <v>4</v>
      </c>
      <c r="J228">
        <v>4</v>
      </c>
      <c r="K228" t="s">
        <v>36</v>
      </c>
      <c r="L228">
        <v>1</v>
      </c>
      <c r="M228">
        <v>4</v>
      </c>
      <c r="N228" s="3">
        <v>2793</v>
      </c>
      <c r="O228" s="3" t="str">
        <f>IF(Table2[[#This Row],[MonthlyIncome]]&lt;=5000, "$1001 - $5000", IF(Table2[[#This Row],[MonthlyIncome]]&lt;=9000, "$5001 - $9000", IF(Table2[[#This Row],[MonthlyIncome]]&lt;=13000, "$9001 - $13000", IF(Table2[[#This Row],[MonthlyIncome]]&lt;=17000, "$13001 - $17000", IF(Table2[[#This Row],[MonthlyIncome]]&lt;=21000, "$17001 - $21000")))))</f>
        <v>$1001 - $5000</v>
      </c>
      <c r="P228">
        <v>4</v>
      </c>
      <c r="Q228">
        <v>3</v>
      </c>
      <c r="R228">
        <v>9</v>
      </c>
      <c r="S2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29" spans="1:19" ht="14.25" x14ac:dyDescent="0.2">
      <c r="A229">
        <v>78953570</v>
      </c>
      <c r="B229">
        <v>29</v>
      </c>
      <c r="C229" t="s">
        <v>20</v>
      </c>
      <c r="D229" t="s">
        <v>24</v>
      </c>
      <c r="E229" t="s">
        <v>22</v>
      </c>
      <c r="F229">
        <f>IF(Table2[[#This Row],[Attrition]]="Yes", 1, 0)</f>
        <v>0</v>
      </c>
      <c r="G229" t="s">
        <v>21</v>
      </c>
      <c r="H229" t="s">
        <v>17</v>
      </c>
      <c r="I229">
        <v>1</v>
      </c>
      <c r="J229">
        <v>1</v>
      </c>
      <c r="K229" t="s">
        <v>29</v>
      </c>
      <c r="L229">
        <v>2</v>
      </c>
      <c r="M229">
        <v>4</v>
      </c>
      <c r="N229" s="3">
        <v>7918</v>
      </c>
      <c r="O229" s="3" t="str">
        <f>IF(Table2[[#This Row],[MonthlyIncome]]&lt;=5000, "$1001 - $5000", IF(Table2[[#This Row],[MonthlyIncome]]&lt;=9000, "$5001 - $9000", IF(Table2[[#This Row],[MonthlyIncome]]&lt;=13000, "$9001 - $13000", IF(Table2[[#This Row],[MonthlyIncome]]&lt;=17000, "$13001 - $17000", IF(Table2[[#This Row],[MonthlyIncome]]&lt;=21000, "$17001 - $21000")))))</f>
        <v>$5001 - $9000</v>
      </c>
      <c r="P229">
        <v>1</v>
      </c>
      <c r="Q229">
        <v>3</v>
      </c>
      <c r="R229">
        <v>11</v>
      </c>
      <c r="S2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30" spans="1:19" ht="14.25" x14ac:dyDescent="0.2">
      <c r="A230">
        <v>16120776</v>
      </c>
      <c r="B230">
        <v>35</v>
      </c>
      <c r="C230" t="s">
        <v>20</v>
      </c>
      <c r="D230" t="s">
        <v>19</v>
      </c>
      <c r="E230" t="s">
        <v>22</v>
      </c>
      <c r="F230">
        <f>IF(Table2[[#This Row],[Attrition]]="Yes", 1, 0)</f>
        <v>0</v>
      </c>
      <c r="G230" t="s">
        <v>21</v>
      </c>
      <c r="H230" t="s">
        <v>17</v>
      </c>
      <c r="I230">
        <v>1</v>
      </c>
      <c r="J230">
        <v>3</v>
      </c>
      <c r="K230" t="s">
        <v>36</v>
      </c>
      <c r="L230">
        <v>3</v>
      </c>
      <c r="M230">
        <v>3</v>
      </c>
      <c r="N230" s="3">
        <v>8789</v>
      </c>
      <c r="O230" s="3" t="str">
        <f>IF(Table2[[#This Row],[MonthlyIncome]]&lt;=5000, "$1001 - $5000", IF(Table2[[#This Row],[MonthlyIncome]]&lt;=9000, "$5001 - $9000", IF(Table2[[#This Row],[MonthlyIncome]]&lt;=13000, "$9001 - $13000", IF(Table2[[#This Row],[MonthlyIncome]]&lt;=17000, "$13001 - $17000", IF(Table2[[#This Row],[MonthlyIncome]]&lt;=21000, "$17001 - $21000")))))</f>
        <v>$5001 - $9000</v>
      </c>
      <c r="P230">
        <v>1</v>
      </c>
      <c r="Q230">
        <v>4</v>
      </c>
      <c r="R230">
        <v>10</v>
      </c>
      <c r="S2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31" spans="1:19" ht="14.25" x14ac:dyDescent="0.2">
      <c r="A231">
        <v>25234657</v>
      </c>
      <c r="B231">
        <v>29</v>
      </c>
      <c r="C231" t="s">
        <v>25</v>
      </c>
      <c r="D231" t="s">
        <v>19</v>
      </c>
      <c r="E231" t="s">
        <v>16</v>
      </c>
      <c r="F231">
        <f>IF(Table2[[#This Row],[Attrition]]="Yes", 1, 0)</f>
        <v>1</v>
      </c>
      <c r="G231" t="s">
        <v>26</v>
      </c>
      <c r="H231" t="s">
        <v>23</v>
      </c>
      <c r="I231">
        <v>18</v>
      </c>
      <c r="J231">
        <v>1</v>
      </c>
      <c r="K231" t="s">
        <v>29</v>
      </c>
      <c r="L231">
        <v>3</v>
      </c>
      <c r="M231">
        <v>4</v>
      </c>
      <c r="N231" s="3">
        <v>2389</v>
      </c>
      <c r="O231" s="3" t="str">
        <f>IF(Table2[[#This Row],[MonthlyIncome]]&lt;=5000, "$1001 - $5000", IF(Table2[[#This Row],[MonthlyIncome]]&lt;=9000, "$5001 - $9000", IF(Table2[[#This Row],[MonthlyIncome]]&lt;=13000, "$9001 - $13000", IF(Table2[[#This Row],[MonthlyIncome]]&lt;=17000, "$13001 - $17000", IF(Table2[[#This Row],[MonthlyIncome]]&lt;=21000, "$17001 - $21000")))))</f>
        <v>$1001 - $5000</v>
      </c>
      <c r="P231">
        <v>1</v>
      </c>
      <c r="Q231">
        <v>2</v>
      </c>
      <c r="R231">
        <v>4</v>
      </c>
      <c r="S2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32" spans="1:19" ht="14.25" x14ac:dyDescent="0.2">
      <c r="A232">
        <v>44322313</v>
      </c>
      <c r="B232">
        <v>52</v>
      </c>
      <c r="C232" t="s">
        <v>20</v>
      </c>
      <c r="D232" t="s">
        <v>19</v>
      </c>
      <c r="E232" t="s">
        <v>22</v>
      </c>
      <c r="F232">
        <f>IF(Table2[[#This Row],[Attrition]]="Yes", 1, 0)</f>
        <v>0</v>
      </c>
      <c r="G232" t="s">
        <v>28</v>
      </c>
      <c r="H232" t="s">
        <v>23</v>
      </c>
      <c r="I232">
        <v>2</v>
      </c>
      <c r="J232">
        <v>3</v>
      </c>
      <c r="K232" t="s">
        <v>18</v>
      </c>
      <c r="L232">
        <v>3</v>
      </c>
      <c r="M232">
        <v>4</v>
      </c>
      <c r="N232" s="3">
        <v>3212</v>
      </c>
      <c r="O232" s="3" t="str">
        <f>IF(Table2[[#This Row],[MonthlyIncome]]&lt;=5000, "$1001 - $5000", IF(Table2[[#This Row],[MonthlyIncome]]&lt;=9000, "$5001 - $9000", IF(Table2[[#This Row],[MonthlyIncome]]&lt;=13000, "$9001 - $13000", IF(Table2[[#This Row],[MonthlyIncome]]&lt;=17000, "$13001 - $17000", IF(Table2[[#This Row],[MonthlyIncome]]&lt;=21000, "$17001 - $21000")))))</f>
        <v>$1001 - $5000</v>
      </c>
      <c r="P232">
        <v>7</v>
      </c>
      <c r="Q232">
        <v>2</v>
      </c>
      <c r="R232">
        <v>2</v>
      </c>
      <c r="S2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33" spans="1:19" ht="14.25" x14ac:dyDescent="0.2">
      <c r="A233">
        <v>46101906</v>
      </c>
      <c r="B233">
        <v>42</v>
      </c>
      <c r="C233" t="s">
        <v>25</v>
      </c>
      <c r="D233" t="s">
        <v>24</v>
      </c>
      <c r="E233" t="s">
        <v>22</v>
      </c>
      <c r="F233">
        <f>IF(Table2[[#This Row],[Attrition]]="Yes", 1, 0)</f>
        <v>0</v>
      </c>
      <c r="G233" t="s">
        <v>33</v>
      </c>
      <c r="H233" t="s">
        <v>23</v>
      </c>
      <c r="I233">
        <v>4</v>
      </c>
      <c r="J233">
        <v>2</v>
      </c>
      <c r="K233" t="s">
        <v>37</v>
      </c>
      <c r="L233">
        <v>3</v>
      </c>
      <c r="M233">
        <v>4</v>
      </c>
      <c r="N233" s="3">
        <v>19232</v>
      </c>
      <c r="O233" s="3" t="str">
        <f>IF(Table2[[#This Row],[MonthlyIncome]]&lt;=5000, "$1001 - $5000", IF(Table2[[#This Row],[MonthlyIncome]]&lt;=9000, "$5001 - $9000", IF(Table2[[#This Row],[MonthlyIncome]]&lt;=13000, "$9001 - $13000", IF(Table2[[#This Row],[MonthlyIncome]]&lt;=17000, "$13001 - $17000", IF(Table2[[#This Row],[MonthlyIncome]]&lt;=21000, "$17001 - $21000")))))</f>
        <v>$17001 - $21000</v>
      </c>
      <c r="P233">
        <v>1</v>
      </c>
      <c r="Q233">
        <v>3</v>
      </c>
      <c r="R233">
        <v>22</v>
      </c>
      <c r="S2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234" spans="1:19" ht="14.25" x14ac:dyDescent="0.2">
      <c r="A234">
        <v>47234158</v>
      </c>
      <c r="B234">
        <v>59</v>
      </c>
      <c r="C234" t="s">
        <v>25</v>
      </c>
      <c r="D234" t="s">
        <v>24</v>
      </c>
      <c r="E234" t="s">
        <v>22</v>
      </c>
      <c r="F234">
        <f>IF(Table2[[#This Row],[Attrition]]="Yes", 1, 0)</f>
        <v>0</v>
      </c>
      <c r="G234" t="s">
        <v>38</v>
      </c>
      <c r="H234" t="s">
        <v>38</v>
      </c>
      <c r="I234">
        <v>6</v>
      </c>
      <c r="J234">
        <v>2</v>
      </c>
      <c r="K234" t="s">
        <v>29</v>
      </c>
      <c r="L234">
        <v>2</v>
      </c>
      <c r="M234">
        <v>3</v>
      </c>
      <c r="N234" s="3">
        <v>2267</v>
      </c>
      <c r="O234" s="3" t="str">
        <f>IF(Table2[[#This Row],[MonthlyIncome]]&lt;=5000, "$1001 - $5000", IF(Table2[[#This Row],[MonthlyIncome]]&lt;=9000, "$5001 - $9000", IF(Table2[[#This Row],[MonthlyIncome]]&lt;=13000, "$9001 - $13000", IF(Table2[[#This Row],[MonthlyIncome]]&lt;=17000, "$13001 - $17000", IF(Table2[[#This Row],[MonthlyIncome]]&lt;=21000, "$17001 - $21000")))))</f>
        <v>$1001 - $5000</v>
      </c>
      <c r="P234">
        <v>8</v>
      </c>
      <c r="Q234">
        <v>2</v>
      </c>
      <c r="R234">
        <v>2</v>
      </c>
      <c r="S2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35" spans="1:19" ht="14.25" x14ac:dyDescent="0.2">
      <c r="A235">
        <v>86207748</v>
      </c>
      <c r="B235">
        <v>50</v>
      </c>
      <c r="C235" t="s">
        <v>20</v>
      </c>
      <c r="D235" t="s">
        <v>30</v>
      </c>
      <c r="E235" t="s">
        <v>22</v>
      </c>
      <c r="F235">
        <f>IF(Table2[[#This Row],[Attrition]]="Yes", 1, 0)</f>
        <v>0</v>
      </c>
      <c r="G235" t="s">
        <v>33</v>
      </c>
      <c r="H235" t="s">
        <v>17</v>
      </c>
      <c r="I235">
        <v>1</v>
      </c>
      <c r="J235">
        <v>4</v>
      </c>
      <c r="K235" t="s">
        <v>29</v>
      </c>
      <c r="L235">
        <v>4</v>
      </c>
      <c r="M235">
        <v>4</v>
      </c>
      <c r="N235" s="3">
        <v>19517</v>
      </c>
      <c r="O235" s="3" t="str">
        <f>IF(Table2[[#This Row],[MonthlyIncome]]&lt;=5000, "$1001 - $5000", IF(Table2[[#This Row],[MonthlyIncome]]&lt;=9000, "$5001 - $9000", IF(Table2[[#This Row],[MonthlyIncome]]&lt;=13000, "$9001 - $13000", IF(Table2[[#This Row],[MonthlyIncome]]&lt;=17000, "$13001 - $17000", IF(Table2[[#This Row],[MonthlyIncome]]&lt;=21000, "$17001 - $21000")))))</f>
        <v>$17001 - $21000</v>
      </c>
      <c r="P235">
        <v>3</v>
      </c>
      <c r="Q235">
        <v>2</v>
      </c>
      <c r="R235">
        <v>7</v>
      </c>
      <c r="S2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36" spans="1:19" ht="14.25" x14ac:dyDescent="0.2">
      <c r="A236">
        <v>38144905</v>
      </c>
      <c r="B236">
        <v>33</v>
      </c>
      <c r="C236" t="s">
        <v>25</v>
      </c>
      <c r="D236" t="s">
        <v>24</v>
      </c>
      <c r="E236" t="s">
        <v>16</v>
      </c>
      <c r="F236">
        <f>IF(Table2[[#This Row],[Attrition]]="Yes", 1, 0)</f>
        <v>1</v>
      </c>
      <c r="G236" t="s">
        <v>28</v>
      </c>
      <c r="H236" t="s">
        <v>23</v>
      </c>
      <c r="I236">
        <v>14</v>
      </c>
      <c r="J236">
        <v>3</v>
      </c>
      <c r="K236" t="s">
        <v>29</v>
      </c>
      <c r="L236">
        <v>3</v>
      </c>
      <c r="M236">
        <v>4</v>
      </c>
      <c r="N236" s="3">
        <v>2436</v>
      </c>
      <c r="O236" s="3" t="str">
        <f>IF(Table2[[#This Row],[MonthlyIncome]]&lt;=5000, "$1001 - $5000", IF(Table2[[#This Row],[MonthlyIncome]]&lt;=9000, "$5001 - $9000", IF(Table2[[#This Row],[MonthlyIncome]]&lt;=13000, "$9001 - $13000", IF(Table2[[#This Row],[MonthlyIncome]]&lt;=17000, "$13001 - $17000", IF(Table2[[#This Row],[MonthlyIncome]]&lt;=21000, "$17001 - $21000")))))</f>
        <v>$1001 - $5000</v>
      </c>
      <c r="P236">
        <v>5</v>
      </c>
      <c r="Q236">
        <v>1</v>
      </c>
      <c r="R236">
        <v>5</v>
      </c>
      <c r="S2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37" spans="1:19" ht="14.25" x14ac:dyDescent="0.2">
      <c r="A237">
        <v>67083569</v>
      </c>
      <c r="B237">
        <v>43</v>
      </c>
      <c r="C237" t="s">
        <v>20</v>
      </c>
      <c r="D237" t="s">
        <v>24</v>
      </c>
      <c r="E237" t="s">
        <v>22</v>
      </c>
      <c r="F237">
        <f>IF(Table2[[#This Row],[Attrition]]="Yes", 1, 0)</f>
        <v>0</v>
      </c>
      <c r="G237" t="s">
        <v>33</v>
      </c>
      <c r="H237" t="s">
        <v>17</v>
      </c>
      <c r="I237">
        <v>16</v>
      </c>
      <c r="J237">
        <v>3</v>
      </c>
      <c r="K237" t="s">
        <v>36</v>
      </c>
      <c r="L237">
        <v>4</v>
      </c>
      <c r="M237">
        <v>4</v>
      </c>
      <c r="N237" s="3">
        <v>16064</v>
      </c>
      <c r="O237" s="3" t="str">
        <f>IF(Table2[[#This Row],[MonthlyIncome]]&lt;=5000, "$1001 - $5000", IF(Table2[[#This Row],[MonthlyIncome]]&lt;=9000, "$5001 - $9000", IF(Table2[[#This Row],[MonthlyIncome]]&lt;=13000, "$9001 - $13000", IF(Table2[[#This Row],[MonthlyIncome]]&lt;=17000, "$13001 - $17000", IF(Table2[[#This Row],[MonthlyIncome]]&lt;=21000, "$17001 - $21000")))))</f>
        <v>$13001 - $17000</v>
      </c>
      <c r="P237">
        <v>5</v>
      </c>
      <c r="Q237">
        <v>3</v>
      </c>
      <c r="R237">
        <v>17</v>
      </c>
      <c r="S2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238" spans="1:19" ht="14.25" x14ac:dyDescent="0.2">
      <c r="A238">
        <v>31358957</v>
      </c>
      <c r="B238">
        <v>33</v>
      </c>
      <c r="C238" t="s">
        <v>20</v>
      </c>
      <c r="D238" t="s">
        <v>24</v>
      </c>
      <c r="E238" t="s">
        <v>16</v>
      </c>
      <c r="F238">
        <f>IF(Table2[[#This Row],[Attrition]]="Yes", 1, 0)</f>
        <v>1</v>
      </c>
      <c r="G238" t="s">
        <v>28</v>
      </c>
      <c r="H238" t="s">
        <v>23</v>
      </c>
      <c r="I238">
        <v>2</v>
      </c>
      <c r="J238">
        <v>2</v>
      </c>
      <c r="K238" t="s">
        <v>18</v>
      </c>
      <c r="L238">
        <v>1</v>
      </c>
      <c r="M238">
        <v>1</v>
      </c>
      <c r="N238" s="3">
        <v>2707</v>
      </c>
      <c r="O238" s="3" t="str">
        <f>IF(Table2[[#This Row],[MonthlyIncome]]&lt;=5000, "$1001 - $5000", IF(Table2[[#This Row],[MonthlyIncome]]&lt;=9000, "$5001 - $9000", IF(Table2[[#This Row],[MonthlyIncome]]&lt;=13000, "$9001 - $13000", IF(Table2[[#This Row],[MonthlyIncome]]&lt;=17000, "$13001 - $17000", IF(Table2[[#This Row],[MonthlyIncome]]&lt;=21000, "$17001 - $21000")))))</f>
        <v>$1001 - $5000</v>
      </c>
      <c r="P238">
        <v>7</v>
      </c>
      <c r="Q238">
        <v>4</v>
      </c>
      <c r="R238">
        <v>9</v>
      </c>
      <c r="S2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39" spans="1:19" ht="14.25" x14ac:dyDescent="0.2">
      <c r="A239">
        <v>65673779</v>
      </c>
      <c r="B239">
        <v>52</v>
      </c>
      <c r="C239" t="s">
        <v>25</v>
      </c>
      <c r="D239" t="s">
        <v>19</v>
      </c>
      <c r="E239" t="s">
        <v>22</v>
      </c>
      <c r="F239">
        <f>IF(Table2[[#This Row],[Attrition]]="Yes", 1, 0)</f>
        <v>0</v>
      </c>
      <c r="G239" t="s">
        <v>33</v>
      </c>
      <c r="H239" t="s">
        <v>17</v>
      </c>
      <c r="I239">
        <v>2</v>
      </c>
      <c r="J239">
        <v>4</v>
      </c>
      <c r="K239" t="s">
        <v>18</v>
      </c>
      <c r="L239">
        <v>1</v>
      </c>
      <c r="M239">
        <v>3</v>
      </c>
      <c r="N239" s="3">
        <v>19068</v>
      </c>
      <c r="O239" s="3" t="str">
        <f>IF(Table2[[#This Row],[MonthlyIncome]]&lt;=5000, "$1001 - $5000", IF(Table2[[#This Row],[MonthlyIncome]]&lt;=9000, "$5001 - $9000", IF(Table2[[#This Row],[MonthlyIncome]]&lt;=13000, "$9001 - $13000", IF(Table2[[#This Row],[MonthlyIncome]]&lt;=17000, "$13001 - $17000", IF(Table2[[#This Row],[MonthlyIncome]]&lt;=21000, "$17001 - $21000")))))</f>
        <v>$17001 - $21000</v>
      </c>
      <c r="P239">
        <v>1</v>
      </c>
      <c r="Q239">
        <v>4</v>
      </c>
      <c r="R239">
        <v>33</v>
      </c>
      <c r="S2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30 - 35 Years</v>
      </c>
    </row>
    <row r="240" spans="1:19" ht="14.25" x14ac:dyDescent="0.2">
      <c r="A240">
        <v>89531320</v>
      </c>
      <c r="B240">
        <v>32</v>
      </c>
      <c r="C240" t="s">
        <v>20</v>
      </c>
      <c r="D240" t="s">
        <v>24</v>
      </c>
      <c r="E240" t="s">
        <v>22</v>
      </c>
      <c r="F240">
        <f>IF(Table2[[#This Row],[Attrition]]="Yes", 1, 0)</f>
        <v>0</v>
      </c>
      <c r="G240" t="s">
        <v>34</v>
      </c>
      <c r="H240" t="s">
        <v>17</v>
      </c>
      <c r="I240">
        <v>4</v>
      </c>
      <c r="J240">
        <v>2</v>
      </c>
      <c r="K240" t="s">
        <v>18</v>
      </c>
      <c r="L240">
        <v>3</v>
      </c>
      <c r="M240">
        <v>2</v>
      </c>
      <c r="N240" s="3">
        <v>3931</v>
      </c>
      <c r="O240" s="3" t="str">
        <f>IF(Table2[[#This Row],[MonthlyIncome]]&lt;=5000, "$1001 - $5000", IF(Table2[[#This Row],[MonthlyIncome]]&lt;=9000, "$5001 - $9000", IF(Table2[[#This Row],[MonthlyIncome]]&lt;=13000, "$9001 - $13000", IF(Table2[[#This Row],[MonthlyIncome]]&lt;=17000, "$13001 - $17000", IF(Table2[[#This Row],[MonthlyIncome]]&lt;=21000, "$17001 - $21000")))))</f>
        <v>$1001 - $5000</v>
      </c>
      <c r="P240">
        <v>2</v>
      </c>
      <c r="Q240">
        <v>3</v>
      </c>
      <c r="R240">
        <v>4</v>
      </c>
      <c r="S2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41" spans="1:19" ht="14.25" x14ac:dyDescent="0.2">
      <c r="A241">
        <v>37796906</v>
      </c>
      <c r="B241">
        <v>32</v>
      </c>
      <c r="C241" t="s">
        <v>25</v>
      </c>
      <c r="D241" t="s">
        <v>19</v>
      </c>
      <c r="E241" t="s">
        <v>16</v>
      </c>
      <c r="F241">
        <f>IF(Table2[[#This Row],[Attrition]]="Yes", 1, 0)</f>
        <v>1</v>
      </c>
      <c r="G241" t="s">
        <v>28</v>
      </c>
      <c r="H241" t="s">
        <v>23</v>
      </c>
      <c r="I241">
        <v>1</v>
      </c>
      <c r="J241">
        <v>3</v>
      </c>
      <c r="K241" t="s">
        <v>18</v>
      </c>
      <c r="L241">
        <v>4</v>
      </c>
      <c r="M241">
        <v>3</v>
      </c>
      <c r="N241" s="3">
        <v>3730</v>
      </c>
      <c r="O241" s="3" t="str">
        <f>IF(Table2[[#This Row],[MonthlyIncome]]&lt;=5000, "$1001 - $5000", IF(Table2[[#This Row],[MonthlyIncome]]&lt;=9000, "$5001 - $9000", IF(Table2[[#This Row],[MonthlyIncome]]&lt;=13000, "$9001 - $13000", IF(Table2[[#This Row],[MonthlyIncome]]&lt;=17000, "$13001 - $17000", IF(Table2[[#This Row],[MonthlyIncome]]&lt;=21000, "$17001 - $21000")))))</f>
        <v>$1001 - $5000</v>
      </c>
      <c r="P241">
        <v>0</v>
      </c>
      <c r="Q241">
        <v>1</v>
      </c>
      <c r="R241">
        <v>3</v>
      </c>
      <c r="S2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42" spans="1:19" ht="14.25" x14ac:dyDescent="0.2">
      <c r="A242">
        <v>79089315</v>
      </c>
      <c r="B242">
        <v>39</v>
      </c>
      <c r="C242" t="s">
        <v>20</v>
      </c>
      <c r="D242" t="s">
        <v>30</v>
      </c>
      <c r="E242" t="s">
        <v>22</v>
      </c>
      <c r="F242">
        <f>IF(Table2[[#This Row],[Attrition]]="Yes", 1, 0)</f>
        <v>0</v>
      </c>
      <c r="G242" t="s">
        <v>28</v>
      </c>
      <c r="H242" t="s">
        <v>23</v>
      </c>
      <c r="I242">
        <v>1</v>
      </c>
      <c r="J242">
        <v>4</v>
      </c>
      <c r="K242" t="s">
        <v>29</v>
      </c>
      <c r="L242">
        <v>3</v>
      </c>
      <c r="M242">
        <v>3</v>
      </c>
      <c r="N242" s="3">
        <v>2232</v>
      </c>
      <c r="O242" s="3" t="str">
        <f>IF(Table2[[#This Row],[MonthlyIncome]]&lt;=5000, "$1001 - $5000", IF(Table2[[#This Row],[MonthlyIncome]]&lt;=9000, "$5001 - $9000", IF(Table2[[#This Row],[MonthlyIncome]]&lt;=13000, "$9001 - $13000", IF(Table2[[#This Row],[MonthlyIncome]]&lt;=17000, "$13001 - $17000", IF(Table2[[#This Row],[MonthlyIncome]]&lt;=21000, "$17001 - $21000")))))</f>
        <v>$1001 - $5000</v>
      </c>
      <c r="P242">
        <v>7</v>
      </c>
      <c r="Q242">
        <v>3</v>
      </c>
      <c r="R242">
        <v>3</v>
      </c>
      <c r="S2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43" spans="1:19" ht="14.25" x14ac:dyDescent="0.2">
      <c r="A243">
        <v>79276251</v>
      </c>
      <c r="B243">
        <v>32</v>
      </c>
      <c r="C243" t="s">
        <v>25</v>
      </c>
      <c r="D243" t="s">
        <v>24</v>
      </c>
      <c r="E243" t="s">
        <v>22</v>
      </c>
      <c r="F243">
        <f>IF(Table2[[#This Row],[Attrition]]="Yes", 1, 0)</f>
        <v>0</v>
      </c>
      <c r="G243" t="s">
        <v>21</v>
      </c>
      <c r="H243" t="s">
        <v>17</v>
      </c>
      <c r="I243">
        <v>26</v>
      </c>
      <c r="J243">
        <v>4</v>
      </c>
      <c r="K243" t="s">
        <v>36</v>
      </c>
      <c r="L243">
        <v>3</v>
      </c>
      <c r="M243">
        <v>4</v>
      </c>
      <c r="N243" s="3">
        <v>4465</v>
      </c>
      <c r="O243" s="3" t="str">
        <f>IF(Table2[[#This Row],[MonthlyIncome]]&lt;=5000, "$1001 - $5000", IF(Table2[[#This Row],[MonthlyIncome]]&lt;=9000, "$5001 - $9000", IF(Table2[[#This Row],[MonthlyIncome]]&lt;=13000, "$9001 - $13000", IF(Table2[[#This Row],[MonthlyIncome]]&lt;=17000, "$13001 - $17000", IF(Table2[[#This Row],[MonthlyIncome]]&lt;=21000, "$17001 - $21000")))))</f>
        <v>$1001 - $5000</v>
      </c>
      <c r="P243">
        <v>0</v>
      </c>
      <c r="Q243">
        <v>3</v>
      </c>
      <c r="R243">
        <v>3</v>
      </c>
      <c r="S2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44" spans="1:19" ht="14.25" x14ac:dyDescent="0.2">
      <c r="A244">
        <v>50047344</v>
      </c>
      <c r="B244">
        <v>41</v>
      </c>
      <c r="C244" t="s">
        <v>25</v>
      </c>
      <c r="D244" t="s">
        <v>30</v>
      </c>
      <c r="E244" t="s">
        <v>22</v>
      </c>
      <c r="F244">
        <f>IF(Table2[[#This Row],[Attrition]]="Yes", 1, 0)</f>
        <v>0</v>
      </c>
      <c r="G244" t="s">
        <v>26</v>
      </c>
      <c r="H244" t="s">
        <v>23</v>
      </c>
      <c r="I244">
        <v>19</v>
      </c>
      <c r="J244">
        <v>2</v>
      </c>
      <c r="K244" t="s">
        <v>18</v>
      </c>
      <c r="L244">
        <v>3</v>
      </c>
      <c r="M244">
        <v>1</v>
      </c>
      <c r="N244" s="3">
        <v>3072</v>
      </c>
      <c r="O244" s="3" t="str">
        <f>IF(Table2[[#This Row],[MonthlyIncome]]&lt;=5000, "$1001 - $5000", IF(Table2[[#This Row],[MonthlyIncome]]&lt;=9000, "$5001 - $9000", IF(Table2[[#This Row],[MonthlyIncome]]&lt;=13000, "$9001 - $13000", IF(Table2[[#This Row],[MonthlyIncome]]&lt;=17000, "$13001 - $17000", IF(Table2[[#This Row],[MonthlyIncome]]&lt;=21000, "$17001 - $21000")))))</f>
        <v>$1001 - $5000</v>
      </c>
      <c r="P244">
        <v>2</v>
      </c>
      <c r="Q244">
        <v>2</v>
      </c>
      <c r="R244">
        <v>1</v>
      </c>
      <c r="S2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45" spans="1:19" ht="14.25" x14ac:dyDescent="0.2">
      <c r="A245">
        <v>10474714</v>
      </c>
      <c r="B245">
        <v>40</v>
      </c>
      <c r="C245" t="s">
        <v>25</v>
      </c>
      <c r="D245" t="s">
        <v>30</v>
      </c>
      <c r="E245" t="s">
        <v>22</v>
      </c>
      <c r="F245">
        <f>IF(Table2[[#This Row],[Attrition]]="Yes", 1, 0)</f>
        <v>0</v>
      </c>
      <c r="G245" t="s">
        <v>26</v>
      </c>
      <c r="H245" t="s">
        <v>23</v>
      </c>
      <c r="I245">
        <v>24</v>
      </c>
      <c r="J245">
        <v>2</v>
      </c>
      <c r="K245" t="s">
        <v>37</v>
      </c>
      <c r="L245">
        <v>1</v>
      </c>
      <c r="M245">
        <v>4</v>
      </c>
      <c r="N245" s="3">
        <v>3319</v>
      </c>
      <c r="O245" s="3" t="str">
        <f>IF(Table2[[#This Row],[MonthlyIncome]]&lt;=5000, "$1001 - $5000", IF(Table2[[#This Row],[MonthlyIncome]]&lt;=9000, "$5001 - $9000", IF(Table2[[#This Row],[MonthlyIncome]]&lt;=13000, "$9001 - $13000", IF(Table2[[#This Row],[MonthlyIncome]]&lt;=17000, "$13001 - $17000", IF(Table2[[#This Row],[MonthlyIncome]]&lt;=21000, "$17001 - $21000")))))</f>
        <v>$1001 - $5000</v>
      </c>
      <c r="P245">
        <v>1</v>
      </c>
      <c r="Q245">
        <v>3</v>
      </c>
      <c r="R245">
        <v>9</v>
      </c>
      <c r="S2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46" spans="1:19" ht="14.25" x14ac:dyDescent="0.2">
      <c r="A246">
        <v>28288952</v>
      </c>
      <c r="B246">
        <v>45</v>
      </c>
      <c r="C246" t="s">
        <v>25</v>
      </c>
      <c r="D246" t="s">
        <v>24</v>
      </c>
      <c r="E246" t="s">
        <v>22</v>
      </c>
      <c r="F246">
        <f>IF(Table2[[#This Row],[Attrition]]="Yes", 1, 0)</f>
        <v>0</v>
      </c>
      <c r="G246" t="s">
        <v>33</v>
      </c>
      <c r="H246" t="s">
        <v>23</v>
      </c>
      <c r="I246">
        <v>1</v>
      </c>
      <c r="J246">
        <v>3</v>
      </c>
      <c r="K246" t="s">
        <v>27</v>
      </c>
      <c r="L246">
        <v>3</v>
      </c>
      <c r="M246">
        <v>4</v>
      </c>
      <c r="N246" s="3">
        <v>19202</v>
      </c>
      <c r="O246" s="3" t="str">
        <f>IF(Table2[[#This Row],[MonthlyIncome]]&lt;=5000, "$1001 - $5000", IF(Table2[[#This Row],[MonthlyIncome]]&lt;=9000, "$5001 - $9000", IF(Table2[[#This Row],[MonthlyIncome]]&lt;=13000, "$9001 - $13000", IF(Table2[[#This Row],[MonthlyIncome]]&lt;=17000, "$13001 - $17000", IF(Table2[[#This Row],[MonthlyIncome]]&lt;=21000, "$17001 - $21000")))))</f>
        <v>$17001 - $21000</v>
      </c>
      <c r="P246">
        <v>0</v>
      </c>
      <c r="Q246">
        <v>3</v>
      </c>
      <c r="R246">
        <v>24</v>
      </c>
      <c r="S2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247" spans="1:19" ht="14.25" x14ac:dyDescent="0.2">
      <c r="A247">
        <v>22489139</v>
      </c>
      <c r="B247">
        <v>31</v>
      </c>
      <c r="C247" t="s">
        <v>25</v>
      </c>
      <c r="D247" t="s">
        <v>30</v>
      </c>
      <c r="E247" t="s">
        <v>22</v>
      </c>
      <c r="F247">
        <f>IF(Table2[[#This Row],[Attrition]]="Yes", 1, 0)</f>
        <v>0</v>
      </c>
      <c r="G247" t="s">
        <v>35</v>
      </c>
      <c r="H247" t="s">
        <v>23</v>
      </c>
      <c r="I247">
        <v>3</v>
      </c>
      <c r="J247">
        <v>4</v>
      </c>
      <c r="K247" t="s">
        <v>29</v>
      </c>
      <c r="L247">
        <v>2</v>
      </c>
      <c r="M247">
        <v>3</v>
      </c>
      <c r="N247" s="3">
        <v>13675</v>
      </c>
      <c r="O247" s="3" t="str">
        <f>IF(Table2[[#This Row],[MonthlyIncome]]&lt;=5000, "$1001 - $5000", IF(Table2[[#This Row],[MonthlyIncome]]&lt;=9000, "$5001 - $9000", IF(Table2[[#This Row],[MonthlyIncome]]&lt;=13000, "$9001 - $13000", IF(Table2[[#This Row],[MonthlyIncome]]&lt;=17000, "$13001 - $17000", IF(Table2[[#This Row],[MonthlyIncome]]&lt;=21000, "$17001 - $21000")))))</f>
        <v>$13001 - $17000</v>
      </c>
      <c r="P247">
        <v>9</v>
      </c>
      <c r="Q247">
        <v>3</v>
      </c>
      <c r="R247">
        <v>2</v>
      </c>
      <c r="S2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48" spans="1:19" ht="14.25" x14ac:dyDescent="0.2">
      <c r="A248">
        <v>11986083</v>
      </c>
      <c r="B248">
        <v>33</v>
      </c>
      <c r="C248" t="s">
        <v>20</v>
      </c>
      <c r="D248" t="s">
        <v>24</v>
      </c>
      <c r="E248" t="s">
        <v>22</v>
      </c>
      <c r="F248">
        <f>IF(Table2[[#This Row],[Attrition]]="Yes", 1, 0)</f>
        <v>0</v>
      </c>
      <c r="G248" t="s">
        <v>26</v>
      </c>
      <c r="H248" t="s">
        <v>23</v>
      </c>
      <c r="I248">
        <v>5</v>
      </c>
      <c r="J248">
        <v>4</v>
      </c>
      <c r="K248" t="s">
        <v>18</v>
      </c>
      <c r="L248">
        <v>3</v>
      </c>
      <c r="M248">
        <v>4</v>
      </c>
      <c r="N248" s="3">
        <v>2911</v>
      </c>
      <c r="O248" s="3" t="str">
        <f>IF(Table2[[#This Row],[MonthlyIncome]]&lt;=5000, "$1001 - $5000", IF(Table2[[#This Row],[MonthlyIncome]]&lt;=9000, "$5001 - $9000", IF(Table2[[#This Row],[MonthlyIncome]]&lt;=13000, "$9001 - $13000", IF(Table2[[#This Row],[MonthlyIncome]]&lt;=17000, "$13001 - $17000", IF(Table2[[#This Row],[MonthlyIncome]]&lt;=21000, "$17001 - $21000")))))</f>
        <v>$1001 - $5000</v>
      </c>
      <c r="P248">
        <v>1</v>
      </c>
      <c r="Q248">
        <v>2</v>
      </c>
      <c r="R248">
        <v>2</v>
      </c>
      <c r="S2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49" spans="1:19" ht="14.25" x14ac:dyDescent="0.2">
      <c r="A249">
        <v>30415188</v>
      </c>
      <c r="B249">
        <v>34</v>
      </c>
      <c r="C249" t="s">
        <v>25</v>
      </c>
      <c r="D249" t="s">
        <v>24</v>
      </c>
      <c r="E249" t="s">
        <v>22</v>
      </c>
      <c r="F249">
        <f>IF(Table2[[#This Row],[Attrition]]="Yes", 1, 0)</f>
        <v>0</v>
      </c>
      <c r="G249" t="s">
        <v>31</v>
      </c>
      <c r="H249" t="s">
        <v>23</v>
      </c>
      <c r="I249">
        <v>2</v>
      </c>
      <c r="J249">
        <v>4</v>
      </c>
      <c r="K249" t="s">
        <v>18</v>
      </c>
      <c r="L249">
        <v>4</v>
      </c>
      <c r="M249">
        <v>1</v>
      </c>
      <c r="N249" s="3">
        <v>5957</v>
      </c>
      <c r="O249" s="3" t="str">
        <f>IF(Table2[[#This Row],[MonthlyIncome]]&lt;=5000, "$1001 - $5000", IF(Table2[[#This Row],[MonthlyIncome]]&lt;=9000, "$5001 - $9000", IF(Table2[[#This Row],[MonthlyIncome]]&lt;=13000, "$9001 - $13000", IF(Table2[[#This Row],[MonthlyIncome]]&lt;=17000, "$13001 - $17000", IF(Table2[[#This Row],[MonthlyIncome]]&lt;=21000, "$17001 - $21000")))))</f>
        <v>$5001 - $9000</v>
      </c>
      <c r="P249">
        <v>6</v>
      </c>
      <c r="Q249">
        <v>3</v>
      </c>
      <c r="R249">
        <v>11</v>
      </c>
      <c r="S2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50" spans="1:19" ht="14.25" x14ac:dyDescent="0.2">
      <c r="A250">
        <v>17835457</v>
      </c>
      <c r="B250">
        <v>37</v>
      </c>
      <c r="C250" t="s">
        <v>20</v>
      </c>
      <c r="D250" t="s">
        <v>24</v>
      </c>
      <c r="E250" t="s">
        <v>22</v>
      </c>
      <c r="F250">
        <f>IF(Table2[[#This Row],[Attrition]]="Yes", 1, 0)</f>
        <v>0</v>
      </c>
      <c r="G250" t="s">
        <v>26</v>
      </c>
      <c r="H250" t="s">
        <v>23</v>
      </c>
      <c r="I250">
        <v>1</v>
      </c>
      <c r="J250">
        <v>2</v>
      </c>
      <c r="K250" t="s">
        <v>29</v>
      </c>
      <c r="L250">
        <v>3</v>
      </c>
      <c r="M250">
        <v>1</v>
      </c>
      <c r="N250" s="3">
        <v>3920</v>
      </c>
      <c r="O250" s="3" t="str">
        <f>IF(Table2[[#This Row],[MonthlyIncome]]&lt;=5000, "$1001 - $5000", IF(Table2[[#This Row],[MonthlyIncome]]&lt;=9000, "$5001 - $9000", IF(Table2[[#This Row],[MonthlyIncome]]&lt;=13000, "$9001 - $13000", IF(Table2[[#This Row],[MonthlyIncome]]&lt;=17000, "$13001 - $17000", IF(Table2[[#This Row],[MonthlyIncome]]&lt;=21000, "$17001 - $21000")))))</f>
        <v>$1001 - $5000</v>
      </c>
      <c r="P250">
        <v>2</v>
      </c>
      <c r="Q250">
        <v>2</v>
      </c>
      <c r="R250">
        <v>3</v>
      </c>
      <c r="S2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51" spans="1:19" ht="14.25" x14ac:dyDescent="0.2">
      <c r="A251">
        <v>41774235</v>
      </c>
      <c r="B251">
        <v>45</v>
      </c>
      <c r="C251" t="s">
        <v>25</v>
      </c>
      <c r="D251" t="s">
        <v>24</v>
      </c>
      <c r="E251" t="s">
        <v>22</v>
      </c>
      <c r="F251">
        <f>IF(Table2[[#This Row],[Attrition]]="Yes", 1, 0)</f>
        <v>0</v>
      </c>
      <c r="G251" t="s">
        <v>31</v>
      </c>
      <c r="H251" t="s">
        <v>23</v>
      </c>
      <c r="I251">
        <v>7</v>
      </c>
      <c r="J251">
        <v>4</v>
      </c>
      <c r="K251" t="s">
        <v>18</v>
      </c>
      <c r="L251">
        <v>1</v>
      </c>
      <c r="M251">
        <v>3</v>
      </c>
      <c r="N251" s="3">
        <v>6434</v>
      </c>
      <c r="O251" s="3" t="str">
        <f>IF(Table2[[#This Row],[MonthlyIncome]]&lt;=5000, "$1001 - $5000", IF(Table2[[#This Row],[MonthlyIncome]]&lt;=9000, "$5001 - $9000", IF(Table2[[#This Row],[MonthlyIncome]]&lt;=13000, "$9001 - $13000", IF(Table2[[#This Row],[MonthlyIncome]]&lt;=17000, "$13001 - $17000", IF(Table2[[#This Row],[MonthlyIncome]]&lt;=21000, "$17001 - $21000")))))</f>
        <v>$5001 - $9000</v>
      </c>
      <c r="P251">
        <v>4</v>
      </c>
      <c r="Q251">
        <v>3</v>
      </c>
      <c r="R251">
        <v>3</v>
      </c>
      <c r="S2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52" spans="1:19" ht="14.25" x14ac:dyDescent="0.2">
      <c r="A252">
        <v>81466189</v>
      </c>
      <c r="B252">
        <v>37</v>
      </c>
      <c r="C252" t="s">
        <v>25</v>
      </c>
      <c r="D252" t="s">
        <v>30</v>
      </c>
      <c r="E252" t="s">
        <v>16</v>
      </c>
      <c r="F252">
        <f>IF(Table2[[#This Row],[Attrition]]="Yes", 1, 0)</f>
        <v>1</v>
      </c>
      <c r="G252" t="s">
        <v>31</v>
      </c>
      <c r="H252" t="s">
        <v>23</v>
      </c>
      <c r="I252">
        <v>10</v>
      </c>
      <c r="J252">
        <v>3</v>
      </c>
      <c r="K252" t="s">
        <v>29</v>
      </c>
      <c r="L252">
        <v>1</v>
      </c>
      <c r="M252">
        <v>3</v>
      </c>
      <c r="N252" s="3">
        <v>10048</v>
      </c>
      <c r="O252" s="3" t="str">
        <f>IF(Table2[[#This Row],[MonthlyIncome]]&lt;=5000, "$1001 - $5000", IF(Table2[[#This Row],[MonthlyIncome]]&lt;=9000, "$5001 - $9000", IF(Table2[[#This Row],[MonthlyIncome]]&lt;=13000, "$9001 - $13000", IF(Table2[[#This Row],[MonthlyIncome]]&lt;=17000, "$13001 - $17000", IF(Table2[[#This Row],[MonthlyIncome]]&lt;=21000, "$17001 - $21000")))))</f>
        <v>$9001 - $13000</v>
      </c>
      <c r="P252">
        <v>6</v>
      </c>
      <c r="Q252">
        <v>3</v>
      </c>
      <c r="R252">
        <v>1</v>
      </c>
      <c r="S2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53" spans="1:19" ht="14.25" x14ac:dyDescent="0.2">
      <c r="A253">
        <v>16426072</v>
      </c>
      <c r="B253">
        <v>39</v>
      </c>
      <c r="C253" t="s">
        <v>20</v>
      </c>
      <c r="D253" t="s">
        <v>19</v>
      </c>
      <c r="E253" t="s">
        <v>22</v>
      </c>
      <c r="F253">
        <f>IF(Table2[[#This Row],[Attrition]]="Yes", 1, 0)</f>
        <v>0</v>
      </c>
      <c r="G253" t="s">
        <v>32</v>
      </c>
      <c r="H253" t="s">
        <v>23</v>
      </c>
      <c r="I253">
        <v>2</v>
      </c>
      <c r="J253">
        <v>4</v>
      </c>
      <c r="K253" t="s">
        <v>37</v>
      </c>
      <c r="L253">
        <v>3</v>
      </c>
      <c r="M253">
        <v>3</v>
      </c>
      <c r="N253" s="3">
        <v>10938</v>
      </c>
      <c r="O253" s="3" t="str">
        <f>IF(Table2[[#This Row],[MonthlyIncome]]&lt;=5000, "$1001 - $5000", IF(Table2[[#This Row],[MonthlyIncome]]&lt;=9000, "$5001 - $9000", IF(Table2[[#This Row],[MonthlyIncome]]&lt;=13000, "$9001 - $13000", IF(Table2[[#This Row],[MonthlyIncome]]&lt;=17000, "$13001 - $17000", IF(Table2[[#This Row],[MonthlyIncome]]&lt;=21000, "$17001 - $21000")))))</f>
        <v>$9001 - $13000</v>
      </c>
      <c r="P253">
        <v>0</v>
      </c>
      <c r="Q253">
        <v>3</v>
      </c>
      <c r="R253">
        <v>19</v>
      </c>
      <c r="S2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254" spans="1:19" ht="14.25" x14ac:dyDescent="0.2">
      <c r="A254">
        <v>12325464</v>
      </c>
      <c r="B254">
        <v>29</v>
      </c>
      <c r="C254" t="s">
        <v>25</v>
      </c>
      <c r="D254" t="s">
        <v>19</v>
      </c>
      <c r="E254" t="s">
        <v>22</v>
      </c>
      <c r="F254">
        <f>IF(Table2[[#This Row],[Attrition]]="Yes", 1, 0)</f>
        <v>0</v>
      </c>
      <c r="G254" t="s">
        <v>26</v>
      </c>
      <c r="H254" t="s">
        <v>23</v>
      </c>
      <c r="I254">
        <v>15</v>
      </c>
      <c r="J254">
        <v>3</v>
      </c>
      <c r="K254" t="s">
        <v>18</v>
      </c>
      <c r="L254">
        <v>3</v>
      </c>
      <c r="M254">
        <v>4</v>
      </c>
      <c r="N254" s="3">
        <v>2340</v>
      </c>
      <c r="O254" s="3" t="str">
        <f>IF(Table2[[#This Row],[MonthlyIncome]]&lt;=5000, "$1001 - $5000", IF(Table2[[#This Row],[MonthlyIncome]]&lt;=9000, "$5001 - $9000", IF(Table2[[#This Row],[MonthlyIncome]]&lt;=13000, "$9001 - $13000", IF(Table2[[#This Row],[MonthlyIncome]]&lt;=17000, "$13001 - $17000", IF(Table2[[#This Row],[MonthlyIncome]]&lt;=21000, "$17001 - $21000")))))</f>
        <v>$1001 - $5000</v>
      </c>
      <c r="P254">
        <v>1</v>
      </c>
      <c r="Q254">
        <v>3</v>
      </c>
      <c r="R254">
        <v>6</v>
      </c>
      <c r="S2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55" spans="1:19" ht="14.25" x14ac:dyDescent="0.2">
      <c r="A255">
        <v>29516981</v>
      </c>
      <c r="B255">
        <v>42</v>
      </c>
      <c r="C255" t="s">
        <v>20</v>
      </c>
      <c r="D255" t="s">
        <v>19</v>
      </c>
      <c r="E255" t="s">
        <v>22</v>
      </c>
      <c r="F255">
        <f>IF(Table2[[#This Row],[Attrition]]="Yes", 1, 0)</f>
        <v>0</v>
      </c>
      <c r="G255" t="s">
        <v>26</v>
      </c>
      <c r="H255" t="s">
        <v>23</v>
      </c>
      <c r="I255">
        <v>17</v>
      </c>
      <c r="J255">
        <v>2</v>
      </c>
      <c r="K255" t="s">
        <v>18</v>
      </c>
      <c r="L255">
        <v>4</v>
      </c>
      <c r="M255">
        <v>1</v>
      </c>
      <c r="N255" s="3">
        <v>6545</v>
      </c>
      <c r="O255" s="3" t="str">
        <f>IF(Table2[[#This Row],[MonthlyIncome]]&lt;=5000, "$1001 - $5000", IF(Table2[[#This Row],[MonthlyIncome]]&lt;=9000, "$5001 - $9000", IF(Table2[[#This Row],[MonthlyIncome]]&lt;=13000, "$9001 - $13000", IF(Table2[[#This Row],[MonthlyIncome]]&lt;=17000, "$13001 - $17000", IF(Table2[[#This Row],[MonthlyIncome]]&lt;=21000, "$17001 - $21000")))))</f>
        <v>$5001 - $9000</v>
      </c>
      <c r="P255">
        <v>3</v>
      </c>
      <c r="Q255">
        <v>3</v>
      </c>
      <c r="R255">
        <v>3</v>
      </c>
      <c r="S2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56" spans="1:19" ht="14.25" x14ac:dyDescent="0.2">
      <c r="A256">
        <v>67591497</v>
      </c>
      <c r="B256">
        <v>29</v>
      </c>
      <c r="C256" t="s">
        <v>25</v>
      </c>
      <c r="D256" t="s">
        <v>30</v>
      </c>
      <c r="E256" t="s">
        <v>22</v>
      </c>
      <c r="F256">
        <f>IF(Table2[[#This Row],[Attrition]]="Yes", 1, 0)</f>
        <v>0</v>
      </c>
      <c r="G256" t="s">
        <v>21</v>
      </c>
      <c r="H256" t="s">
        <v>17</v>
      </c>
      <c r="I256">
        <v>20</v>
      </c>
      <c r="J256">
        <v>2</v>
      </c>
      <c r="K256" t="s">
        <v>36</v>
      </c>
      <c r="L256">
        <v>4</v>
      </c>
      <c r="M256">
        <v>4</v>
      </c>
      <c r="N256" s="3">
        <v>6931</v>
      </c>
      <c r="O256" s="3" t="str">
        <f>IF(Table2[[#This Row],[MonthlyIncome]]&lt;=5000, "$1001 - $5000", IF(Table2[[#This Row],[MonthlyIncome]]&lt;=9000, "$5001 - $9000", IF(Table2[[#This Row],[MonthlyIncome]]&lt;=13000, "$9001 - $13000", IF(Table2[[#This Row],[MonthlyIncome]]&lt;=17000, "$13001 - $17000", IF(Table2[[#This Row],[MonthlyIncome]]&lt;=21000, "$17001 - $21000")))))</f>
        <v>$5001 - $9000</v>
      </c>
      <c r="P256">
        <v>2</v>
      </c>
      <c r="Q256">
        <v>3</v>
      </c>
      <c r="R256">
        <v>3</v>
      </c>
      <c r="S2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57" spans="1:19" ht="14.25" x14ac:dyDescent="0.2">
      <c r="A257">
        <v>18438099</v>
      </c>
      <c r="B257">
        <v>25</v>
      </c>
      <c r="C257" t="s">
        <v>20</v>
      </c>
      <c r="D257" t="s">
        <v>24</v>
      </c>
      <c r="E257" t="s">
        <v>22</v>
      </c>
      <c r="F257">
        <f>IF(Table2[[#This Row],[Attrition]]="Yes", 1, 0)</f>
        <v>0</v>
      </c>
      <c r="G257" t="s">
        <v>31</v>
      </c>
      <c r="H257" t="s">
        <v>23</v>
      </c>
      <c r="I257">
        <v>1</v>
      </c>
      <c r="J257">
        <v>3</v>
      </c>
      <c r="K257" t="s">
        <v>18</v>
      </c>
      <c r="L257">
        <v>1</v>
      </c>
      <c r="M257">
        <v>3</v>
      </c>
      <c r="N257" s="3">
        <v>4898</v>
      </c>
      <c r="O257" s="3" t="str">
        <f>IF(Table2[[#This Row],[MonthlyIncome]]&lt;=5000, "$1001 - $5000", IF(Table2[[#This Row],[MonthlyIncome]]&lt;=9000, "$5001 - $9000", IF(Table2[[#This Row],[MonthlyIncome]]&lt;=13000, "$9001 - $13000", IF(Table2[[#This Row],[MonthlyIncome]]&lt;=17000, "$13001 - $17000", IF(Table2[[#This Row],[MonthlyIncome]]&lt;=21000, "$17001 - $21000")))))</f>
        <v>$1001 - $5000</v>
      </c>
      <c r="P257">
        <v>0</v>
      </c>
      <c r="Q257">
        <v>3</v>
      </c>
      <c r="R257">
        <v>4</v>
      </c>
      <c r="S2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58" spans="1:19" ht="14.25" x14ac:dyDescent="0.2">
      <c r="A258">
        <v>14558989</v>
      </c>
      <c r="B258">
        <v>42</v>
      </c>
      <c r="C258" t="s">
        <v>20</v>
      </c>
      <c r="D258" t="s">
        <v>30</v>
      </c>
      <c r="E258" t="s">
        <v>22</v>
      </c>
      <c r="F258">
        <f>IF(Table2[[#This Row],[Attrition]]="Yes", 1, 0)</f>
        <v>0</v>
      </c>
      <c r="G258" t="s">
        <v>28</v>
      </c>
      <c r="H258" t="s">
        <v>23</v>
      </c>
      <c r="I258">
        <v>2</v>
      </c>
      <c r="J258">
        <v>3</v>
      </c>
      <c r="K258" t="s">
        <v>29</v>
      </c>
      <c r="L258">
        <v>4</v>
      </c>
      <c r="M258">
        <v>1</v>
      </c>
      <c r="N258" s="3">
        <v>2593</v>
      </c>
      <c r="O258" s="3" t="str">
        <f>IF(Table2[[#This Row],[MonthlyIncome]]&lt;=5000, "$1001 - $5000", IF(Table2[[#This Row],[MonthlyIncome]]&lt;=9000, "$5001 - $9000", IF(Table2[[#This Row],[MonthlyIncome]]&lt;=13000, "$9001 - $13000", IF(Table2[[#This Row],[MonthlyIncome]]&lt;=17000, "$13001 - $17000", IF(Table2[[#This Row],[MonthlyIncome]]&lt;=21000, "$17001 - $21000")))))</f>
        <v>$1001 - $5000</v>
      </c>
      <c r="P258">
        <v>0</v>
      </c>
      <c r="Q258">
        <v>3</v>
      </c>
      <c r="R258">
        <v>9</v>
      </c>
      <c r="S2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59" spans="1:19" ht="14.25" x14ac:dyDescent="0.2">
      <c r="A259">
        <v>23564587</v>
      </c>
      <c r="B259">
        <v>40</v>
      </c>
      <c r="C259" t="s">
        <v>25</v>
      </c>
      <c r="D259" t="s">
        <v>30</v>
      </c>
      <c r="E259" t="s">
        <v>22</v>
      </c>
      <c r="F259">
        <f>IF(Table2[[#This Row],[Attrition]]="Yes", 1, 0)</f>
        <v>0</v>
      </c>
      <c r="G259" t="s">
        <v>35</v>
      </c>
      <c r="H259" t="s">
        <v>23</v>
      </c>
      <c r="I259">
        <v>2</v>
      </c>
      <c r="J259">
        <v>2</v>
      </c>
      <c r="K259" t="s">
        <v>29</v>
      </c>
      <c r="L259">
        <v>1</v>
      </c>
      <c r="M259">
        <v>3</v>
      </c>
      <c r="N259" s="3">
        <v>19436</v>
      </c>
      <c r="O259" s="3" t="str">
        <f>IF(Table2[[#This Row],[MonthlyIncome]]&lt;=5000, "$1001 - $5000", IF(Table2[[#This Row],[MonthlyIncome]]&lt;=9000, "$5001 - $9000", IF(Table2[[#This Row],[MonthlyIncome]]&lt;=13000, "$9001 - $13000", IF(Table2[[#This Row],[MonthlyIncome]]&lt;=17000, "$13001 - $17000", IF(Table2[[#This Row],[MonthlyIncome]]&lt;=21000, "$17001 - $21000")))))</f>
        <v>$17001 - $21000</v>
      </c>
      <c r="P259">
        <v>0</v>
      </c>
      <c r="Q259">
        <v>3</v>
      </c>
      <c r="R259">
        <v>21</v>
      </c>
      <c r="S2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260" spans="1:19" ht="14.25" x14ac:dyDescent="0.2">
      <c r="A260">
        <v>32938752</v>
      </c>
      <c r="B260">
        <v>51</v>
      </c>
      <c r="C260" t="s">
        <v>25</v>
      </c>
      <c r="D260" t="s">
        <v>24</v>
      </c>
      <c r="E260" t="s">
        <v>22</v>
      </c>
      <c r="F260">
        <f>IF(Table2[[#This Row],[Attrition]]="Yes", 1, 0)</f>
        <v>0</v>
      </c>
      <c r="G260" t="s">
        <v>26</v>
      </c>
      <c r="H260" t="s">
        <v>23</v>
      </c>
      <c r="I260">
        <v>1</v>
      </c>
      <c r="J260">
        <v>3</v>
      </c>
      <c r="K260" t="s">
        <v>18</v>
      </c>
      <c r="L260">
        <v>3</v>
      </c>
      <c r="M260">
        <v>4</v>
      </c>
      <c r="N260" s="3">
        <v>2723</v>
      </c>
      <c r="O260" s="3" t="str">
        <f>IF(Table2[[#This Row],[MonthlyIncome]]&lt;=5000, "$1001 - $5000", IF(Table2[[#This Row],[MonthlyIncome]]&lt;=9000, "$5001 - $9000", IF(Table2[[#This Row],[MonthlyIncome]]&lt;=13000, "$9001 - $13000", IF(Table2[[#This Row],[MonthlyIncome]]&lt;=17000, "$13001 - $17000", IF(Table2[[#This Row],[MonthlyIncome]]&lt;=21000, "$17001 - $21000")))))</f>
        <v>$1001 - $5000</v>
      </c>
      <c r="P260">
        <v>1</v>
      </c>
      <c r="Q260">
        <v>2</v>
      </c>
      <c r="R260">
        <v>1</v>
      </c>
      <c r="S2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61" spans="1:19" ht="14.25" x14ac:dyDescent="0.2">
      <c r="A261">
        <v>55381937</v>
      </c>
      <c r="B261">
        <v>31</v>
      </c>
      <c r="C261" t="s">
        <v>25</v>
      </c>
      <c r="D261" t="s">
        <v>19</v>
      </c>
      <c r="E261" t="s">
        <v>16</v>
      </c>
      <c r="F261">
        <f>IF(Table2[[#This Row],[Attrition]]="Yes", 1, 0)</f>
        <v>1</v>
      </c>
      <c r="G261" t="s">
        <v>28</v>
      </c>
      <c r="H261" t="s">
        <v>23</v>
      </c>
      <c r="I261">
        <v>29</v>
      </c>
      <c r="J261">
        <v>2</v>
      </c>
      <c r="K261" t="s">
        <v>29</v>
      </c>
      <c r="L261">
        <v>3</v>
      </c>
      <c r="M261">
        <v>2</v>
      </c>
      <c r="N261" s="3">
        <v>3479</v>
      </c>
      <c r="O261" s="3" t="str">
        <f>IF(Table2[[#This Row],[MonthlyIncome]]&lt;=5000, "$1001 - $5000", IF(Table2[[#This Row],[MonthlyIncome]]&lt;=9000, "$5001 - $9000", IF(Table2[[#This Row],[MonthlyIncome]]&lt;=13000, "$9001 - $13000", IF(Table2[[#This Row],[MonthlyIncome]]&lt;=17000, "$13001 - $17000", IF(Table2[[#This Row],[MonthlyIncome]]&lt;=21000, "$17001 - $21000")))))</f>
        <v>$1001 - $5000</v>
      </c>
      <c r="P261">
        <v>0</v>
      </c>
      <c r="Q261">
        <v>4</v>
      </c>
      <c r="R261">
        <v>5</v>
      </c>
      <c r="S2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62" spans="1:19" ht="14.25" x14ac:dyDescent="0.2">
      <c r="A262">
        <v>48863799</v>
      </c>
      <c r="B262">
        <v>32</v>
      </c>
      <c r="C262" t="s">
        <v>25</v>
      </c>
      <c r="D262" t="s">
        <v>24</v>
      </c>
      <c r="E262" t="s">
        <v>22</v>
      </c>
      <c r="F262">
        <f>IF(Table2[[#This Row],[Attrition]]="Yes", 1, 0)</f>
        <v>0</v>
      </c>
      <c r="G262" t="s">
        <v>28</v>
      </c>
      <c r="H262" t="s">
        <v>23</v>
      </c>
      <c r="I262">
        <v>7</v>
      </c>
      <c r="J262">
        <v>3</v>
      </c>
      <c r="K262" t="s">
        <v>18</v>
      </c>
      <c r="L262">
        <v>2</v>
      </c>
      <c r="M262">
        <v>2</v>
      </c>
      <c r="N262" s="3">
        <v>2794</v>
      </c>
      <c r="O262" s="3" t="str">
        <f>IF(Table2[[#This Row],[MonthlyIncome]]&lt;=5000, "$1001 - $5000", IF(Table2[[#This Row],[MonthlyIncome]]&lt;=9000, "$5001 - $9000", IF(Table2[[#This Row],[MonthlyIncome]]&lt;=13000, "$9001 - $13000", IF(Table2[[#This Row],[MonthlyIncome]]&lt;=17000, "$13001 - $17000", IF(Table2[[#This Row],[MonthlyIncome]]&lt;=21000, "$17001 - $21000")))))</f>
        <v>$1001 - $5000</v>
      </c>
      <c r="P262">
        <v>1</v>
      </c>
      <c r="Q262">
        <v>1</v>
      </c>
      <c r="R262">
        <v>5</v>
      </c>
      <c r="S2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63" spans="1:19" ht="14.25" x14ac:dyDescent="0.2">
      <c r="A263">
        <v>24515879</v>
      </c>
      <c r="B263">
        <v>38</v>
      </c>
      <c r="C263" t="s">
        <v>25</v>
      </c>
      <c r="D263" t="s">
        <v>24</v>
      </c>
      <c r="E263" t="s">
        <v>22</v>
      </c>
      <c r="F263">
        <f>IF(Table2[[#This Row],[Attrition]]="Yes", 1, 0)</f>
        <v>0</v>
      </c>
      <c r="G263" t="s">
        <v>21</v>
      </c>
      <c r="H263" t="s">
        <v>17</v>
      </c>
      <c r="I263">
        <v>2</v>
      </c>
      <c r="J263">
        <v>2</v>
      </c>
      <c r="K263" t="s">
        <v>18</v>
      </c>
      <c r="L263">
        <v>4</v>
      </c>
      <c r="M263">
        <v>4</v>
      </c>
      <c r="N263" s="3">
        <v>5249</v>
      </c>
      <c r="O263" s="3" t="str">
        <f>IF(Table2[[#This Row],[MonthlyIncome]]&lt;=5000, "$1001 - $5000", IF(Table2[[#This Row],[MonthlyIncome]]&lt;=9000, "$5001 - $9000", IF(Table2[[#This Row],[MonthlyIncome]]&lt;=13000, "$9001 - $13000", IF(Table2[[#This Row],[MonthlyIncome]]&lt;=17000, "$13001 - $17000", IF(Table2[[#This Row],[MonthlyIncome]]&lt;=21000, "$17001 - $21000")))))</f>
        <v>$5001 - $9000</v>
      </c>
      <c r="P263">
        <v>3</v>
      </c>
      <c r="Q263">
        <v>3</v>
      </c>
      <c r="R263">
        <v>8</v>
      </c>
      <c r="S2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64" spans="1:19" ht="14.25" x14ac:dyDescent="0.2">
      <c r="A264">
        <v>25654577</v>
      </c>
      <c r="B264">
        <v>32</v>
      </c>
      <c r="C264" t="s">
        <v>25</v>
      </c>
      <c r="D264" t="s">
        <v>19</v>
      </c>
      <c r="E264" t="s">
        <v>22</v>
      </c>
      <c r="F264">
        <f>IF(Table2[[#This Row],[Attrition]]="Yes", 1, 0)</f>
        <v>0</v>
      </c>
      <c r="G264" t="s">
        <v>28</v>
      </c>
      <c r="H264" t="s">
        <v>23</v>
      </c>
      <c r="I264">
        <v>2</v>
      </c>
      <c r="J264">
        <v>1</v>
      </c>
      <c r="K264" t="s">
        <v>37</v>
      </c>
      <c r="L264">
        <v>4</v>
      </c>
      <c r="M264">
        <v>1</v>
      </c>
      <c r="N264" s="3">
        <v>2176</v>
      </c>
      <c r="O264" s="3" t="str">
        <f>IF(Table2[[#This Row],[MonthlyIncome]]&lt;=5000, "$1001 - $5000", IF(Table2[[#This Row],[MonthlyIncome]]&lt;=9000, "$5001 - $9000", IF(Table2[[#This Row],[MonthlyIncome]]&lt;=13000, "$9001 - $13000", IF(Table2[[#This Row],[MonthlyIncome]]&lt;=17000, "$13001 - $17000", IF(Table2[[#This Row],[MonthlyIncome]]&lt;=21000, "$17001 - $21000")))))</f>
        <v>$1001 - $5000</v>
      </c>
      <c r="P264">
        <v>4</v>
      </c>
      <c r="Q264">
        <v>3</v>
      </c>
      <c r="R264">
        <v>6</v>
      </c>
      <c r="S2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65" spans="1:19" ht="14.25" x14ac:dyDescent="0.2">
      <c r="A265">
        <v>48427275</v>
      </c>
      <c r="B265">
        <v>46</v>
      </c>
      <c r="C265" t="s">
        <v>20</v>
      </c>
      <c r="D265" t="s">
        <v>24</v>
      </c>
      <c r="E265" t="s">
        <v>22</v>
      </c>
      <c r="F265">
        <f>IF(Table2[[#This Row],[Attrition]]="Yes", 1, 0)</f>
        <v>0</v>
      </c>
      <c r="G265" t="s">
        <v>33</v>
      </c>
      <c r="H265" t="s">
        <v>17</v>
      </c>
      <c r="I265">
        <v>2</v>
      </c>
      <c r="J265">
        <v>3</v>
      </c>
      <c r="K265" t="s">
        <v>37</v>
      </c>
      <c r="L265">
        <v>3</v>
      </c>
      <c r="M265">
        <v>2</v>
      </c>
      <c r="N265" s="3">
        <v>16872</v>
      </c>
      <c r="O265" s="3" t="str">
        <f>IF(Table2[[#This Row],[MonthlyIncome]]&lt;=5000, "$1001 - $5000", IF(Table2[[#This Row],[MonthlyIncome]]&lt;=9000, "$5001 - $9000", IF(Table2[[#This Row],[MonthlyIncome]]&lt;=13000, "$9001 - $13000", IF(Table2[[#This Row],[MonthlyIncome]]&lt;=17000, "$13001 - $17000", IF(Table2[[#This Row],[MonthlyIncome]]&lt;=21000, "$17001 - $21000")))))</f>
        <v>$13001 - $17000</v>
      </c>
      <c r="P265">
        <v>3</v>
      </c>
      <c r="Q265">
        <v>2</v>
      </c>
      <c r="R265">
        <v>7</v>
      </c>
      <c r="S2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66" spans="1:19" ht="14.25" x14ac:dyDescent="0.2">
      <c r="A266">
        <v>35700578</v>
      </c>
      <c r="B266">
        <v>28</v>
      </c>
      <c r="C266" t="s">
        <v>25</v>
      </c>
      <c r="D266" t="s">
        <v>19</v>
      </c>
      <c r="E266" t="s">
        <v>16</v>
      </c>
      <c r="F266">
        <f>IF(Table2[[#This Row],[Attrition]]="Yes", 1, 0)</f>
        <v>1</v>
      </c>
      <c r="G266" t="s">
        <v>28</v>
      </c>
      <c r="H266" t="s">
        <v>23</v>
      </c>
      <c r="I266">
        <v>2</v>
      </c>
      <c r="J266">
        <v>4</v>
      </c>
      <c r="K266" t="s">
        <v>18</v>
      </c>
      <c r="L266">
        <v>1</v>
      </c>
      <c r="M266">
        <v>3</v>
      </c>
      <c r="N266" s="3">
        <v>3485</v>
      </c>
      <c r="O266" s="3" t="str">
        <f>IF(Table2[[#This Row],[MonthlyIncome]]&lt;=5000, "$1001 - $5000", IF(Table2[[#This Row],[MonthlyIncome]]&lt;=9000, "$5001 - $9000", IF(Table2[[#This Row],[MonthlyIncome]]&lt;=13000, "$9001 - $13000", IF(Table2[[#This Row],[MonthlyIncome]]&lt;=17000, "$13001 - $17000", IF(Table2[[#This Row],[MonthlyIncome]]&lt;=21000, "$17001 - $21000")))))</f>
        <v>$1001 - $5000</v>
      </c>
      <c r="P266">
        <v>2</v>
      </c>
      <c r="Q266">
        <v>1</v>
      </c>
      <c r="R266">
        <v>0</v>
      </c>
      <c r="S2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67" spans="1:19" ht="14.25" x14ac:dyDescent="0.2">
      <c r="A267">
        <v>50954240</v>
      </c>
      <c r="B267">
        <v>29</v>
      </c>
      <c r="C267" t="s">
        <v>25</v>
      </c>
      <c r="D267" t="s">
        <v>24</v>
      </c>
      <c r="E267" t="s">
        <v>22</v>
      </c>
      <c r="F267">
        <f>IF(Table2[[#This Row],[Attrition]]="Yes", 1, 0)</f>
        <v>0</v>
      </c>
      <c r="G267" t="s">
        <v>21</v>
      </c>
      <c r="H267" t="s">
        <v>17</v>
      </c>
      <c r="I267">
        <v>2</v>
      </c>
      <c r="J267">
        <v>3</v>
      </c>
      <c r="K267" t="s">
        <v>29</v>
      </c>
      <c r="L267">
        <v>1</v>
      </c>
      <c r="M267">
        <v>2</v>
      </c>
      <c r="N267" s="3">
        <v>6644</v>
      </c>
      <c r="O267" s="3" t="str">
        <f>IF(Table2[[#This Row],[MonthlyIncome]]&lt;=5000, "$1001 - $5000", IF(Table2[[#This Row],[MonthlyIncome]]&lt;=9000, "$5001 - $9000", IF(Table2[[#This Row],[MonthlyIncome]]&lt;=13000, "$9001 - $13000", IF(Table2[[#This Row],[MonthlyIncome]]&lt;=17000, "$13001 - $17000", IF(Table2[[#This Row],[MonthlyIncome]]&lt;=21000, "$17001 - $21000")))))</f>
        <v>$5001 - $9000</v>
      </c>
      <c r="P267">
        <v>2</v>
      </c>
      <c r="Q267">
        <v>3</v>
      </c>
      <c r="R267">
        <v>0</v>
      </c>
      <c r="S2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68" spans="1:19" ht="14.25" x14ac:dyDescent="0.2">
      <c r="A268">
        <v>66074101</v>
      </c>
      <c r="B268">
        <v>31</v>
      </c>
      <c r="C268" t="s">
        <v>25</v>
      </c>
      <c r="D268" t="s">
        <v>24</v>
      </c>
      <c r="E268" t="s">
        <v>22</v>
      </c>
      <c r="F268">
        <f>IF(Table2[[#This Row],[Attrition]]="Yes", 1, 0)</f>
        <v>0</v>
      </c>
      <c r="G268" t="s">
        <v>32</v>
      </c>
      <c r="H268" t="s">
        <v>23</v>
      </c>
      <c r="I268">
        <v>23</v>
      </c>
      <c r="J268">
        <v>3</v>
      </c>
      <c r="K268" t="s">
        <v>29</v>
      </c>
      <c r="L268">
        <v>2</v>
      </c>
      <c r="M268">
        <v>4</v>
      </c>
      <c r="N268" s="3">
        <v>5582</v>
      </c>
      <c r="O268" s="3" t="str">
        <f>IF(Table2[[#This Row],[MonthlyIncome]]&lt;=5000, "$1001 - $5000", IF(Table2[[#This Row],[MonthlyIncome]]&lt;=9000, "$5001 - $9000", IF(Table2[[#This Row],[MonthlyIncome]]&lt;=13000, "$9001 - $13000", IF(Table2[[#This Row],[MonthlyIncome]]&lt;=17000, "$13001 - $17000", IF(Table2[[#This Row],[MonthlyIncome]]&lt;=21000, "$17001 - $21000")))))</f>
        <v>$5001 - $9000</v>
      </c>
      <c r="P268">
        <v>0</v>
      </c>
      <c r="Q268">
        <v>3</v>
      </c>
      <c r="R268">
        <v>9</v>
      </c>
      <c r="S2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69" spans="1:19" ht="14.25" x14ac:dyDescent="0.2">
      <c r="A269">
        <v>54549638</v>
      </c>
      <c r="B269">
        <v>25</v>
      </c>
      <c r="C269" t="s">
        <v>25</v>
      </c>
      <c r="D269" t="s">
        <v>30</v>
      </c>
      <c r="E269" t="s">
        <v>22</v>
      </c>
      <c r="F269">
        <f>IF(Table2[[#This Row],[Attrition]]="Yes", 1, 0)</f>
        <v>0</v>
      </c>
      <c r="G269" t="s">
        <v>32</v>
      </c>
      <c r="H269" t="s">
        <v>23</v>
      </c>
      <c r="I269">
        <v>5</v>
      </c>
      <c r="J269">
        <v>2</v>
      </c>
      <c r="K269" t="s">
        <v>18</v>
      </c>
      <c r="L269">
        <v>2</v>
      </c>
      <c r="M269">
        <v>1</v>
      </c>
      <c r="N269" s="3">
        <v>4000</v>
      </c>
      <c r="O269" s="3" t="str">
        <f>IF(Table2[[#This Row],[MonthlyIncome]]&lt;=5000, "$1001 - $5000", IF(Table2[[#This Row],[MonthlyIncome]]&lt;=9000, "$5001 - $9000", IF(Table2[[#This Row],[MonthlyIncome]]&lt;=13000, "$9001 - $13000", IF(Table2[[#This Row],[MonthlyIncome]]&lt;=17000, "$13001 - $17000", IF(Table2[[#This Row],[MonthlyIncome]]&lt;=21000, "$17001 - $21000")))))</f>
        <v>$1001 - $5000</v>
      </c>
      <c r="P269">
        <v>1</v>
      </c>
      <c r="Q269">
        <v>3</v>
      </c>
      <c r="R269">
        <v>6</v>
      </c>
      <c r="S2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70" spans="1:19" ht="14.25" x14ac:dyDescent="0.2">
      <c r="A270">
        <v>54597644</v>
      </c>
      <c r="B270">
        <v>45</v>
      </c>
      <c r="C270" t="s">
        <v>25</v>
      </c>
      <c r="D270" t="s">
        <v>24</v>
      </c>
      <c r="E270" t="s">
        <v>22</v>
      </c>
      <c r="F270">
        <f>IF(Table2[[#This Row],[Attrition]]="Yes", 1, 0)</f>
        <v>0</v>
      </c>
      <c r="G270" t="s">
        <v>32</v>
      </c>
      <c r="H270" t="s">
        <v>23</v>
      </c>
      <c r="I270">
        <v>20</v>
      </c>
      <c r="J270">
        <v>2</v>
      </c>
      <c r="K270" t="s">
        <v>29</v>
      </c>
      <c r="L270">
        <v>3</v>
      </c>
      <c r="M270">
        <v>4</v>
      </c>
      <c r="N270" s="3">
        <v>13496</v>
      </c>
      <c r="O270" s="3" t="str">
        <f>IF(Table2[[#This Row],[MonthlyIncome]]&lt;=5000, "$1001 - $5000", IF(Table2[[#This Row],[MonthlyIncome]]&lt;=9000, "$5001 - $9000", IF(Table2[[#This Row],[MonthlyIncome]]&lt;=13000, "$9001 - $13000", IF(Table2[[#This Row],[MonthlyIncome]]&lt;=17000, "$13001 - $17000", IF(Table2[[#This Row],[MonthlyIncome]]&lt;=21000, "$17001 - $21000")))))</f>
        <v>$13001 - $17000</v>
      </c>
      <c r="P270">
        <v>0</v>
      </c>
      <c r="Q270">
        <v>3</v>
      </c>
      <c r="R270">
        <v>20</v>
      </c>
      <c r="S2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271" spans="1:19" ht="14.25" x14ac:dyDescent="0.2">
      <c r="A271">
        <v>27403967</v>
      </c>
      <c r="B271">
        <v>36</v>
      </c>
      <c r="C271" t="s">
        <v>25</v>
      </c>
      <c r="D271" t="s">
        <v>24</v>
      </c>
      <c r="E271" t="s">
        <v>22</v>
      </c>
      <c r="F271">
        <f>IF(Table2[[#This Row],[Attrition]]="Yes", 1, 0)</f>
        <v>0</v>
      </c>
      <c r="G271" t="s">
        <v>28</v>
      </c>
      <c r="H271" t="s">
        <v>23</v>
      </c>
      <c r="I271">
        <v>6</v>
      </c>
      <c r="J271">
        <v>3</v>
      </c>
      <c r="K271" t="s">
        <v>18</v>
      </c>
      <c r="L271">
        <v>4</v>
      </c>
      <c r="M271">
        <v>4</v>
      </c>
      <c r="N271" s="3">
        <v>3210</v>
      </c>
      <c r="O271" s="3" t="str">
        <f>IF(Table2[[#This Row],[MonthlyIncome]]&lt;=5000, "$1001 - $5000", IF(Table2[[#This Row],[MonthlyIncome]]&lt;=9000, "$5001 - $9000", IF(Table2[[#This Row],[MonthlyIncome]]&lt;=13000, "$9001 - $13000", IF(Table2[[#This Row],[MonthlyIncome]]&lt;=17000, "$13001 - $17000", IF(Table2[[#This Row],[MonthlyIncome]]&lt;=21000, "$17001 - $21000")))))</f>
        <v>$1001 - $5000</v>
      </c>
      <c r="P271">
        <v>0</v>
      </c>
      <c r="Q271">
        <v>3</v>
      </c>
      <c r="R271">
        <v>15</v>
      </c>
      <c r="S2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272" spans="1:19" ht="14.25" x14ac:dyDescent="0.2">
      <c r="A272">
        <v>51022838</v>
      </c>
      <c r="B272">
        <v>55</v>
      </c>
      <c r="C272" t="s">
        <v>25</v>
      </c>
      <c r="D272" t="s">
        <v>19</v>
      </c>
      <c r="E272" t="s">
        <v>22</v>
      </c>
      <c r="F272">
        <f>IF(Table2[[#This Row],[Attrition]]="Yes", 1, 0)</f>
        <v>0</v>
      </c>
      <c r="G272" t="s">
        <v>33</v>
      </c>
      <c r="H272" t="s">
        <v>23</v>
      </c>
      <c r="I272">
        <v>1</v>
      </c>
      <c r="J272">
        <v>3</v>
      </c>
      <c r="K272" t="s">
        <v>29</v>
      </c>
      <c r="L272">
        <v>4</v>
      </c>
      <c r="M272">
        <v>1</v>
      </c>
      <c r="N272" s="3">
        <v>19045</v>
      </c>
      <c r="O272" s="3" t="str">
        <f>IF(Table2[[#This Row],[MonthlyIncome]]&lt;=5000, "$1001 - $5000", IF(Table2[[#This Row],[MonthlyIncome]]&lt;=9000, "$5001 - $9000", IF(Table2[[#This Row],[MonthlyIncome]]&lt;=13000, "$9001 - $13000", IF(Table2[[#This Row],[MonthlyIncome]]&lt;=17000, "$13001 - $17000", IF(Table2[[#This Row],[MonthlyIncome]]&lt;=21000, "$17001 - $21000")))))</f>
        <v>$17001 - $21000</v>
      </c>
      <c r="P272">
        <v>0</v>
      </c>
      <c r="Q272">
        <v>3</v>
      </c>
      <c r="R272">
        <v>36</v>
      </c>
      <c r="S2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35 - 40 Years</v>
      </c>
    </row>
    <row r="273" spans="1:19" ht="14.25" x14ac:dyDescent="0.2">
      <c r="A273">
        <v>64406571</v>
      </c>
      <c r="B273">
        <v>47</v>
      </c>
      <c r="C273" t="s">
        <v>25</v>
      </c>
      <c r="D273" t="s">
        <v>24</v>
      </c>
      <c r="E273" t="s">
        <v>16</v>
      </c>
      <c r="F273">
        <f>IF(Table2[[#This Row],[Attrition]]="Yes", 1, 0)</f>
        <v>1</v>
      </c>
      <c r="G273" t="s">
        <v>33</v>
      </c>
      <c r="H273" t="s">
        <v>23</v>
      </c>
      <c r="I273">
        <v>29</v>
      </c>
      <c r="J273">
        <v>4</v>
      </c>
      <c r="K273" t="s">
        <v>18</v>
      </c>
      <c r="L273">
        <v>1</v>
      </c>
      <c r="M273">
        <v>2</v>
      </c>
      <c r="N273" s="3">
        <v>11849</v>
      </c>
      <c r="O273" s="3" t="str">
        <f>IF(Table2[[#This Row],[MonthlyIncome]]&lt;=5000, "$1001 - $5000", IF(Table2[[#This Row],[MonthlyIncome]]&lt;=9000, "$5001 - $9000", IF(Table2[[#This Row],[MonthlyIncome]]&lt;=13000, "$9001 - $13000", IF(Table2[[#This Row],[MonthlyIncome]]&lt;=17000, "$13001 - $17000", IF(Table2[[#This Row],[MonthlyIncome]]&lt;=21000, "$17001 - $21000")))))</f>
        <v>$9001 - $13000</v>
      </c>
      <c r="P273">
        <v>1</v>
      </c>
      <c r="Q273">
        <v>2</v>
      </c>
      <c r="R273">
        <v>10</v>
      </c>
      <c r="S2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74" spans="1:19" ht="14.25" x14ac:dyDescent="0.2">
      <c r="A274">
        <v>38605872</v>
      </c>
      <c r="B274">
        <v>28</v>
      </c>
      <c r="C274" t="s">
        <v>25</v>
      </c>
      <c r="D274" t="s">
        <v>24</v>
      </c>
      <c r="E274" t="s">
        <v>22</v>
      </c>
      <c r="F274">
        <f>IF(Table2[[#This Row],[Attrition]]="Yes", 1, 0)</f>
        <v>0</v>
      </c>
      <c r="G274" t="s">
        <v>26</v>
      </c>
      <c r="H274" t="s">
        <v>23</v>
      </c>
      <c r="I274">
        <v>9</v>
      </c>
      <c r="J274">
        <v>3</v>
      </c>
      <c r="K274" t="s">
        <v>29</v>
      </c>
      <c r="L274">
        <v>4</v>
      </c>
      <c r="M274">
        <v>4</v>
      </c>
      <c r="N274" s="3">
        <v>2070</v>
      </c>
      <c r="O274" s="3" t="str">
        <f>IF(Table2[[#This Row],[MonthlyIncome]]&lt;=5000, "$1001 - $5000", IF(Table2[[#This Row],[MonthlyIncome]]&lt;=9000, "$5001 - $9000", IF(Table2[[#This Row],[MonthlyIncome]]&lt;=13000, "$9001 - $13000", IF(Table2[[#This Row],[MonthlyIncome]]&lt;=17000, "$13001 - $17000", IF(Table2[[#This Row],[MonthlyIncome]]&lt;=21000, "$17001 - $21000")))))</f>
        <v>$1001 - $5000</v>
      </c>
      <c r="P274">
        <v>1</v>
      </c>
      <c r="Q274">
        <v>2</v>
      </c>
      <c r="R274">
        <v>5</v>
      </c>
      <c r="S2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75" spans="1:19" ht="14.25" x14ac:dyDescent="0.2">
      <c r="A275">
        <v>11245755</v>
      </c>
      <c r="B275">
        <v>37</v>
      </c>
      <c r="C275" t="s">
        <v>25</v>
      </c>
      <c r="D275" t="s">
        <v>24</v>
      </c>
      <c r="E275" t="s">
        <v>22</v>
      </c>
      <c r="F275">
        <f>IF(Table2[[#This Row],[Attrition]]="Yes", 1, 0)</f>
        <v>0</v>
      </c>
      <c r="G275" t="s">
        <v>21</v>
      </c>
      <c r="H275" t="s">
        <v>17</v>
      </c>
      <c r="I275">
        <v>6</v>
      </c>
      <c r="J275">
        <v>4</v>
      </c>
      <c r="K275" t="s">
        <v>29</v>
      </c>
      <c r="L275">
        <v>3</v>
      </c>
      <c r="M275">
        <v>4</v>
      </c>
      <c r="N275" s="3">
        <v>6502</v>
      </c>
      <c r="O275" s="3" t="str">
        <f>IF(Table2[[#This Row],[MonthlyIncome]]&lt;=5000, "$1001 - $5000", IF(Table2[[#This Row],[MonthlyIncome]]&lt;=9000, "$5001 - $9000", IF(Table2[[#This Row],[MonthlyIncome]]&lt;=13000, "$9001 - $13000", IF(Table2[[#This Row],[MonthlyIncome]]&lt;=17000, "$13001 - $17000", IF(Table2[[#This Row],[MonthlyIncome]]&lt;=21000, "$17001 - $21000")))))</f>
        <v>$5001 - $9000</v>
      </c>
      <c r="P275">
        <v>4</v>
      </c>
      <c r="Q275">
        <v>4</v>
      </c>
      <c r="R275">
        <v>5</v>
      </c>
      <c r="S2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76" spans="1:19" ht="14.25" x14ac:dyDescent="0.2">
      <c r="A276">
        <v>23450646</v>
      </c>
      <c r="B276">
        <v>21</v>
      </c>
      <c r="C276" t="s">
        <v>25</v>
      </c>
      <c r="D276" t="s">
        <v>19</v>
      </c>
      <c r="E276" t="s">
        <v>22</v>
      </c>
      <c r="F276">
        <f>IF(Table2[[#This Row],[Attrition]]="Yes", 1, 0)</f>
        <v>0</v>
      </c>
      <c r="G276" t="s">
        <v>26</v>
      </c>
      <c r="H276" t="s">
        <v>23</v>
      </c>
      <c r="I276">
        <v>3</v>
      </c>
      <c r="J276">
        <v>2</v>
      </c>
      <c r="K276" t="s">
        <v>29</v>
      </c>
      <c r="L276">
        <v>4</v>
      </c>
      <c r="M276">
        <v>3</v>
      </c>
      <c r="N276" s="3">
        <v>3230</v>
      </c>
      <c r="O276" s="3" t="str">
        <f>IF(Table2[[#This Row],[MonthlyIncome]]&lt;=5000, "$1001 - $5000", IF(Table2[[#This Row],[MonthlyIncome]]&lt;=9000, "$5001 - $9000", IF(Table2[[#This Row],[MonthlyIncome]]&lt;=13000, "$9001 - $13000", IF(Table2[[#This Row],[MonthlyIncome]]&lt;=17000, "$13001 - $17000", IF(Table2[[#This Row],[MonthlyIncome]]&lt;=21000, "$17001 - $21000")))))</f>
        <v>$1001 - $5000</v>
      </c>
      <c r="P276">
        <v>1</v>
      </c>
      <c r="Q276">
        <v>4</v>
      </c>
      <c r="R276">
        <v>3</v>
      </c>
      <c r="S2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77" spans="1:19" ht="14.25" x14ac:dyDescent="0.2">
      <c r="A277">
        <v>26531180</v>
      </c>
      <c r="B277">
        <v>37</v>
      </c>
      <c r="C277" t="s">
        <v>20</v>
      </c>
      <c r="D277" t="s">
        <v>30</v>
      </c>
      <c r="E277" t="s">
        <v>22</v>
      </c>
      <c r="F277">
        <f>IF(Table2[[#This Row],[Attrition]]="Yes", 1, 0)</f>
        <v>0</v>
      </c>
      <c r="G277" t="s">
        <v>35</v>
      </c>
      <c r="H277" t="s">
        <v>23</v>
      </c>
      <c r="I277">
        <v>1</v>
      </c>
      <c r="J277">
        <v>4</v>
      </c>
      <c r="K277" t="s">
        <v>29</v>
      </c>
      <c r="L277">
        <v>1</v>
      </c>
      <c r="M277">
        <v>4</v>
      </c>
      <c r="N277" s="3">
        <v>13603</v>
      </c>
      <c r="O277" s="3" t="str">
        <f>IF(Table2[[#This Row],[MonthlyIncome]]&lt;=5000, "$1001 - $5000", IF(Table2[[#This Row],[MonthlyIncome]]&lt;=9000, "$5001 - $9000", IF(Table2[[#This Row],[MonthlyIncome]]&lt;=13000, "$9001 - $13000", IF(Table2[[#This Row],[MonthlyIncome]]&lt;=17000, "$13001 - $17000", IF(Table2[[#This Row],[MonthlyIncome]]&lt;=21000, "$17001 - $21000")))))</f>
        <v>$13001 - $17000</v>
      </c>
      <c r="P277">
        <v>2</v>
      </c>
      <c r="Q277">
        <v>3</v>
      </c>
      <c r="R277">
        <v>5</v>
      </c>
      <c r="S2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78" spans="1:19" ht="14.25" x14ac:dyDescent="0.2">
      <c r="A278">
        <v>55695753</v>
      </c>
      <c r="B278">
        <v>35</v>
      </c>
      <c r="C278" t="s">
        <v>20</v>
      </c>
      <c r="D278" t="s">
        <v>30</v>
      </c>
      <c r="E278" t="s">
        <v>22</v>
      </c>
      <c r="F278">
        <f>IF(Table2[[#This Row],[Attrition]]="Yes", 1, 0)</f>
        <v>0</v>
      </c>
      <c r="G278" t="s">
        <v>33</v>
      </c>
      <c r="H278" t="s">
        <v>23</v>
      </c>
      <c r="I278">
        <v>22</v>
      </c>
      <c r="J278">
        <v>3</v>
      </c>
      <c r="K278" t="s">
        <v>18</v>
      </c>
      <c r="L278">
        <v>2</v>
      </c>
      <c r="M278">
        <v>2</v>
      </c>
      <c r="N278" s="3">
        <v>11996</v>
      </c>
      <c r="O278" s="3" t="str">
        <f>IF(Table2[[#This Row],[MonthlyIncome]]&lt;=5000, "$1001 - $5000", IF(Table2[[#This Row],[MonthlyIncome]]&lt;=9000, "$5001 - $9000", IF(Table2[[#This Row],[MonthlyIncome]]&lt;=13000, "$9001 - $13000", IF(Table2[[#This Row],[MonthlyIncome]]&lt;=17000, "$13001 - $17000", IF(Table2[[#This Row],[MonthlyIncome]]&lt;=21000, "$17001 - $21000")))))</f>
        <v>$9001 - $13000</v>
      </c>
      <c r="P278">
        <v>7</v>
      </c>
      <c r="Q278">
        <v>2</v>
      </c>
      <c r="R278">
        <v>7</v>
      </c>
      <c r="S2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79" spans="1:19" ht="14.25" x14ac:dyDescent="0.2">
      <c r="A279">
        <v>18080045</v>
      </c>
      <c r="B279">
        <v>38</v>
      </c>
      <c r="C279" t="s">
        <v>20</v>
      </c>
      <c r="D279" t="s">
        <v>30</v>
      </c>
      <c r="E279" t="s">
        <v>22</v>
      </c>
      <c r="F279">
        <f>IF(Table2[[#This Row],[Attrition]]="Yes", 1, 0)</f>
        <v>0</v>
      </c>
      <c r="G279" t="s">
        <v>21</v>
      </c>
      <c r="H279" t="s">
        <v>17</v>
      </c>
      <c r="I279">
        <v>7</v>
      </c>
      <c r="J279">
        <v>2</v>
      </c>
      <c r="K279" t="s">
        <v>29</v>
      </c>
      <c r="L279">
        <v>1</v>
      </c>
      <c r="M279">
        <v>1</v>
      </c>
      <c r="N279" s="3">
        <v>5605</v>
      </c>
      <c r="O279" s="3" t="str">
        <f>IF(Table2[[#This Row],[MonthlyIncome]]&lt;=5000, "$1001 - $5000", IF(Table2[[#This Row],[MonthlyIncome]]&lt;=9000, "$5001 - $9000", IF(Table2[[#This Row],[MonthlyIncome]]&lt;=13000, "$9001 - $13000", IF(Table2[[#This Row],[MonthlyIncome]]&lt;=17000, "$13001 - $17000", IF(Table2[[#This Row],[MonthlyIncome]]&lt;=21000, "$17001 - $21000")))))</f>
        <v>$5001 - $9000</v>
      </c>
      <c r="P279">
        <v>1</v>
      </c>
      <c r="Q279">
        <v>3</v>
      </c>
      <c r="R279">
        <v>8</v>
      </c>
      <c r="S2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80" spans="1:19" ht="14.25" x14ac:dyDescent="0.2">
      <c r="A280">
        <v>69161375</v>
      </c>
      <c r="B280">
        <v>26</v>
      </c>
      <c r="C280" t="s">
        <v>20</v>
      </c>
      <c r="D280" t="s">
        <v>30</v>
      </c>
      <c r="E280" t="s">
        <v>22</v>
      </c>
      <c r="F280">
        <f>IF(Table2[[#This Row],[Attrition]]="Yes", 1, 0)</f>
        <v>0</v>
      </c>
      <c r="G280" t="s">
        <v>31</v>
      </c>
      <c r="H280" t="s">
        <v>23</v>
      </c>
      <c r="I280">
        <v>1</v>
      </c>
      <c r="J280">
        <v>3</v>
      </c>
      <c r="K280" t="s">
        <v>18</v>
      </c>
      <c r="L280">
        <v>3</v>
      </c>
      <c r="M280">
        <v>2</v>
      </c>
      <c r="N280" s="3">
        <v>6397</v>
      </c>
      <c r="O280" s="3" t="str">
        <f>IF(Table2[[#This Row],[MonthlyIncome]]&lt;=5000, "$1001 - $5000", IF(Table2[[#This Row],[MonthlyIncome]]&lt;=9000, "$5001 - $9000", IF(Table2[[#This Row],[MonthlyIncome]]&lt;=13000, "$9001 - $13000", IF(Table2[[#This Row],[MonthlyIncome]]&lt;=17000, "$13001 - $17000", IF(Table2[[#This Row],[MonthlyIncome]]&lt;=21000, "$17001 - $21000")))))</f>
        <v>$5001 - $9000</v>
      </c>
      <c r="P280">
        <v>1</v>
      </c>
      <c r="Q280">
        <v>1</v>
      </c>
      <c r="R280">
        <v>6</v>
      </c>
      <c r="S2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81" spans="1:19" ht="14.25" x14ac:dyDescent="0.2">
      <c r="A281">
        <v>65724620</v>
      </c>
      <c r="B281">
        <v>50</v>
      </c>
      <c r="C281" t="s">
        <v>25</v>
      </c>
      <c r="D281" t="s">
        <v>30</v>
      </c>
      <c r="E281" t="s">
        <v>22</v>
      </c>
      <c r="F281">
        <f>IF(Table2[[#This Row],[Attrition]]="Yes", 1, 0)</f>
        <v>0</v>
      </c>
      <c r="G281" t="s">
        <v>35</v>
      </c>
      <c r="H281" t="s">
        <v>23</v>
      </c>
      <c r="I281">
        <v>4</v>
      </c>
      <c r="J281">
        <v>1</v>
      </c>
      <c r="K281" t="s">
        <v>18</v>
      </c>
      <c r="L281">
        <v>1</v>
      </c>
      <c r="M281">
        <v>2</v>
      </c>
      <c r="N281" s="3">
        <v>19144</v>
      </c>
      <c r="O281" s="3" t="str">
        <f>IF(Table2[[#This Row],[MonthlyIncome]]&lt;=5000, "$1001 - $5000", IF(Table2[[#This Row],[MonthlyIncome]]&lt;=9000, "$5001 - $9000", IF(Table2[[#This Row],[MonthlyIncome]]&lt;=13000, "$9001 - $13000", IF(Table2[[#This Row],[MonthlyIncome]]&lt;=17000, "$13001 - $17000", IF(Table2[[#This Row],[MonthlyIncome]]&lt;=21000, "$17001 - $21000")))))</f>
        <v>$17001 - $21000</v>
      </c>
      <c r="P281">
        <v>3</v>
      </c>
      <c r="Q281">
        <v>2</v>
      </c>
      <c r="R281">
        <v>10</v>
      </c>
      <c r="S2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82" spans="1:19" ht="14.25" x14ac:dyDescent="0.2">
      <c r="A282">
        <v>24279128</v>
      </c>
      <c r="B282">
        <v>53</v>
      </c>
      <c r="C282" t="s">
        <v>25</v>
      </c>
      <c r="D282" t="s">
        <v>24</v>
      </c>
      <c r="E282" t="s">
        <v>22</v>
      </c>
      <c r="F282">
        <f>IF(Table2[[#This Row],[Attrition]]="Yes", 1, 0)</f>
        <v>0</v>
      </c>
      <c r="G282" t="s">
        <v>35</v>
      </c>
      <c r="H282" t="s">
        <v>23</v>
      </c>
      <c r="I282">
        <v>3</v>
      </c>
      <c r="J282">
        <v>4</v>
      </c>
      <c r="K282" t="s">
        <v>29</v>
      </c>
      <c r="L282">
        <v>3</v>
      </c>
      <c r="M282">
        <v>3</v>
      </c>
      <c r="N282" s="3">
        <v>17584</v>
      </c>
      <c r="O282" s="3" t="str">
        <f>IF(Table2[[#This Row],[MonthlyIncome]]&lt;=5000, "$1001 - $5000", IF(Table2[[#This Row],[MonthlyIncome]]&lt;=9000, "$5001 - $9000", IF(Table2[[#This Row],[MonthlyIncome]]&lt;=13000, "$9001 - $13000", IF(Table2[[#This Row],[MonthlyIncome]]&lt;=17000, "$13001 - $17000", IF(Table2[[#This Row],[MonthlyIncome]]&lt;=21000, "$17001 - $21000")))))</f>
        <v>$17001 - $21000</v>
      </c>
      <c r="P282">
        <v>3</v>
      </c>
      <c r="Q282">
        <v>2</v>
      </c>
      <c r="R282">
        <v>5</v>
      </c>
      <c r="S2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83" spans="1:19" ht="14.25" x14ac:dyDescent="0.2">
      <c r="A283">
        <v>72976508</v>
      </c>
      <c r="B283">
        <v>42</v>
      </c>
      <c r="C283" t="s">
        <v>25</v>
      </c>
      <c r="D283" t="s">
        <v>24</v>
      </c>
      <c r="E283" t="s">
        <v>22</v>
      </c>
      <c r="F283">
        <f>IF(Table2[[#This Row],[Attrition]]="Yes", 1, 0)</f>
        <v>0</v>
      </c>
      <c r="G283" t="s">
        <v>21</v>
      </c>
      <c r="H283" t="s">
        <v>17</v>
      </c>
      <c r="I283">
        <v>1</v>
      </c>
      <c r="J283">
        <v>1</v>
      </c>
      <c r="K283" t="s">
        <v>18</v>
      </c>
      <c r="L283">
        <v>2</v>
      </c>
      <c r="M283">
        <v>3</v>
      </c>
      <c r="N283" s="3">
        <v>4907</v>
      </c>
      <c r="O283" s="3" t="str">
        <f>IF(Table2[[#This Row],[MonthlyIncome]]&lt;=5000, "$1001 - $5000", IF(Table2[[#This Row],[MonthlyIncome]]&lt;=9000, "$5001 - $9000", IF(Table2[[#This Row],[MonthlyIncome]]&lt;=13000, "$9001 - $13000", IF(Table2[[#This Row],[MonthlyIncome]]&lt;=17000, "$13001 - $17000", IF(Table2[[#This Row],[MonthlyIncome]]&lt;=21000, "$17001 - $21000")))))</f>
        <v>$1001 - $5000</v>
      </c>
      <c r="P283">
        <v>1</v>
      </c>
      <c r="Q283">
        <v>3</v>
      </c>
      <c r="R283">
        <v>20</v>
      </c>
      <c r="S2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284" spans="1:19" ht="14.25" x14ac:dyDescent="0.2">
      <c r="A284">
        <v>74522705</v>
      </c>
      <c r="B284">
        <v>29</v>
      </c>
      <c r="C284" t="s">
        <v>25</v>
      </c>
      <c r="D284" t="s">
        <v>19</v>
      </c>
      <c r="E284" t="s">
        <v>22</v>
      </c>
      <c r="F284">
        <f>IF(Table2[[#This Row],[Attrition]]="Yes", 1, 0)</f>
        <v>0</v>
      </c>
      <c r="G284" t="s">
        <v>21</v>
      </c>
      <c r="H284" t="s">
        <v>17</v>
      </c>
      <c r="I284">
        <v>2</v>
      </c>
      <c r="J284">
        <v>2</v>
      </c>
      <c r="K284" t="s">
        <v>18</v>
      </c>
      <c r="L284">
        <v>2</v>
      </c>
      <c r="M284">
        <v>4</v>
      </c>
      <c r="N284" s="3">
        <v>4554</v>
      </c>
      <c r="O284" s="3" t="str">
        <f>IF(Table2[[#This Row],[MonthlyIncome]]&lt;=5000, "$1001 - $5000", IF(Table2[[#This Row],[MonthlyIncome]]&lt;=9000, "$5001 - $9000", IF(Table2[[#This Row],[MonthlyIncome]]&lt;=13000, "$9001 - $13000", IF(Table2[[#This Row],[MonthlyIncome]]&lt;=17000, "$13001 - $17000", IF(Table2[[#This Row],[MonthlyIncome]]&lt;=21000, "$17001 - $21000")))))</f>
        <v>$1001 - $5000</v>
      </c>
      <c r="P284">
        <v>1</v>
      </c>
      <c r="Q284">
        <v>2</v>
      </c>
      <c r="R284">
        <v>10</v>
      </c>
      <c r="S2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85" spans="1:19" ht="14.25" x14ac:dyDescent="0.2">
      <c r="A285">
        <v>21650645</v>
      </c>
      <c r="B285">
        <v>55</v>
      </c>
      <c r="C285" t="s">
        <v>25</v>
      </c>
      <c r="D285" t="s">
        <v>24</v>
      </c>
      <c r="E285" t="s">
        <v>22</v>
      </c>
      <c r="F285">
        <f>IF(Table2[[#This Row],[Attrition]]="Yes", 1, 0)</f>
        <v>0</v>
      </c>
      <c r="G285" t="s">
        <v>28</v>
      </c>
      <c r="H285" t="s">
        <v>23</v>
      </c>
      <c r="I285">
        <v>20</v>
      </c>
      <c r="J285">
        <v>2</v>
      </c>
      <c r="K285" t="s">
        <v>37</v>
      </c>
      <c r="L285">
        <v>2</v>
      </c>
      <c r="M285">
        <v>4</v>
      </c>
      <c r="N285" s="3">
        <v>5415</v>
      </c>
      <c r="O285" s="3" t="str">
        <f>IF(Table2[[#This Row],[MonthlyIncome]]&lt;=5000, "$1001 - $5000", IF(Table2[[#This Row],[MonthlyIncome]]&lt;=9000, "$5001 - $9000", IF(Table2[[#This Row],[MonthlyIncome]]&lt;=13000, "$9001 - $13000", IF(Table2[[#This Row],[MonthlyIncome]]&lt;=17000, "$13001 - $17000", IF(Table2[[#This Row],[MonthlyIncome]]&lt;=21000, "$17001 - $21000")))))</f>
        <v>$5001 - $9000</v>
      </c>
      <c r="P285">
        <v>3</v>
      </c>
      <c r="Q285">
        <v>3</v>
      </c>
      <c r="R285">
        <v>10</v>
      </c>
      <c r="S2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286" spans="1:19" ht="14.25" x14ac:dyDescent="0.2">
      <c r="A286">
        <v>36911099</v>
      </c>
      <c r="B286">
        <v>26</v>
      </c>
      <c r="C286" t="s">
        <v>25</v>
      </c>
      <c r="D286" t="s">
        <v>24</v>
      </c>
      <c r="E286" t="s">
        <v>22</v>
      </c>
      <c r="F286">
        <f>IF(Table2[[#This Row],[Attrition]]="Yes", 1, 0)</f>
        <v>0</v>
      </c>
      <c r="G286" t="s">
        <v>32</v>
      </c>
      <c r="H286" t="s">
        <v>23</v>
      </c>
      <c r="I286">
        <v>11</v>
      </c>
      <c r="J286">
        <v>2</v>
      </c>
      <c r="K286" t="s">
        <v>29</v>
      </c>
      <c r="L286">
        <v>1</v>
      </c>
      <c r="M286">
        <v>1</v>
      </c>
      <c r="N286" s="3">
        <v>4741</v>
      </c>
      <c r="O286" s="3" t="str">
        <f>IF(Table2[[#This Row],[MonthlyIncome]]&lt;=5000, "$1001 - $5000", IF(Table2[[#This Row],[MonthlyIncome]]&lt;=9000, "$5001 - $9000", IF(Table2[[#This Row],[MonthlyIncome]]&lt;=13000, "$9001 - $13000", IF(Table2[[#This Row],[MonthlyIncome]]&lt;=17000, "$13001 - $17000", IF(Table2[[#This Row],[MonthlyIncome]]&lt;=21000, "$17001 - $21000")))))</f>
        <v>$1001 - $5000</v>
      </c>
      <c r="P286">
        <v>1</v>
      </c>
      <c r="Q286">
        <v>3</v>
      </c>
      <c r="R286">
        <v>5</v>
      </c>
      <c r="S2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87" spans="1:19" ht="14.25" x14ac:dyDescent="0.2">
      <c r="A287">
        <v>52521119</v>
      </c>
      <c r="B287">
        <v>37</v>
      </c>
      <c r="C287" t="s">
        <v>20</v>
      </c>
      <c r="D287" t="s">
        <v>19</v>
      </c>
      <c r="E287" t="s">
        <v>22</v>
      </c>
      <c r="F287">
        <f>IF(Table2[[#This Row],[Attrition]]="Yes", 1, 0)</f>
        <v>0</v>
      </c>
      <c r="G287" t="s">
        <v>26</v>
      </c>
      <c r="H287" t="s">
        <v>23</v>
      </c>
      <c r="I287">
        <v>1</v>
      </c>
      <c r="J287">
        <v>3</v>
      </c>
      <c r="K287" t="s">
        <v>18</v>
      </c>
      <c r="L287">
        <v>4</v>
      </c>
      <c r="M287">
        <v>4</v>
      </c>
      <c r="N287" s="3">
        <v>2115</v>
      </c>
      <c r="O287" s="3" t="str">
        <f>IF(Table2[[#This Row],[MonthlyIncome]]&lt;=5000, "$1001 - $5000", IF(Table2[[#This Row],[MonthlyIncome]]&lt;=9000, "$5001 - $9000", IF(Table2[[#This Row],[MonthlyIncome]]&lt;=13000, "$9001 - $13000", IF(Table2[[#This Row],[MonthlyIncome]]&lt;=17000, "$13001 - $17000", IF(Table2[[#This Row],[MonthlyIncome]]&lt;=21000, "$17001 - $21000")))))</f>
        <v>$1001 - $5000</v>
      </c>
      <c r="P287">
        <v>1</v>
      </c>
      <c r="Q287">
        <v>3</v>
      </c>
      <c r="R287">
        <v>17</v>
      </c>
      <c r="S2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288" spans="1:19" ht="14.25" x14ac:dyDescent="0.2">
      <c r="A288">
        <v>22894536</v>
      </c>
      <c r="B288">
        <v>44</v>
      </c>
      <c r="C288" t="s">
        <v>25</v>
      </c>
      <c r="D288" t="s">
        <v>30</v>
      </c>
      <c r="E288" t="s">
        <v>16</v>
      </c>
      <c r="F288">
        <f>IF(Table2[[#This Row],[Attrition]]="Yes", 1, 0)</f>
        <v>1</v>
      </c>
      <c r="G288" t="s">
        <v>28</v>
      </c>
      <c r="H288" t="s">
        <v>23</v>
      </c>
      <c r="I288">
        <v>24</v>
      </c>
      <c r="J288">
        <v>3</v>
      </c>
      <c r="K288" t="s">
        <v>18</v>
      </c>
      <c r="L288">
        <v>4</v>
      </c>
      <c r="M288">
        <v>3</v>
      </c>
      <c r="N288" s="3">
        <v>3161</v>
      </c>
      <c r="O288" s="3" t="str">
        <f>IF(Table2[[#This Row],[MonthlyIncome]]&lt;=5000, "$1001 - $5000", IF(Table2[[#This Row],[MonthlyIncome]]&lt;=9000, "$5001 - $9000", IF(Table2[[#This Row],[MonthlyIncome]]&lt;=13000, "$9001 - $13000", IF(Table2[[#This Row],[MonthlyIncome]]&lt;=17000, "$13001 - $17000", IF(Table2[[#This Row],[MonthlyIncome]]&lt;=21000, "$17001 - $21000")))))</f>
        <v>$1001 - $5000</v>
      </c>
      <c r="P288">
        <v>3</v>
      </c>
      <c r="Q288">
        <v>1</v>
      </c>
      <c r="R288">
        <v>1</v>
      </c>
      <c r="S2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89" spans="1:19" ht="14.25" x14ac:dyDescent="0.2">
      <c r="A289">
        <v>25356954</v>
      </c>
      <c r="B289">
        <v>38</v>
      </c>
      <c r="C289" t="s">
        <v>25</v>
      </c>
      <c r="D289" t="s">
        <v>30</v>
      </c>
      <c r="E289" t="s">
        <v>22</v>
      </c>
      <c r="F289">
        <f>IF(Table2[[#This Row],[Attrition]]="Yes", 1, 0)</f>
        <v>0</v>
      </c>
      <c r="G289" t="s">
        <v>32</v>
      </c>
      <c r="H289" t="s">
        <v>23</v>
      </c>
      <c r="I289">
        <v>23</v>
      </c>
      <c r="J289">
        <v>4</v>
      </c>
      <c r="K289" t="s">
        <v>18</v>
      </c>
      <c r="L289">
        <v>4</v>
      </c>
      <c r="M289">
        <v>4</v>
      </c>
      <c r="N289" s="3">
        <v>5745</v>
      </c>
      <c r="O289" s="3" t="str">
        <f>IF(Table2[[#This Row],[MonthlyIncome]]&lt;=5000, "$1001 - $5000", IF(Table2[[#This Row],[MonthlyIncome]]&lt;=9000, "$5001 - $9000", IF(Table2[[#This Row],[MonthlyIncome]]&lt;=13000, "$9001 - $13000", IF(Table2[[#This Row],[MonthlyIncome]]&lt;=17000, "$13001 - $17000", IF(Table2[[#This Row],[MonthlyIncome]]&lt;=21000, "$17001 - $21000")))))</f>
        <v>$5001 - $9000</v>
      </c>
      <c r="P289">
        <v>9</v>
      </c>
      <c r="Q289">
        <v>3</v>
      </c>
      <c r="R289">
        <v>2</v>
      </c>
      <c r="S2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90" spans="1:19" ht="14.25" x14ac:dyDescent="0.2">
      <c r="A290">
        <v>81029631</v>
      </c>
      <c r="B290">
        <v>26</v>
      </c>
      <c r="C290" t="s">
        <v>25</v>
      </c>
      <c r="D290" t="s">
        <v>30</v>
      </c>
      <c r="E290" t="s">
        <v>16</v>
      </c>
      <c r="F290">
        <f>IF(Table2[[#This Row],[Attrition]]="Yes", 1, 0)</f>
        <v>1</v>
      </c>
      <c r="G290" t="s">
        <v>28</v>
      </c>
      <c r="H290" t="s">
        <v>23</v>
      </c>
      <c r="I290">
        <v>16</v>
      </c>
      <c r="J290">
        <v>4</v>
      </c>
      <c r="K290" t="s">
        <v>29</v>
      </c>
      <c r="L290">
        <v>1</v>
      </c>
      <c r="M290">
        <v>2</v>
      </c>
      <c r="N290" s="3">
        <v>2373</v>
      </c>
      <c r="O290" s="3" t="str">
        <f>IF(Table2[[#This Row],[MonthlyIncome]]&lt;=5000, "$1001 - $5000", IF(Table2[[#This Row],[MonthlyIncome]]&lt;=9000, "$5001 - $9000", IF(Table2[[#This Row],[MonthlyIncome]]&lt;=13000, "$9001 - $13000", IF(Table2[[#This Row],[MonthlyIncome]]&lt;=17000, "$13001 - $17000", IF(Table2[[#This Row],[MonthlyIncome]]&lt;=21000, "$17001 - $21000")))))</f>
        <v>$1001 - $5000</v>
      </c>
      <c r="P290">
        <v>2</v>
      </c>
      <c r="Q290">
        <v>3</v>
      </c>
      <c r="R290">
        <v>3</v>
      </c>
      <c r="S2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91" spans="1:19" ht="14.25" x14ac:dyDescent="0.2">
      <c r="A291">
        <v>70602620</v>
      </c>
      <c r="B291">
        <v>28</v>
      </c>
      <c r="C291" t="s">
        <v>20</v>
      </c>
      <c r="D291" t="s">
        <v>19</v>
      </c>
      <c r="E291" t="s">
        <v>22</v>
      </c>
      <c r="F291">
        <f>IF(Table2[[#This Row],[Attrition]]="Yes", 1, 0)</f>
        <v>0</v>
      </c>
      <c r="G291" t="s">
        <v>26</v>
      </c>
      <c r="H291" t="s">
        <v>23</v>
      </c>
      <c r="I291">
        <v>8</v>
      </c>
      <c r="J291">
        <v>2</v>
      </c>
      <c r="K291" t="s">
        <v>18</v>
      </c>
      <c r="L291">
        <v>4</v>
      </c>
      <c r="M291">
        <v>4</v>
      </c>
      <c r="N291" s="3">
        <v>3310</v>
      </c>
      <c r="O291" s="3" t="str">
        <f>IF(Table2[[#This Row],[MonthlyIncome]]&lt;=5000, "$1001 - $5000", IF(Table2[[#This Row],[MonthlyIncome]]&lt;=9000, "$5001 - $9000", IF(Table2[[#This Row],[MonthlyIncome]]&lt;=13000, "$9001 - $13000", IF(Table2[[#This Row],[MonthlyIncome]]&lt;=17000, "$13001 - $17000", IF(Table2[[#This Row],[MonthlyIncome]]&lt;=21000, "$17001 - $21000")))))</f>
        <v>$1001 - $5000</v>
      </c>
      <c r="P291">
        <v>1</v>
      </c>
      <c r="Q291">
        <v>3</v>
      </c>
      <c r="R291">
        <v>5</v>
      </c>
      <c r="S2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92" spans="1:19" ht="14.25" x14ac:dyDescent="0.2">
      <c r="A292">
        <v>14498373</v>
      </c>
      <c r="B292">
        <v>49</v>
      </c>
      <c r="C292" t="s">
        <v>20</v>
      </c>
      <c r="D292" t="s">
        <v>19</v>
      </c>
      <c r="E292" t="s">
        <v>22</v>
      </c>
      <c r="F292">
        <f>IF(Table2[[#This Row],[Attrition]]="Yes", 1, 0)</f>
        <v>0</v>
      </c>
      <c r="G292" t="s">
        <v>35</v>
      </c>
      <c r="H292" t="s">
        <v>23</v>
      </c>
      <c r="I292">
        <v>10</v>
      </c>
      <c r="J292">
        <v>4</v>
      </c>
      <c r="K292" t="s">
        <v>18</v>
      </c>
      <c r="L292">
        <v>3</v>
      </c>
      <c r="M292">
        <v>1</v>
      </c>
      <c r="N292" s="3">
        <v>18665</v>
      </c>
      <c r="O292" s="3" t="str">
        <f>IF(Table2[[#This Row],[MonthlyIncome]]&lt;=5000, "$1001 - $5000", IF(Table2[[#This Row],[MonthlyIncome]]&lt;=9000, "$5001 - $9000", IF(Table2[[#This Row],[MonthlyIncome]]&lt;=13000, "$9001 - $13000", IF(Table2[[#This Row],[MonthlyIncome]]&lt;=17000, "$13001 - $17000", IF(Table2[[#This Row],[MonthlyIncome]]&lt;=21000, "$17001 - $21000")))))</f>
        <v>$17001 - $21000</v>
      </c>
      <c r="P292">
        <v>9</v>
      </c>
      <c r="Q292">
        <v>3</v>
      </c>
      <c r="R292">
        <v>3</v>
      </c>
      <c r="S2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93" spans="1:19" ht="14.25" x14ac:dyDescent="0.2">
      <c r="A293">
        <v>24430773</v>
      </c>
      <c r="B293">
        <v>36</v>
      </c>
      <c r="C293" t="s">
        <v>25</v>
      </c>
      <c r="D293" t="s">
        <v>19</v>
      </c>
      <c r="E293" t="s">
        <v>22</v>
      </c>
      <c r="F293">
        <f>IF(Table2[[#This Row],[Attrition]]="Yes", 1, 0)</f>
        <v>0</v>
      </c>
      <c r="G293" t="s">
        <v>26</v>
      </c>
      <c r="H293" t="s">
        <v>23</v>
      </c>
      <c r="I293">
        <v>3</v>
      </c>
      <c r="J293">
        <v>3</v>
      </c>
      <c r="K293" t="s">
        <v>37</v>
      </c>
      <c r="L293">
        <v>3</v>
      </c>
      <c r="M293">
        <v>2</v>
      </c>
      <c r="N293" s="3">
        <v>4485</v>
      </c>
      <c r="O293" s="3" t="str">
        <f>IF(Table2[[#This Row],[MonthlyIncome]]&lt;=5000, "$1001 - $5000", IF(Table2[[#This Row],[MonthlyIncome]]&lt;=9000, "$5001 - $9000", IF(Table2[[#This Row],[MonthlyIncome]]&lt;=13000, "$9001 - $13000", IF(Table2[[#This Row],[MonthlyIncome]]&lt;=17000, "$13001 - $17000", IF(Table2[[#This Row],[MonthlyIncome]]&lt;=21000, "$17001 - $21000")))))</f>
        <v>$1001 - $5000</v>
      </c>
      <c r="P293">
        <v>4</v>
      </c>
      <c r="Q293">
        <v>3</v>
      </c>
      <c r="R293">
        <v>8</v>
      </c>
      <c r="S2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94" spans="1:19" ht="14.25" x14ac:dyDescent="0.2">
      <c r="A294">
        <v>86901257</v>
      </c>
      <c r="B294">
        <v>31</v>
      </c>
      <c r="C294" t="s">
        <v>20</v>
      </c>
      <c r="D294" t="s">
        <v>30</v>
      </c>
      <c r="E294" t="s">
        <v>22</v>
      </c>
      <c r="F294">
        <f>IF(Table2[[#This Row],[Attrition]]="Yes", 1, 0)</f>
        <v>0</v>
      </c>
      <c r="G294" t="s">
        <v>34</v>
      </c>
      <c r="H294" t="s">
        <v>17</v>
      </c>
      <c r="I294">
        <v>5</v>
      </c>
      <c r="J294">
        <v>3</v>
      </c>
      <c r="K294" t="s">
        <v>36</v>
      </c>
      <c r="L294">
        <v>4</v>
      </c>
      <c r="M294">
        <v>2</v>
      </c>
      <c r="N294" s="3">
        <v>2789</v>
      </c>
      <c r="O294" s="3" t="str">
        <f>IF(Table2[[#This Row],[MonthlyIncome]]&lt;=5000, "$1001 - $5000", IF(Table2[[#This Row],[MonthlyIncome]]&lt;=9000, "$5001 - $9000", IF(Table2[[#This Row],[MonthlyIncome]]&lt;=13000, "$9001 - $13000", IF(Table2[[#This Row],[MonthlyIncome]]&lt;=17000, "$13001 - $17000", IF(Table2[[#This Row],[MonthlyIncome]]&lt;=21000, "$17001 - $21000")))))</f>
        <v>$1001 - $5000</v>
      </c>
      <c r="P294">
        <v>1</v>
      </c>
      <c r="Q294">
        <v>2</v>
      </c>
      <c r="R294">
        <v>2</v>
      </c>
      <c r="S2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95" spans="1:19" ht="14.25" x14ac:dyDescent="0.2">
      <c r="A295">
        <v>27657204</v>
      </c>
      <c r="B295">
        <v>26</v>
      </c>
      <c r="C295" t="s">
        <v>25</v>
      </c>
      <c r="D295" t="s">
        <v>19</v>
      </c>
      <c r="E295" t="s">
        <v>16</v>
      </c>
      <c r="F295">
        <f>IF(Table2[[#This Row],[Attrition]]="Yes", 1, 0)</f>
        <v>1</v>
      </c>
      <c r="G295" t="s">
        <v>21</v>
      </c>
      <c r="H295" t="s">
        <v>17</v>
      </c>
      <c r="I295">
        <v>4</v>
      </c>
      <c r="J295">
        <v>4</v>
      </c>
      <c r="K295" t="s">
        <v>36</v>
      </c>
      <c r="L295">
        <v>4</v>
      </c>
      <c r="M295">
        <v>4</v>
      </c>
      <c r="N295" s="3">
        <v>5828</v>
      </c>
      <c r="O295" s="3" t="str">
        <f>IF(Table2[[#This Row],[MonthlyIncome]]&lt;=5000, "$1001 - $5000", IF(Table2[[#This Row],[MonthlyIncome]]&lt;=9000, "$5001 - $9000", IF(Table2[[#This Row],[MonthlyIncome]]&lt;=13000, "$9001 - $13000", IF(Table2[[#This Row],[MonthlyIncome]]&lt;=17000, "$13001 - $17000", IF(Table2[[#This Row],[MonthlyIncome]]&lt;=21000, "$17001 - $21000")))))</f>
        <v>$5001 - $9000</v>
      </c>
      <c r="P295">
        <v>1</v>
      </c>
      <c r="Q295">
        <v>3</v>
      </c>
      <c r="R295">
        <v>8</v>
      </c>
      <c r="S2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296" spans="1:19" ht="14.25" x14ac:dyDescent="0.2">
      <c r="A296">
        <v>61506734</v>
      </c>
      <c r="B296">
        <v>37</v>
      </c>
      <c r="C296" t="s">
        <v>25</v>
      </c>
      <c r="D296" t="s">
        <v>24</v>
      </c>
      <c r="E296" t="s">
        <v>22</v>
      </c>
      <c r="F296">
        <f>IF(Table2[[#This Row],[Attrition]]="Yes", 1, 0)</f>
        <v>0</v>
      </c>
      <c r="G296" t="s">
        <v>26</v>
      </c>
      <c r="H296" t="s">
        <v>23</v>
      </c>
      <c r="I296">
        <v>9</v>
      </c>
      <c r="J296">
        <v>3</v>
      </c>
      <c r="K296" t="s">
        <v>29</v>
      </c>
      <c r="L296">
        <v>2</v>
      </c>
      <c r="M296">
        <v>4</v>
      </c>
      <c r="N296" s="3">
        <v>2326</v>
      </c>
      <c r="O296" s="3" t="str">
        <f>IF(Table2[[#This Row],[MonthlyIncome]]&lt;=5000, "$1001 - $5000", IF(Table2[[#This Row],[MonthlyIncome]]&lt;=9000, "$5001 - $9000", IF(Table2[[#This Row],[MonthlyIncome]]&lt;=13000, "$9001 - $13000", IF(Table2[[#This Row],[MonthlyIncome]]&lt;=17000, "$13001 - $17000", IF(Table2[[#This Row],[MonthlyIncome]]&lt;=21000, "$17001 - $21000")))))</f>
        <v>$1001 - $5000</v>
      </c>
      <c r="P296">
        <v>1</v>
      </c>
      <c r="Q296">
        <v>2</v>
      </c>
      <c r="R296">
        <v>4</v>
      </c>
      <c r="S2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97" spans="1:19" ht="14.25" x14ac:dyDescent="0.2">
      <c r="A297">
        <v>52148067</v>
      </c>
      <c r="B297">
        <v>42</v>
      </c>
      <c r="C297" t="s">
        <v>20</v>
      </c>
      <c r="D297" t="s">
        <v>24</v>
      </c>
      <c r="E297" t="s">
        <v>22</v>
      </c>
      <c r="F297">
        <f>IF(Table2[[#This Row],[Attrition]]="Yes", 1, 0)</f>
        <v>0</v>
      </c>
      <c r="G297" t="s">
        <v>21</v>
      </c>
      <c r="H297" t="s">
        <v>17</v>
      </c>
      <c r="I297">
        <v>26</v>
      </c>
      <c r="J297">
        <v>3</v>
      </c>
      <c r="K297" t="s">
        <v>36</v>
      </c>
      <c r="L297">
        <v>3</v>
      </c>
      <c r="M297">
        <v>2</v>
      </c>
      <c r="N297" s="3">
        <v>13525</v>
      </c>
      <c r="O297" s="3" t="str">
        <f>IF(Table2[[#This Row],[MonthlyIncome]]&lt;=5000, "$1001 - $5000", IF(Table2[[#This Row],[MonthlyIncome]]&lt;=9000, "$5001 - $9000", IF(Table2[[#This Row],[MonthlyIncome]]&lt;=13000, "$9001 - $13000", IF(Table2[[#This Row],[MonthlyIncome]]&lt;=17000, "$13001 - $17000", IF(Table2[[#This Row],[MonthlyIncome]]&lt;=21000, "$17001 - $21000")))))</f>
        <v>$13001 - $17000</v>
      </c>
      <c r="P297">
        <v>5</v>
      </c>
      <c r="Q297">
        <v>4</v>
      </c>
      <c r="R297">
        <v>20</v>
      </c>
      <c r="S2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298" spans="1:19" ht="14.25" x14ac:dyDescent="0.2">
      <c r="A298">
        <v>80271988</v>
      </c>
      <c r="B298">
        <v>18</v>
      </c>
      <c r="C298" t="s">
        <v>25</v>
      </c>
      <c r="D298" t="s">
        <v>19</v>
      </c>
      <c r="E298" t="s">
        <v>16</v>
      </c>
      <c r="F298">
        <f>IF(Table2[[#This Row],[Attrition]]="Yes", 1, 0)</f>
        <v>1</v>
      </c>
      <c r="G298" t="s">
        <v>28</v>
      </c>
      <c r="H298" t="s">
        <v>23</v>
      </c>
      <c r="I298">
        <v>3</v>
      </c>
      <c r="J298">
        <v>3</v>
      </c>
      <c r="K298" t="s">
        <v>18</v>
      </c>
      <c r="L298">
        <v>3</v>
      </c>
      <c r="M298">
        <v>3</v>
      </c>
      <c r="N298" s="3">
        <v>1420</v>
      </c>
      <c r="O298" s="3" t="str">
        <f>IF(Table2[[#This Row],[MonthlyIncome]]&lt;=5000, "$1001 - $5000", IF(Table2[[#This Row],[MonthlyIncome]]&lt;=9000, "$5001 - $9000", IF(Table2[[#This Row],[MonthlyIncome]]&lt;=13000, "$9001 - $13000", IF(Table2[[#This Row],[MonthlyIncome]]&lt;=17000, "$13001 - $17000", IF(Table2[[#This Row],[MonthlyIncome]]&lt;=21000, "$17001 - $21000")))))</f>
        <v>$1001 - $5000</v>
      </c>
      <c r="P298">
        <v>1</v>
      </c>
      <c r="Q298">
        <v>3</v>
      </c>
      <c r="R298">
        <v>0</v>
      </c>
      <c r="S2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299" spans="1:19" ht="14.25" x14ac:dyDescent="0.2">
      <c r="A299">
        <v>25781153</v>
      </c>
      <c r="B299">
        <v>35</v>
      </c>
      <c r="C299" t="s">
        <v>25</v>
      </c>
      <c r="D299" t="s">
        <v>24</v>
      </c>
      <c r="E299" t="s">
        <v>22</v>
      </c>
      <c r="F299">
        <f>IF(Table2[[#This Row],[Attrition]]="Yes", 1, 0)</f>
        <v>0</v>
      </c>
      <c r="G299" t="s">
        <v>21</v>
      </c>
      <c r="H299" t="s">
        <v>17</v>
      </c>
      <c r="I299">
        <v>16</v>
      </c>
      <c r="J299">
        <v>3</v>
      </c>
      <c r="K299" t="s">
        <v>36</v>
      </c>
      <c r="L299">
        <v>3</v>
      </c>
      <c r="M299">
        <v>2</v>
      </c>
      <c r="N299" s="3">
        <v>8020</v>
      </c>
      <c r="O299" s="3" t="str">
        <f>IF(Table2[[#This Row],[MonthlyIncome]]&lt;=5000, "$1001 - $5000", IF(Table2[[#This Row],[MonthlyIncome]]&lt;=9000, "$5001 - $9000", IF(Table2[[#This Row],[MonthlyIncome]]&lt;=13000, "$9001 - $13000", IF(Table2[[#This Row],[MonthlyIncome]]&lt;=17000, "$13001 - $17000", IF(Table2[[#This Row],[MonthlyIncome]]&lt;=21000, "$17001 - $21000")))))</f>
        <v>$5001 - $9000</v>
      </c>
      <c r="P299">
        <v>0</v>
      </c>
      <c r="Q299">
        <v>2</v>
      </c>
      <c r="R299">
        <v>11</v>
      </c>
      <c r="S2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00" spans="1:19" ht="14.25" x14ac:dyDescent="0.2">
      <c r="A300">
        <v>58766522</v>
      </c>
      <c r="B300">
        <v>36</v>
      </c>
      <c r="C300" t="s">
        <v>25</v>
      </c>
      <c r="D300" t="s">
        <v>24</v>
      </c>
      <c r="E300" t="s">
        <v>22</v>
      </c>
      <c r="F300">
        <f>IF(Table2[[#This Row],[Attrition]]="Yes", 1, 0)</f>
        <v>0</v>
      </c>
      <c r="G300" t="s">
        <v>28</v>
      </c>
      <c r="H300" t="s">
        <v>23</v>
      </c>
      <c r="I300">
        <v>18</v>
      </c>
      <c r="J300">
        <v>4</v>
      </c>
      <c r="K300" t="s">
        <v>18</v>
      </c>
      <c r="L300">
        <v>3</v>
      </c>
      <c r="M300">
        <v>4</v>
      </c>
      <c r="N300" s="3">
        <v>3688</v>
      </c>
      <c r="O300" s="3" t="str">
        <f>IF(Table2[[#This Row],[MonthlyIncome]]&lt;=5000, "$1001 - $5000", IF(Table2[[#This Row],[MonthlyIncome]]&lt;=9000, "$5001 - $9000", IF(Table2[[#This Row],[MonthlyIncome]]&lt;=13000, "$9001 - $13000", IF(Table2[[#This Row],[MonthlyIncome]]&lt;=17000, "$13001 - $17000", IF(Table2[[#This Row],[MonthlyIncome]]&lt;=21000, "$17001 - $21000")))))</f>
        <v>$1001 - $5000</v>
      </c>
      <c r="P300">
        <v>4</v>
      </c>
      <c r="Q300">
        <v>3</v>
      </c>
      <c r="R300">
        <v>1</v>
      </c>
      <c r="S3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01" spans="1:19" ht="14.25" x14ac:dyDescent="0.2">
      <c r="A301">
        <v>57259268</v>
      </c>
      <c r="B301">
        <v>51</v>
      </c>
      <c r="C301" t="s">
        <v>25</v>
      </c>
      <c r="D301" t="s">
        <v>30</v>
      </c>
      <c r="E301" t="s">
        <v>22</v>
      </c>
      <c r="F301">
        <f>IF(Table2[[#This Row],[Attrition]]="Yes", 1, 0)</f>
        <v>0</v>
      </c>
      <c r="G301" t="s">
        <v>31</v>
      </c>
      <c r="H301" t="s">
        <v>23</v>
      </c>
      <c r="I301">
        <v>2</v>
      </c>
      <c r="J301">
        <v>3</v>
      </c>
      <c r="K301" t="s">
        <v>29</v>
      </c>
      <c r="L301">
        <v>4</v>
      </c>
      <c r="M301">
        <v>2</v>
      </c>
      <c r="N301" s="3">
        <v>5482</v>
      </c>
      <c r="O301" s="3" t="str">
        <f>IF(Table2[[#This Row],[MonthlyIncome]]&lt;=5000, "$1001 - $5000", IF(Table2[[#This Row],[MonthlyIncome]]&lt;=9000, "$5001 - $9000", IF(Table2[[#This Row],[MonthlyIncome]]&lt;=13000, "$9001 - $13000", IF(Table2[[#This Row],[MonthlyIncome]]&lt;=17000, "$13001 - $17000", IF(Table2[[#This Row],[MonthlyIncome]]&lt;=21000, "$17001 - $21000")))))</f>
        <v>$5001 - $9000</v>
      </c>
      <c r="P301">
        <v>5</v>
      </c>
      <c r="Q301">
        <v>3</v>
      </c>
      <c r="R301">
        <v>4</v>
      </c>
      <c r="S3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02" spans="1:19" ht="14.25" x14ac:dyDescent="0.2">
      <c r="A302">
        <v>31071504</v>
      </c>
      <c r="B302">
        <v>41</v>
      </c>
      <c r="C302" t="s">
        <v>25</v>
      </c>
      <c r="D302" t="s">
        <v>19</v>
      </c>
      <c r="E302" t="s">
        <v>22</v>
      </c>
      <c r="F302">
        <f>IF(Table2[[#This Row],[Attrition]]="Yes", 1, 0)</f>
        <v>0</v>
      </c>
      <c r="G302" t="s">
        <v>33</v>
      </c>
      <c r="H302" t="s">
        <v>17</v>
      </c>
      <c r="I302">
        <v>2</v>
      </c>
      <c r="J302">
        <v>4</v>
      </c>
      <c r="K302" t="s">
        <v>18</v>
      </c>
      <c r="L302">
        <v>4</v>
      </c>
      <c r="M302">
        <v>2</v>
      </c>
      <c r="N302" s="3">
        <v>16015</v>
      </c>
      <c r="O302" s="3" t="str">
        <f>IF(Table2[[#This Row],[MonthlyIncome]]&lt;=5000, "$1001 - $5000", IF(Table2[[#This Row],[MonthlyIncome]]&lt;=9000, "$5001 - $9000", IF(Table2[[#This Row],[MonthlyIncome]]&lt;=13000, "$9001 - $13000", IF(Table2[[#This Row],[MonthlyIncome]]&lt;=17000, "$13001 - $17000", IF(Table2[[#This Row],[MonthlyIncome]]&lt;=21000, "$17001 - $21000")))))</f>
        <v>$13001 - $17000</v>
      </c>
      <c r="P302">
        <v>1</v>
      </c>
      <c r="Q302">
        <v>3</v>
      </c>
      <c r="R302">
        <v>22</v>
      </c>
      <c r="S3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303" spans="1:19" ht="14.25" x14ac:dyDescent="0.2">
      <c r="A303">
        <v>51271068</v>
      </c>
      <c r="B303">
        <v>18</v>
      </c>
      <c r="C303" t="s">
        <v>20</v>
      </c>
      <c r="D303" t="s">
        <v>19</v>
      </c>
      <c r="E303" t="s">
        <v>22</v>
      </c>
      <c r="F303">
        <f>IF(Table2[[#This Row],[Attrition]]="Yes", 1, 0)</f>
        <v>0</v>
      </c>
      <c r="G303" t="s">
        <v>34</v>
      </c>
      <c r="H303" t="s">
        <v>17</v>
      </c>
      <c r="I303">
        <v>10</v>
      </c>
      <c r="J303">
        <v>3</v>
      </c>
      <c r="K303" t="s">
        <v>29</v>
      </c>
      <c r="L303">
        <v>4</v>
      </c>
      <c r="M303">
        <v>3</v>
      </c>
      <c r="N303" s="3">
        <v>1200</v>
      </c>
      <c r="O303" s="3" t="str">
        <f>IF(Table2[[#This Row],[MonthlyIncome]]&lt;=5000, "$1001 - $5000", IF(Table2[[#This Row],[MonthlyIncome]]&lt;=9000, "$5001 - $9000", IF(Table2[[#This Row],[MonthlyIncome]]&lt;=13000, "$9001 - $13000", IF(Table2[[#This Row],[MonthlyIncome]]&lt;=17000, "$13001 - $17000", IF(Table2[[#This Row],[MonthlyIncome]]&lt;=21000, "$17001 - $21000")))))</f>
        <v>$1001 - $5000</v>
      </c>
      <c r="P303">
        <v>1</v>
      </c>
      <c r="Q303">
        <v>3</v>
      </c>
      <c r="R303">
        <v>0</v>
      </c>
      <c r="S3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04" spans="1:19" ht="14.25" x14ac:dyDescent="0.2">
      <c r="A304">
        <v>12942615</v>
      </c>
      <c r="B304">
        <v>28</v>
      </c>
      <c r="C304" t="s">
        <v>25</v>
      </c>
      <c r="D304" t="s">
        <v>19</v>
      </c>
      <c r="E304" t="s">
        <v>22</v>
      </c>
      <c r="F304">
        <f>IF(Table2[[#This Row],[Attrition]]="Yes", 1, 0)</f>
        <v>0</v>
      </c>
      <c r="G304" t="s">
        <v>32</v>
      </c>
      <c r="H304" t="s">
        <v>23</v>
      </c>
      <c r="I304">
        <v>16</v>
      </c>
      <c r="J304">
        <v>2</v>
      </c>
      <c r="K304" t="s">
        <v>29</v>
      </c>
      <c r="L304">
        <v>2</v>
      </c>
      <c r="M304">
        <v>1</v>
      </c>
      <c r="N304" s="3">
        <v>5661</v>
      </c>
      <c r="O304" s="3" t="str">
        <f>IF(Table2[[#This Row],[MonthlyIncome]]&lt;=5000, "$1001 - $5000", IF(Table2[[#This Row],[MonthlyIncome]]&lt;=9000, "$5001 - $9000", IF(Table2[[#This Row],[MonthlyIncome]]&lt;=13000, "$9001 - $13000", IF(Table2[[#This Row],[MonthlyIncome]]&lt;=17000, "$13001 - $17000", IF(Table2[[#This Row],[MonthlyIncome]]&lt;=21000, "$17001 - $21000")))))</f>
        <v>$5001 - $9000</v>
      </c>
      <c r="P304">
        <v>0</v>
      </c>
      <c r="Q304">
        <v>3</v>
      </c>
      <c r="R304">
        <v>8</v>
      </c>
      <c r="S3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05" spans="1:19" ht="14.25" x14ac:dyDescent="0.2">
      <c r="A305">
        <v>81668095</v>
      </c>
      <c r="B305">
        <v>31</v>
      </c>
      <c r="C305" t="s">
        <v>25</v>
      </c>
      <c r="D305" t="s">
        <v>24</v>
      </c>
      <c r="E305" t="s">
        <v>22</v>
      </c>
      <c r="F305">
        <f>IF(Table2[[#This Row],[Attrition]]="Yes", 1, 0)</f>
        <v>0</v>
      </c>
      <c r="G305" t="s">
        <v>21</v>
      </c>
      <c r="H305" t="s">
        <v>17</v>
      </c>
      <c r="I305">
        <v>7</v>
      </c>
      <c r="J305">
        <v>3</v>
      </c>
      <c r="K305" t="s">
        <v>37</v>
      </c>
      <c r="L305">
        <v>2</v>
      </c>
      <c r="M305">
        <v>4</v>
      </c>
      <c r="N305" s="3">
        <v>6929</v>
      </c>
      <c r="O305" s="3" t="str">
        <f>IF(Table2[[#This Row],[MonthlyIncome]]&lt;=5000, "$1001 - $5000", IF(Table2[[#This Row],[MonthlyIncome]]&lt;=9000, "$5001 - $9000", IF(Table2[[#This Row],[MonthlyIncome]]&lt;=13000, "$9001 - $13000", IF(Table2[[#This Row],[MonthlyIncome]]&lt;=17000, "$13001 - $17000", IF(Table2[[#This Row],[MonthlyIncome]]&lt;=21000, "$17001 - $21000")))))</f>
        <v>$5001 - $9000</v>
      </c>
      <c r="P305">
        <v>4</v>
      </c>
      <c r="Q305">
        <v>2</v>
      </c>
      <c r="R305">
        <v>8</v>
      </c>
      <c r="S3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06" spans="1:19" ht="14.25" x14ac:dyDescent="0.2">
      <c r="A306">
        <v>11668425</v>
      </c>
      <c r="B306">
        <v>39</v>
      </c>
      <c r="C306" t="s">
        <v>25</v>
      </c>
      <c r="D306" t="s">
        <v>30</v>
      </c>
      <c r="E306" t="s">
        <v>22</v>
      </c>
      <c r="F306">
        <f>IF(Table2[[#This Row],[Attrition]]="Yes", 1, 0)</f>
        <v>0</v>
      </c>
      <c r="G306" t="s">
        <v>32</v>
      </c>
      <c r="H306" t="s">
        <v>23</v>
      </c>
      <c r="I306">
        <v>1</v>
      </c>
      <c r="J306">
        <v>3</v>
      </c>
      <c r="K306" t="s">
        <v>29</v>
      </c>
      <c r="L306">
        <v>3</v>
      </c>
      <c r="M306">
        <v>4</v>
      </c>
      <c r="N306" s="3">
        <v>9613</v>
      </c>
      <c r="O306" s="3" t="str">
        <f>IF(Table2[[#This Row],[MonthlyIncome]]&lt;=5000, "$1001 - $5000", IF(Table2[[#This Row],[MonthlyIncome]]&lt;=9000, "$5001 - $9000", IF(Table2[[#This Row],[MonthlyIncome]]&lt;=13000, "$9001 - $13000", IF(Table2[[#This Row],[MonthlyIncome]]&lt;=17000, "$13001 - $17000", IF(Table2[[#This Row],[MonthlyIncome]]&lt;=21000, "$17001 - $21000")))))</f>
        <v>$9001 - $13000</v>
      </c>
      <c r="P306">
        <v>0</v>
      </c>
      <c r="Q306">
        <v>2</v>
      </c>
      <c r="R306">
        <v>18</v>
      </c>
      <c r="S3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307" spans="1:19" ht="14.25" x14ac:dyDescent="0.2">
      <c r="A307">
        <v>66613082</v>
      </c>
      <c r="B307">
        <v>36</v>
      </c>
      <c r="C307" t="s">
        <v>20</v>
      </c>
      <c r="D307" t="s">
        <v>24</v>
      </c>
      <c r="E307" t="s">
        <v>22</v>
      </c>
      <c r="F307">
        <f>IF(Table2[[#This Row],[Attrition]]="Yes", 1, 0)</f>
        <v>0</v>
      </c>
      <c r="G307" t="s">
        <v>28</v>
      </c>
      <c r="H307" t="s">
        <v>23</v>
      </c>
      <c r="I307">
        <v>24</v>
      </c>
      <c r="J307">
        <v>4</v>
      </c>
      <c r="K307" t="s">
        <v>18</v>
      </c>
      <c r="L307">
        <v>2</v>
      </c>
      <c r="M307">
        <v>2</v>
      </c>
      <c r="N307" s="3">
        <v>5674</v>
      </c>
      <c r="O307" s="3" t="str">
        <f>IF(Table2[[#This Row],[MonthlyIncome]]&lt;=5000, "$1001 - $5000", IF(Table2[[#This Row],[MonthlyIncome]]&lt;=9000, "$5001 - $9000", IF(Table2[[#This Row],[MonthlyIncome]]&lt;=13000, "$9001 - $13000", IF(Table2[[#This Row],[MonthlyIncome]]&lt;=17000, "$13001 - $17000", IF(Table2[[#This Row],[MonthlyIncome]]&lt;=21000, "$17001 - $21000")))))</f>
        <v>$5001 - $9000</v>
      </c>
      <c r="P307">
        <v>7</v>
      </c>
      <c r="Q307">
        <v>3</v>
      </c>
      <c r="R307">
        <v>9</v>
      </c>
      <c r="S3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08" spans="1:19" ht="14.25" x14ac:dyDescent="0.2">
      <c r="A308">
        <v>64433926</v>
      </c>
      <c r="B308">
        <v>32</v>
      </c>
      <c r="C308" t="s">
        <v>25</v>
      </c>
      <c r="D308" t="s">
        <v>24</v>
      </c>
      <c r="E308" t="s">
        <v>22</v>
      </c>
      <c r="F308">
        <f>IF(Table2[[#This Row],[Attrition]]="Yes", 1, 0)</f>
        <v>0</v>
      </c>
      <c r="G308" t="s">
        <v>21</v>
      </c>
      <c r="H308" t="s">
        <v>17</v>
      </c>
      <c r="I308">
        <v>7</v>
      </c>
      <c r="J308">
        <v>3</v>
      </c>
      <c r="K308" t="s">
        <v>18</v>
      </c>
      <c r="L308">
        <v>4</v>
      </c>
      <c r="M308">
        <v>3</v>
      </c>
      <c r="N308" s="3">
        <v>5484</v>
      </c>
      <c r="O308" s="3" t="str">
        <f>IF(Table2[[#This Row],[MonthlyIncome]]&lt;=5000, "$1001 - $5000", IF(Table2[[#This Row],[MonthlyIncome]]&lt;=9000, "$5001 - $9000", IF(Table2[[#This Row],[MonthlyIncome]]&lt;=13000, "$9001 - $13000", IF(Table2[[#This Row],[MonthlyIncome]]&lt;=17000, "$13001 - $17000", IF(Table2[[#This Row],[MonthlyIncome]]&lt;=21000, "$17001 - $21000")))))</f>
        <v>$5001 - $9000</v>
      </c>
      <c r="P308">
        <v>1</v>
      </c>
      <c r="Q308">
        <v>2</v>
      </c>
      <c r="R308">
        <v>13</v>
      </c>
      <c r="S3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09" spans="1:19" ht="14.25" x14ac:dyDescent="0.2">
      <c r="A309">
        <v>68689296</v>
      </c>
      <c r="B309">
        <v>38</v>
      </c>
      <c r="C309" t="s">
        <v>20</v>
      </c>
      <c r="D309" t="s">
        <v>24</v>
      </c>
      <c r="E309" t="s">
        <v>22</v>
      </c>
      <c r="F309">
        <f>IF(Table2[[#This Row],[Attrition]]="Yes", 1, 0)</f>
        <v>0</v>
      </c>
      <c r="G309" t="s">
        <v>35</v>
      </c>
      <c r="H309" t="s">
        <v>23</v>
      </c>
      <c r="I309">
        <v>25</v>
      </c>
      <c r="J309">
        <v>2</v>
      </c>
      <c r="K309" t="s">
        <v>18</v>
      </c>
      <c r="L309">
        <v>1</v>
      </c>
      <c r="M309">
        <v>2</v>
      </c>
      <c r="N309" s="3">
        <v>12061</v>
      </c>
      <c r="O309" s="3" t="str">
        <f>IF(Table2[[#This Row],[MonthlyIncome]]&lt;=5000, "$1001 - $5000", IF(Table2[[#This Row],[MonthlyIncome]]&lt;=9000, "$5001 - $9000", IF(Table2[[#This Row],[MonthlyIncome]]&lt;=13000, "$9001 - $13000", IF(Table2[[#This Row],[MonthlyIncome]]&lt;=17000, "$13001 - $17000", IF(Table2[[#This Row],[MonthlyIncome]]&lt;=21000, "$17001 - $21000")))))</f>
        <v>$9001 - $13000</v>
      </c>
      <c r="P309">
        <v>3</v>
      </c>
      <c r="Q309">
        <v>3</v>
      </c>
      <c r="R309">
        <v>10</v>
      </c>
      <c r="S3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10" spans="1:19" ht="14.25" x14ac:dyDescent="0.2">
      <c r="A310">
        <v>80116339</v>
      </c>
      <c r="B310">
        <v>58</v>
      </c>
      <c r="C310" t="s">
        <v>25</v>
      </c>
      <c r="D310" t="s">
        <v>30</v>
      </c>
      <c r="E310" t="s">
        <v>22</v>
      </c>
      <c r="F310">
        <f>IF(Table2[[#This Row],[Attrition]]="Yes", 1, 0)</f>
        <v>0</v>
      </c>
      <c r="G310" t="s">
        <v>32</v>
      </c>
      <c r="H310" t="s">
        <v>23</v>
      </c>
      <c r="I310">
        <v>1</v>
      </c>
      <c r="J310">
        <v>4</v>
      </c>
      <c r="K310" t="s">
        <v>18</v>
      </c>
      <c r="L310">
        <v>4</v>
      </c>
      <c r="M310">
        <v>3</v>
      </c>
      <c r="N310" s="3">
        <v>5660</v>
      </c>
      <c r="O310" s="3" t="str">
        <f>IF(Table2[[#This Row],[MonthlyIncome]]&lt;=5000, "$1001 - $5000", IF(Table2[[#This Row],[MonthlyIncome]]&lt;=9000, "$5001 - $9000", IF(Table2[[#This Row],[MonthlyIncome]]&lt;=13000, "$9001 - $13000", IF(Table2[[#This Row],[MonthlyIncome]]&lt;=17000, "$13001 - $17000", IF(Table2[[#This Row],[MonthlyIncome]]&lt;=21000, "$17001 - $21000")))))</f>
        <v>$5001 - $9000</v>
      </c>
      <c r="P310">
        <v>2</v>
      </c>
      <c r="Q310">
        <v>3</v>
      </c>
      <c r="R310">
        <v>5</v>
      </c>
      <c r="S3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11" spans="1:19" ht="14.25" x14ac:dyDescent="0.2">
      <c r="A311">
        <v>76955127</v>
      </c>
      <c r="B311">
        <v>31</v>
      </c>
      <c r="C311" t="s">
        <v>25</v>
      </c>
      <c r="D311" t="s">
        <v>24</v>
      </c>
      <c r="E311" t="s">
        <v>22</v>
      </c>
      <c r="F311">
        <f>IF(Table2[[#This Row],[Attrition]]="Yes", 1, 0)</f>
        <v>0</v>
      </c>
      <c r="G311" t="s">
        <v>26</v>
      </c>
      <c r="H311" t="s">
        <v>23</v>
      </c>
      <c r="I311">
        <v>5</v>
      </c>
      <c r="J311">
        <v>4</v>
      </c>
      <c r="K311" t="s">
        <v>37</v>
      </c>
      <c r="L311">
        <v>3</v>
      </c>
      <c r="M311">
        <v>4</v>
      </c>
      <c r="N311" s="3">
        <v>4821</v>
      </c>
      <c r="O311" s="3" t="str">
        <f>IF(Table2[[#This Row],[MonthlyIncome]]&lt;=5000, "$1001 - $5000", IF(Table2[[#This Row],[MonthlyIncome]]&lt;=9000, "$5001 - $9000", IF(Table2[[#This Row],[MonthlyIncome]]&lt;=13000, "$9001 - $13000", IF(Table2[[#This Row],[MonthlyIncome]]&lt;=17000, "$13001 - $17000", IF(Table2[[#This Row],[MonthlyIncome]]&lt;=21000, "$17001 - $21000")))))</f>
        <v>$1001 - $5000</v>
      </c>
      <c r="P311">
        <v>0</v>
      </c>
      <c r="Q311">
        <v>3</v>
      </c>
      <c r="R311">
        <v>5</v>
      </c>
      <c r="S3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12" spans="1:19" ht="14.25" x14ac:dyDescent="0.2">
      <c r="A312">
        <v>52865979</v>
      </c>
      <c r="B312">
        <v>31</v>
      </c>
      <c r="C312" t="s">
        <v>25</v>
      </c>
      <c r="D312" t="s">
        <v>24</v>
      </c>
      <c r="E312" t="s">
        <v>22</v>
      </c>
      <c r="F312">
        <f>IF(Table2[[#This Row],[Attrition]]="Yes", 1, 0)</f>
        <v>0</v>
      </c>
      <c r="G312" t="s">
        <v>38</v>
      </c>
      <c r="H312" t="s">
        <v>38</v>
      </c>
      <c r="I312">
        <v>2</v>
      </c>
      <c r="J312">
        <v>3</v>
      </c>
      <c r="K312" t="s">
        <v>38</v>
      </c>
      <c r="L312">
        <v>1</v>
      </c>
      <c r="M312">
        <v>1</v>
      </c>
      <c r="N312" s="3">
        <v>6410</v>
      </c>
      <c r="O312" s="3" t="str">
        <f>IF(Table2[[#This Row],[MonthlyIncome]]&lt;=5000, "$1001 - $5000", IF(Table2[[#This Row],[MonthlyIncome]]&lt;=9000, "$5001 - $9000", IF(Table2[[#This Row],[MonthlyIncome]]&lt;=13000, "$9001 - $13000", IF(Table2[[#This Row],[MonthlyIncome]]&lt;=17000, "$13001 - $17000", IF(Table2[[#This Row],[MonthlyIncome]]&lt;=21000, "$17001 - $21000")))))</f>
        <v>$5001 - $9000</v>
      </c>
      <c r="P312">
        <v>3</v>
      </c>
      <c r="Q312">
        <v>3</v>
      </c>
      <c r="R312">
        <v>2</v>
      </c>
      <c r="S3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13" spans="1:19" ht="14.25" x14ac:dyDescent="0.2">
      <c r="A313">
        <v>18352737</v>
      </c>
      <c r="B313">
        <v>45</v>
      </c>
      <c r="C313" t="s">
        <v>25</v>
      </c>
      <c r="D313" t="s">
        <v>30</v>
      </c>
      <c r="E313" t="s">
        <v>22</v>
      </c>
      <c r="F313">
        <f>IF(Table2[[#This Row],[Attrition]]="Yes", 1, 0)</f>
        <v>0</v>
      </c>
      <c r="G313" t="s">
        <v>28</v>
      </c>
      <c r="H313" t="s">
        <v>23</v>
      </c>
      <c r="I313">
        <v>7</v>
      </c>
      <c r="J313">
        <v>3</v>
      </c>
      <c r="K313" t="s">
        <v>18</v>
      </c>
      <c r="L313">
        <v>1</v>
      </c>
      <c r="M313">
        <v>1</v>
      </c>
      <c r="N313" s="3">
        <v>5210</v>
      </c>
      <c r="O313" s="3" t="str">
        <f>IF(Table2[[#This Row],[MonthlyIncome]]&lt;=5000, "$1001 - $5000", IF(Table2[[#This Row],[MonthlyIncome]]&lt;=9000, "$5001 - $9000", IF(Table2[[#This Row],[MonthlyIncome]]&lt;=13000, "$9001 - $13000", IF(Table2[[#This Row],[MonthlyIncome]]&lt;=17000, "$13001 - $17000", IF(Table2[[#This Row],[MonthlyIncome]]&lt;=21000, "$17001 - $21000")))))</f>
        <v>$5001 - $9000</v>
      </c>
      <c r="P313">
        <v>1</v>
      </c>
      <c r="Q313">
        <v>3</v>
      </c>
      <c r="R313">
        <v>24</v>
      </c>
      <c r="S3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314" spans="1:19" ht="14.25" x14ac:dyDescent="0.2">
      <c r="A314">
        <v>30620555</v>
      </c>
      <c r="B314">
        <v>31</v>
      </c>
      <c r="C314" t="s">
        <v>25</v>
      </c>
      <c r="D314" t="s">
        <v>30</v>
      </c>
      <c r="E314" t="s">
        <v>22</v>
      </c>
      <c r="F314">
        <f>IF(Table2[[#This Row],[Attrition]]="Yes", 1, 0)</f>
        <v>0</v>
      </c>
      <c r="G314" t="s">
        <v>26</v>
      </c>
      <c r="H314" t="s">
        <v>23</v>
      </c>
      <c r="I314">
        <v>2</v>
      </c>
      <c r="J314">
        <v>4</v>
      </c>
      <c r="K314" t="s">
        <v>18</v>
      </c>
      <c r="L314">
        <v>3</v>
      </c>
      <c r="M314">
        <v>4</v>
      </c>
      <c r="N314" s="3">
        <v>2695</v>
      </c>
      <c r="O314" s="3" t="str">
        <f>IF(Table2[[#This Row],[MonthlyIncome]]&lt;=5000, "$1001 - $5000", IF(Table2[[#This Row],[MonthlyIncome]]&lt;=9000, "$5001 - $9000", IF(Table2[[#This Row],[MonthlyIncome]]&lt;=13000, "$9001 - $13000", IF(Table2[[#This Row],[MonthlyIncome]]&lt;=17000, "$13001 - $17000", IF(Table2[[#This Row],[MonthlyIncome]]&lt;=21000, "$17001 - $21000")))))</f>
        <v>$1001 - $5000</v>
      </c>
      <c r="P314">
        <v>0</v>
      </c>
      <c r="Q314">
        <v>1</v>
      </c>
      <c r="R314">
        <v>2</v>
      </c>
      <c r="S3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15" spans="1:19" ht="14.25" x14ac:dyDescent="0.2">
      <c r="A315">
        <v>44149248</v>
      </c>
      <c r="B315">
        <v>33</v>
      </c>
      <c r="C315" t="s">
        <v>20</v>
      </c>
      <c r="D315" t="s">
        <v>24</v>
      </c>
      <c r="E315" t="s">
        <v>22</v>
      </c>
      <c r="F315">
        <f>IF(Table2[[#This Row],[Attrition]]="Yes", 1, 0)</f>
        <v>0</v>
      </c>
      <c r="G315" t="s">
        <v>33</v>
      </c>
      <c r="H315" t="s">
        <v>23</v>
      </c>
      <c r="I315">
        <v>5</v>
      </c>
      <c r="J315">
        <v>4</v>
      </c>
      <c r="K315" t="s">
        <v>18</v>
      </c>
      <c r="L315">
        <v>4</v>
      </c>
      <c r="M315">
        <v>2</v>
      </c>
      <c r="N315" s="3">
        <v>11878</v>
      </c>
      <c r="O315" s="3" t="str">
        <f>IF(Table2[[#This Row],[MonthlyIncome]]&lt;=5000, "$1001 - $5000", IF(Table2[[#This Row],[MonthlyIncome]]&lt;=9000, "$5001 - $9000", IF(Table2[[#This Row],[MonthlyIncome]]&lt;=13000, "$9001 - $13000", IF(Table2[[#This Row],[MonthlyIncome]]&lt;=17000, "$13001 - $17000", IF(Table2[[#This Row],[MonthlyIncome]]&lt;=21000, "$17001 - $21000")))))</f>
        <v>$9001 - $13000</v>
      </c>
      <c r="P315">
        <v>6</v>
      </c>
      <c r="Q315">
        <v>3</v>
      </c>
      <c r="R315">
        <v>10</v>
      </c>
      <c r="S3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16" spans="1:19" ht="14.25" x14ac:dyDescent="0.2">
      <c r="A316">
        <v>73252720</v>
      </c>
      <c r="B316">
        <v>39</v>
      </c>
      <c r="C316" t="s">
        <v>25</v>
      </c>
      <c r="D316" t="s">
        <v>24</v>
      </c>
      <c r="E316" t="s">
        <v>22</v>
      </c>
      <c r="F316">
        <f>IF(Table2[[#This Row],[Attrition]]="Yes", 1, 0)</f>
        <v>0</v>
      </c>
      <c r="G316" t="s">
        <v>33</v>
      </c>
      <c r="H316" t="s">
        <v>23</v>
      </c>
      <c r="I316">
        <v>10</v>
      </c>
      <c r="J316">
        <v>1</v>
      </c>
      <c r="K316" t="s">
        <v>29</v>
      </c>
      <c r="L316">
        <v>3</v>
      </c>
      <c r="M316">
        <v>1</v>
      </c>
      <c r="N316" s="3">
        <v>17068</v>
      </c>
      <c r="O316" s="3" t="str">
        <f>IF(Table2[[#This Row],[MonthlyIncome]]&lt;=5000, "$1001 - $5000", IF(Table2[[#This Row],[MonthlyIncome]]&lt;=9000, "$5001 - $9000", IF(Table2[[#This Row],[MonthlyIncome]]&lt;=13000, "$9001 - $13000", IF(Table2[[#This Row],[MonthlyIncome]]&lt;=17000, "$13001 - $17000", IF(Table2[[#This Row],[MonthlyIncome]]&lt;=21000, "$17001 - $21000")))))</f>
        <v>$17001 - $21000</v>
      </c>
      <c r="P316">
        <v>1</v>
      </c>
      <c r="Q316">
        <v>3</v>
      </c>
      <c r="R316">
        <v>21</v>
      </c>
      <c r="S3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317" spans="1:19" ht="14.25" x14ac:dyDescent="0.2">
      <c r="A317">
        <v>75947845</v>
      </c>
      <c r="B317">
        <v>43</v>
      </c>
      <c r="C317" t="s">
        <v>20</v>
      </c>
      <c r="D317" t="s">
        <v>19</v>
      </c>
      <c r="E317" t="s">
        <v>22</v>
      </c>
      <c r="F317">
        <f>IF(Table2[[#This Row],[Attrition]]="Yes", 1, 0)</f>
        <v>0</v>
      </c>
      <c r="G317" t="s">
        <v>28</v>
      </c>
      <c r="H317" t="s">
        <v>23</v>
      </c>
      <c r="I317">
        <v>10</v>
      </c>
      <c r="J317">
        <v>4</v>
      </c>
      <c r="K317" t="s">
        <v>18</v>
      </c>
      <c r="L317">
        <v>3</v>
      </c>
      <c r="M317">
        <v>4</v>
      </c>
      <c r="N317" s="3">
        <v>2455</v>
      </c>
      <c r="O317" s="3" t="str">
        <f>IF(Table2[[#This Row],[MonthlyIncome]]&lt;=5000, "$1001 - $5000", IF(Table2[[#This Row],[MonthlyIncome]]&lt;=9000, "$5001 - $9000", IF(Table2[[#This Row],[MonthlyIncome]]&lt;=13000, "$9001 - $13000", IF(Table2[[#This Row],[MonthlyIncome]]&lt;=17000, "$13001 - $17000", IF(Table2[[#This Row],[MonthlyIncome]]&lt;=21000, "$17001 - $21000")))))</f>
        <v>$1001 - $5000</v>
      </c>
      <c r="P317">
        <v>0</v>
      </c>
      <c r="Q317">
        <v>3</v>
      </c>
      <c r="R317">
        <v>8</v>
      </c>
      <c r="S3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18" spans="1:19" ht="14.25" x14ac:dyDescent="0.2">
      <c r="A318">
        <v>81455793</v>
      </c>
      <c r="B318">
        <v>49</v>
      </c>
      <c r="C318" t="s">
        <v>20</v>
      </c>
      <c r="D318" t="s">
        <v>19</v>
      </c>
      <c r="E318" t="s">
        <v>22</v>
      </c>
      <c r="F318">
        <f>IF(Table2[[#This Row],[Attrition]]="Yes", 1, 0)</f>
        <v>0</v>
      </c>
      <c r="G318" t="s">
        <v>32</v>
      </c>
      <c r="H318" t="s">
        <v>23</v>
      </c>
      <c r="I318">
        <v>1</v>
      </c>
      <c r="J318">
        <v>2</v>
      </c>
      <c r="K318" t="s">
        <v>37</v>
      </c>
      <c r="L318">
        <v>3</v>
      </c>
      <c r="M318">
        <v>3</v>
      </c>
      <c r="N318" s="3">
        <v>13964</v>
      </c>
      <c r="O318" s="3" t="str">
        <f>IF(Table2[[#This Row],[MonthlyIncome]]&lt;=5000, "$1001 - $5000", IF(Table2[[#This Row],[MonthlyIncome]]&lt;=9000, "$5001 - $9000", IF(Table2[[#This Row],[MonthlyIncome]]&lt;=13000, "$9001 - $13000", IF(Table2[[#This Row],[MonthlyIncome]]&lt;=17000, "$13001 - $17000", IF(Table2[[#This Row],[MonthlyIncome]]&lt;=21000, "$17001 - $21000")))))</f>
        <v>$13001 - $17000</v>
      </c>
      <c r="P318">
        <v>7</v>
      </c>
      <c r="Q318">
        <v>3</v>
      </c>
      <c r="R318">
        <v>7</v>
      </c>
      <c r="S3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19" spans="1:19" ht="14.25" x14ac:dyDescent="0.2">
      <c r="A319">
        <v>13137839</v>
      </c>
      <c r="B319">
        <v>52</v>
      </c>
      <c r="C319" t="s">
        <v>25</v>
      </c>
      <c r="D319" t="s">
        <v>24</v>
      </c>
      <c r="E319" t="s">
        <v>16</v>
      </c>
      <c r="F319">
        <f>IF(Table2[[#This Row],[Attrition]]="Yes", 1, 0)</f>
        <v>1</v>
      </c>
      <c r="G319" t="s">
        <v>26</v>
      </c>
      <c r="H319" t="s">
        <v>23</v>
      </c>
      <c r="I319">
        <v>8</v>
      </c>
      <c r="J319">
        <v>4</v>
      </c>
      <c r="K319" t="s">
        <v>29</v>
      </c>
      <c r="L319">
        <v>3</v>
      </c>
      <c r="M319">
        <v>2</v>
      </c>
      <c r="N319" s="3">
        <v>4941</v>
      </c>
      <c r="O319" s="3" t="str">
        <f>IF(Table2[[#This Row],[MonthlyIncome]]&lt;=5000, "$1001 - $5000", IF(Table2[[#This Row],[MonthlyIncome]]&lt;=9000, "$5001 - $9000", IF(Table2[[#This Row],[MonthlyIncome]]&lt;=13000, "$9001 - $13000", IF(Table2[[#This Row],[MonthlyIncome]]&lt;=17000, "$13001 - $17000", IF(Table2[[#This Row],[MonthlyIncome]]&lt;=21000, "$17001 - $21000")))))</f>
        <v>$1001 - $5000</v>
      </c>
      <c r="P319">
        <v>2</v>
      </c>
      <c r="Q319">
        <v>2</v>
      </c>
      <c r="R319">
        <v>8</v>
      </c>
      <c r="S3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20" spans="1:19" ht="14.25" x14ac:dyDescent="0.2">
      <c r="A320">
        <v>85420101</v>
      </c>
      <c r="B320">
        <v>27</v>
      </c>
      <c r="C320" t="s">
        <v>20</v>
      </c>
      <c r="D320" t="s">
        <v>19</v>
      </c>
      <c r="E320" t="s">
        <v>22</v>
      </c>
      <c r="F320">
        <f>IF(Table2[[#This Row],[Attrition]]="Yes", 1, 0)</f>
        <v>0</v>
      </c>
      <c r="G320" t="s">
        <v>26</v>
      </c>
      <c r="H320" t="s">
        <v>23</v>
      </c>
      <c r="I320">
        <v>5</v>
      </c>
      <c r="J320">
        <v>3</v>
      </c>
      <c r="K320" t="s">
        <v>18</v>
      </c>
      <c r="L320">
        <v>3</v>
      </c>
      <c r="M320">
        <v>2</v>
      </c>
      <c r="N320" s="3">
        <v>2478</v>
      </c>
      <c r="O320" s="3" t="str">
        <f>IF(Table2[[#This Row],[MonthlyIncome]]&lt;=5000, "$1001 - $5000", IF(Table2[[#This Row],[MonthlyIncome]]&lt;=9000, "$5001 - $9000", IF(Table2[[#This Row],[MonthlyIncome]]&lt;=13000, "$9001 - $13000", IF(Table2[[#This Row],[MonthlyIncome]]&lt;=17000, "$13001 - $17000", IF(Table2[[#This Row],[MonthlyIncome]]&lt;=21000, "$17001 - $21000")))))</f>
        <v>$1001 - $5000</v>
      </c>
      <c r="P320">
        <v>1</v>
      </c>
      <c r="Q320">
        <v>2</v>
      </c>
      <c r="R320">
        <v>4</v>
      </c>
      <c r="S3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21" spans="1:19" ht="14.25" x14ac:dyDescent="0.2">
      <c r="A321">
        <v>22291417</v>
      </c>
      <c r="B321">
        <v>32</v>
      </c>
      <c r="C321" t="s">
        <v>20</v>
      </c>
      <c r="D321" t="s">
        <v>24</v>
      </c>
      <c r="E321" t="s">
        <v>22</v>
      </c>
      <c r="F321">
        <f>IF(Table2[[#This Row],[Attrition]]="Yes", 1, 0)</f>
        <v>0</v>
      </c>
      <c r="G321" t="s">
        <v>21</v>
      </c>
      <c r="H321" t="s">
        <v>17</v>
      </c>
      <c r="I321">
        <v>8</v>
      </c>
      <c r="J321">
        <v>2</v>
      </c>
      <c r="K321" t="s">
        <v>37</v>
      </c>
      <c r="L321">
        <v>3</v>
      </c>
      <c r="M321">
        <v>2</v>
      </c>
      <c r="N321" s="3">
        <v>5228</v>
      </c>
      <c r="O321" s="3" t="str">
        <f>IF(Table2[[#This Row],[MonthlyIncome]]&lt;=5000, "$1001 - $5000", IF(Table2[[#This Row],[MonthlyIncome]]&lt;=9000, "$5001 - $9000", IF(Table2[[#This Row],[MonthlyIncome]]&lt;=13000, "$9001 - $13000", IF(Table2[[#This Row],[MonthlyIncome]]&lt;=17000, "$13001 - $17000", IF(Table2[[#This Row],[MonthlyIncome]]&lt;=21000, "$17001 - $21000")))))</f>
        <v>$5001 - $9000</v>
      </c>
      <c r="P321">
        <v>1</v>
      </c>
      <c r="Q321">
        <v>3</v>
      </c>
      <c r="R321">
        <v>13</v>
      </c>
      <c r="S3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22" spans="1:19" ht="14.25" x14ac:dyDescent="0.2">
      <c r="A322">
        <v>13167347</v>
      </c>
      <c r="B322">
        <v>27</v>
      </c>
      <c r="C322" t="s">
        <v>25</v>
      </c>
      <c r="D322" t="s">
        <v>19</v>
      </c>
      <c r="E322" t="s">
        <v>22</v>
      </c>
      <c r="F322">
        <f>IF(Table2[[#This Row],[Attrition]]="Yes", 1, 0)</f>
        <v>0</v>
      </c>
      <c r="G322" t="s">
        <v>21</v>
      </c>
      <c r="H322" t="s">
        <v>17</v>
      </c>
      <c r="I322">
        <v>2</v>
      </c>
      <c r="J322">
        <v>3</v>
      </c>
      <c r="K322" t="s">
        <v>18</v>
      </c>
      <c r="L322">
        <v>4</v>
      </c>
      <c r="M322">
        <v>3</v>
      </c>
      <c r="N322" s="3">
        <v>4478</v>
      </c>
      <c r="O322" s="3" t="str">
        <f>IF(Table2[[#This Row],[MonthlyIncome]]&lt;=5000, "$1001 - $5000", IF(Table2[[#This Row],[MonthlyIncome]]&lt;=9000, "$5001 - $9000", IF(Table2[[#This Row],[MonthlyIncome]]&lt;=13000, "$9001 - $13000", IF(Table2[[#This Row],[MonthlyIncome]]&lt;=17000, "$13001 - $17000", IF(Table2[[#This Row],[MonthlyIncome]]&lt;=21000, "$17001 - $21000")))))</f>
        <v>$1001 - $5000</v>
      </c>
      <c r="P322">
        <v>1</v>
      </c>
      <c r="Q322">
        <v>3</v>
      </c>
      <c r="R322">
        <v>5</v>
      </c>
      <c r="S3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23" spans="1:19" ht="14.25" x14ac:dyDescent="0.2">
      <c r="A323">
        <v>62042137</v>
      </c>
      <c r="B323">
        <v>31</v>
      </c>
      <c r="C323" t="s">
        <v>25</v>
      </c>
      <c r="D323" t="s">
        <v>30</v>
      </c>
      <c r="E323" t="s">
        <v>22</v>
      </c>
      <c r="F323">
        <f>IF(Table2[[#This Row],[Attrition]]="Yes", 1, 0)</f>
        <v>0</v>
      </c>
      <c r="G323" t="s">
        <v>21</v>
      </c>
      <c r="H323" t="s">
        <v>17</v>
      </c>
      <c r="I323">
        <v>7</v>
      </c>
      <c r="J323">
        <v>3</v>
      </c>
      <c r="K323" t="s">
        <v>36</v>
      </c>
      <c r="L323">
        <v>4</v>
      </c>
      <c r="M323">
        <v>4</v>
      </c>
      <c r="N323" s="3">
        <v>7547</v>
      </c>
      <c r="O323" s="3" t="str">
        <f>IF(Table2[[#This Row],[MonthlyIncome]]&lt;=5000, "$1001 - $5000", IF(Table2[[#This Row],[MonthlyIncome]]&lt;=9000, "$5001 - $9000", IF(Table2[[#This Row],[MonthlyIncome]]&lt;=13000, "$9001 - $13000", IF(Table2[[#This Row],[MonthlyIncome]]&lt;=17000, "$13001 - $17000", IF(Table2[[#This Row],[MonthlyIncome]]&lt;=21000, "$17001 - $21000")))))</f>
        <v>$5001 - $9000</v>
      </c>
      <c r="P323">
        <v>4</v>
      </c>
      <c r="Q323">
        <v>3</v>
      </c>
      <c r="R323">
        <v>7</v>
      </c>
      <c r="S3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24" spans="1:19" ht="14.25" x14ac:dyDescent="0.2">
      <c r="A324">
        <v>30056288</v>
      </c>
      <c r="B324">
        <v>32</v>
      </c>
      <c r="C324" t="s">
        <v>20</v>
      </c>
      <c r="D324" t="s">
        <v>19</v>
      </c>
      <c r="E324" t="s">
        <v>22</v>
      </c>
      <c r="F324">
        <f>IF(Table2[[#This Row],[Attrition]]="Yes", 1, 0)</f>
        <v>0</v>
      </c>
      <c r="G324" t="s">
        <v>26</v>
      </c>
      <c r="H324" t="s">
        <v>23</v>
      </c>
      <c r="I324">
        <v>2</v>
      </c>
      <c r="J324">
        <v>4</v>
      </c>
      <c r="K324" t="s">
        <v>29</v>
      </c>
      <c r="L324">
        <v>1</v>
      </c>
      <c r="M324">
        <v>4</v>
      </c>
      <c r="N324" s="3">
        <v>5055</v>
      </c>
      <c r="O324" s="3" t="str">
        <f>IF(Table2[[#This Row],[MonthlyIncome]]&lt;=5000, "$1001 - $5000", IF(Table2[[#This Row],[MonthlyIncome]]&lt;=9000, "$5001 - $9000", IF(Table2[[#This Row],[MonthlyIncome]]&lt;=13000, "$9001 - $13000", IF(Table2[[#This Row],[MonthlyIncome]]&lt;=17000, "$13001 - $17000", IF(Table2[[#This Row],[MonthlyIncome]]&lt;=21000, "$17001 - $21000")))))</f>
        <v>$5001 - $9000</v>
      </c>
      <c r="P324">
        <v>7</v>
      </c>
      <c r="Q324">
        <v>2</v>
      </c>
      <c r="R324">
        <v>7</v>
      </c>
      <c r="S3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25" spans="1:19" ht="14.25" x14ac:dyDescent="0.2">
      <c r="A325">
        <v>63530197</v>
      </c>
      <c r="B325">
        <v>28</v>
      </c>
      <c r="C325" t="s">
        <v>25</v>
      </c>
      <c r="D325" t="s">
        <v>24</v>
      </c>
      <c r="E325" t="s">
        <v>16</v>
      </c>
      <c r="F325">
        <f>IF(Table2[[#This Row],[Attrition]]="Yes", 1, 0)</f>
        <v>1</v>
      </c>
      <c r="G325" t="s">
        <v>26</v>
      </c>
      <c r="H325" t="s">
        <v>23</v>
      </c>
      <c r="I325">
        <v>2</v>
      </c>
      <c r="J325">
        <v>4</v>
      </c>
      <c r="K325" t="s">
        <v>29</v>
      </c>
      <c r="L325">
        <v>1</v>
      </c>
      <c r="M325">
        <v>4</v>
      </c>
      <c r="N325" s="3">
        <v>3464</v>
      </c>
      <c r="O325" s="3" t="str">
        <f>IF(Table2[[#This Row],[MonthlyIncome]]&lt;=5000, "$1001 - $5000", IF(Table2[[#This Row],[MonthlyIncome]]&lt;=9000, "$5001 - $9000", IF(Table2[[#This Row],[MonthlyIncome]]&lt;=13000, "$9001 - $13000", IF(Table2[[#This Row],[MonthlyIncome]]&lt;=17000, "$13001 - $17000", IF(Table2[[#This Row],[MonthlyIncome]]&lt;=21000, "$17001 - $21000")))))</f>
        <v>$1001 - $5000</v>
      </c>
      <c r="P325">
        <v>5</v>
      </c>
      <c r="Q325">
        <v>2</v>
      </c>
      <c r="R325">
        <v>3</v>
      </c>
      <c r="S3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26" spans="1:19" ht="14.25" x14ac:dyDescent="0.2">
      <c r="A326">
        <v>17398393</v>
      </c>
      <c r="B326">
        <v>30</v>
      </c>
      <c r="C326" t="s">
        <v>20</v>
      </c>
      <c r="D326" t="s">
        <v>24</v>
      </c>
      <c r="E326" t="s">
        <v>22</v>
      </c>
      <c r="F326">
        <f>IF(Table2[[#This Row],[Attrition]]="Yes", 1, 0)</f>
        <v>0</v>
      </c>
      <c r="G326" t="s">
        <v>26</v>
      </c>
      <c r="H326" t="s">
        <v>23</v>
      </c>
      <c r="I326">
        <v>28</v>
      </c>
      <c r="J326">
        <v>2</v>
      </c>
      <c r="K326" t="s">
        <v>29</v>
      </c>
      <c r="L326">
        <v>4</v>
      </c>
      <c r="M326">
        <v>4</v>
      </c>
      <c r="N326" s="3">
        <v>5775</v>
      </c>
      <c r="O326" s="3" t="str">
        <f>IF(Table2[[#This Row],[MonthlyIncome]]&lt;=5000, "$1001 - $5000", IF(Table2[[#This Row],[MonthlyIncome]]&lt;=9000, "$5001 - $9000", IF(Table2[[#This Row],[MonthlyIncome]]&lt;=13000, "$9001 - $13000", IF(Table2[[#This Row],[MonthlyIncome]]&lt;=17000, "$13001 - $17000", IF(Table2[[#This Row],[MonthlyIncome]]&lt;=21000, "$17001 - $21000")))))</f>
        <v>$5001 - $9000</v>
      </c>
      <c r="P326">
        <v>1</v>
      </c>
      <c r="Q326">
        <v>3</v>
      </c>
      <c r="R326">
        <v>10</v>
      </c>
      <c r="S3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27" spans="1:19" ht="14.25" x14ac:dyDescent="0.2">
      <c r="A327">
        <v>43352109</v>
      </c>
      <c r="B327">
        <v>31</v>
      </c>
      <c r="C327" t="s">
        <v>20</v>
      </c>
      <c r="D327" t="s">
        <v>24</v>
      </c>
      <c r="E327" t="s">
        <v>22</v>
      </c>
      <c r="F327">
        <f>IF(Table2[[#This Row],[Attrition]]="Yes", 1, 0)</f>
        <v>0</v>
      </c>
      <c r="G327" t="s">
        <v>31</v>
      </c>
      <c r="H327" t="s">
        <v>23</v>
      </c>
      <c r="I327">
        <v>7</v>
      </c>
      <c r="J327">
        <v>2</v>
      </c>
      <c r="K327" t="s">
        <v>18</v>
      </c>
      <c r="L327">
        <v>3</v>
      </c>
      <c r="M327">
        <v>3</v>
      </c>
      <c r="N327" s="3">
        <v>8943</v>
      </c>
      <c r="O327" s="3" t="str">
        <f>IF(Table2[[#This Row],[MonthlyIncome]]&lt;=5000, "$1001 - $5000", IF(Table2[[#This Row],[MonthlyIncome]]&lt;=9000, "$5001 - $9000", IF(Table2[[#This Row],[MonthlyIncome]]&lt;=13000, "$9001 - $13000", IF(Table2[[#This Row],[MonthlyIncome]]&lt;=17000, "$13001 - $17000", IF(Table2[[#This Row],[MonthlyIncome]]&lt;=21000, "$17001 - $21000")))))</f>
        <v>$5001 - $9000</v>
      </c>
      <c r="P327">
        <v>1</v>
      </c>
      <c r="Q327">
        <v>3</v>
      </c>
      <c r="R327">
        <v>10</v>
      </c>
      <c r="S3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28" spans="1:19" ht="14.25" x14ac:dyDescent="0.2">
      <c r="A328">
        <v>84788010</v>
      </c>
      <c r="B328">
        <v>39</v>
      </c>
      <c r="C328" t="s">
        <v>25</v>
      </c>
      <c r="D328" t="s">
        <v>24</v>
      </c>
      <c r="E328" t="s">
        <v>22</v>
      </c>
      <c r="F328">
        <f>IF(Table2[[#This Row],[Attrition]]="Yes", 1, 0)</f>
        <v>0</v>
      </c>
      <c r="G328" t="s">
        <v>33</v>
      </c>
      <c r="H328" t="s">
        <v>23</v>
      </c>
      <c r="I328">
        <v>7</v>
      </c>
      <c r="J328">
        <v>2</v>
      </c>
      <c r="K328" t="s">
        <v>29</v>
      </c>
      <c r="L328">
        <v>3</v>
      </c>
      <c r="M328">
        <v>4</v>
      </c>
      <c r="N328" s="3">
        <v>19272</v>
      </c>
      <c r="O328" s="3" t="str">
        <f>IF(Table2[[#This Row],[MonthlyIncome]]&lt;=5000, "$1001 - $5000", IF(Table2[[#This Row],[MonthlyIncome]]&lt;=9000, "$5001 - $9000", IF(Table2[[#This Row],[MonthlyIncome]]&lt;=13000, "$9001 - $13000", IF(Table2[[#This Row],[MonthlyIncome]]&lt;=17000, "$13001 - $17000", IF(Table2[[#This Row],[MonthlyIncome]]&lt;=21000, "$17001 - $21000")))))</f>
        <v>$17001 - $21000</v>
      </c>
      <c r="P328">
        <v>1</v>
      </c>
      <c r="Q328">
        <v>3</v>
      </c>
      <c r="R328">
        <v>21</v>
      </c>
      <c r="S3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329" spans="1:19" ht="14.25" x14ac:dyDescent="0.2">
      <c r="A329">
        <v>53826437</v>
      </c>
      <c r="B329">
        <v>39</v>
      </c>
      <c r="C329" t="s">
        <v>20</v>
      </c>
      <c r="D329" t="s">
        <v>24</v>
      </c>
      <c r="E329" t="s">
        <v>16</v>
      </c>
      <c r="F329">
        <f>IF(Table2[[#This Row],[Attrition]]="Yes", 1, 0)</f>
        <v>1</v>
      </c>
      <c r="G329" t="s">
        <v>21</v>
      </c>
      <c r="H329" t="s">
        <v>17</v>
      </c>
      <c r="I329">
        <v>3</v>
      </c>
      <c r="J329">
        <v>2</v>
      </c>
      <c r="K329" t="s">
        <v>29</v>
      </c>
      <c r="L329">
        <v>4</v>
      </c>
      <c r="M329">
        <v>3</v>
      </c>
      <c r="N329" s="3">
        <v>5238</v>
      </c>
      <c r="O329" s="3" t="str">
        <f>IF(Table2[[#This Row],[MonthlyIncome]]&lt;=5000, "$1001 - $5000", IF(Table2[[#This Row],[MonthlyIncome]]&lt;=9000, "$5001 - $9000", IF(Table2[[#This Row],[MonthlyIncome]]&lt;=13000, "$9001 - $13000", IF(Table2[[#This Row],[MonthlyIncome]]&lt;=17000, "$13001 - $17000", IF(Table2[[#This Row],[MonthlyIncome]]&lt;=21000, "$17001 - $21000")))))</f>
        <v>$5001 - $9000</v>
      </c>
      <c r="P329">
        <v>4</v>
      </c>
      <c r="Q329">
        <v>2</v>
      </c>
      <c r="R329">
        <v>1</v>
      </c>
      <c r="S3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30" spans="1:19" ht="14.25" x14ac:dyDescent="0.2">
      <c r="A330">
        <v>75627113</v>
      </c>
      <c r="B330">
        <v>33</v>
      </c>
      <c r="C330" t="s">
        <v>25</v>
      </c>
      <c r="D330" t="s">
        <v>19</v>
      </c>
      <c r="E330" t="s">
        <v>22</v>
      </c>
      <c r="F330">
        <f>IF(Table2[[#This Row],[Attrition]]="Yes", 1, 0)</f>
        <v>0</v>
      </c>
      <c r="G330" t="s">
        <v>21</v>
      </c>
      <c r="H330" t="s">
        <v>17</v>
      </c>
      <c r="I330">
        <v>10</v>
      </c>
      <c r="J330">
        <v>3</v>
      </c>
      <c r="K330" t="s">
        <v>36</v>
      </c>
      <c r="L330">
        <v>2</v>
      </c>
      <c r="M330">
        <v>4</v>
      </c>
      <c r="N330" s="3">
        <v>4682</v>
      </c>
      <c r="O330" s="3" t="str">
        <f>IF(Table2[[#This Row],[MonthlyIncome]]&lt;=5000, "$1001 - $5000", IF(Table2[[#This Row],[MonthlyIncome]]&lt;=9000, "$5001 - $9000", IF(Table2[[#This Row],[MonthlyIncome]]&lt;=13000, "$9001 - $13000", IF(Table2[[#This Row],[MonthlyIncome]]&lt;=17000, "$13001 - $17000", IF(Table2[[#This Row],[MonthlyIncome]]&lt;=21000, "$17001 - $21000")))))</f>
        <v>$1001 - $5000</v>
      </c>
      <c r="P330">
        <v>3</v>
      </c>
      <c r="Q330">
        <v>2</v>
      </c>
      <c r="R330">
        <v>7</v>
      </c>
      <c r="S3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31" spans="1:19" ht="14.25" x14ac:dyDescent="0.2">
      <c r="A331">
        <v>51026969</v>
      </c>
      <c r="B331">
        <v>47</v>
      </c>
      <c r="C331" t="s">
        <v>25</v>
      </c>
      <c r="D331" t="s">
        <v>24</v>
      </c>
      <c r="E331" t="s">
        <v>22</v>
      </c>
      <c r="F331">
        <f>IF(Table2[[#This Row],[Attrition]]="Yes", 1, 0)</f>
        <v>0</v>
      </c>
      <c r="G331" t="s">
        <v>35</v>
      </c>
      <c r="H331" t="s">
        <v>23</v>
      </c>
      <c r="I331">
        <v>5</v>
      </c>
      <c r="J331">
        <v>5</v>
      </c>
      <c r="K331" t="s">
        <v>18</v>
      </c>
      <c r="L331">
        <v>4</v>
      </c>
      <c r="M331">
        <v>3</v>
      </c>
      <c r="N331" s="3">
        <v>18300</v>
      </c>
      <c r="O331" s="3" t="str">
        <f>IF(Table2[[#This Row],[MonthlyIncome]]&lt;=5000, "$1001 - $5000", IF(Table2[[#This Row],[MonthlyIncome]]&lt;=9000, "$5001 - $9000", IF(Table2[[#This Row],[MonthlyIncome]]&lt;=13000, "$9001 - $13000", IF(Table2[[#This Row],[MonthlyIncome]]&lt;=17000, "$13001 - $17000", IF(Table2[[#This Row],[MonthlyIncome]]&lt;=21000, "$17001 - $21000")))))</f>
        <v>$17001 - $21000</v>
      </c>
      <c r="P331">
        <v>4</v>
      </c>
      <c r="Q331">
        <v>3</v>
      </c>
      <c r="R331">
        <v>3</v>
      </c>
      <c r="S3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32" spans="1:19" ht="14.25" x14ac:dyDescent="0.2">
      <c r="A332">
        <v>17429481</v>
      </c>
      <c r="B332">
        <v>43</v>
      </c>
      <c r="C332" t="s">
        <v>20</v>
      </c>
      <c r="D332" t="s">
        <v>30</v>
      </c>
      <c r="E332" t="s">
        <v>22</v>
      </c>
      <c r="F332">
        <f>IF(Table2[[#This Row],[Attrition]]="Yes", 1, 0)</f>
        <v>0</v>
      </c>
      <c r="G332" t="s">
        <v>28</v>
      </c>
      <c r="H332" t="s">
        <v>23</v>
      </c>
      <c r="I332">
        <v>10</v>
      </c>
      <c r="J332">
        <v>4</v>
      </c>
      <c r="K332" t="s">
        <v>18</v>
      </c>
      <c r="L332">
        <v>3</v>
      </c>
      <c r="M332">
        <v>3</v>
      </c>
      <c r="N332" s="3">
        <v>5257</v>
      </c>
      <c r="O332" s="3" t="str">
        <f>IF(Table2[[#This Row],[MonthlyIncome]]&lt;=5000, "$1001 - $5000", IF(Table2[[#This Row],[MonthlyIncome]]&lt;=9000, "$5001 - $9000", IF(Table2[[#This Row],[MonthlyIncome]]&lt;=13000, "$9001 - $13000", IF(Table2[[#This Row],[MonthlyIncome]]&lt;=17000, "$13001 - $17000", IF(Table2[[#This Row],[MonthlyIncome]]&lt;=21000, "$17001 - $21000")))))</f>
        <v>$5001 - $9000</v>
      </c>
      <c r="P332">
        <v>1</v>
      </c>
      <c r="Q332">
        <v>4</v>
      </c>
      <c r="R332">
        <v>9</v>
      </c>
      <c r="S3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33" spans="1:19" ht="14.25" x14ac:dyDescent="0.2">
      <c r="A333">
        <v>48130075</v>
      </c>
      <c r="B333">
        <v>27</v>
      </c>
      <c r="C333" t="s">
        <v>25</v>
      </c>
      <c r="D333" t="s">
        <v>24</v>
      </c>
      <c r="E333" t="s">
        <v>22</v>
      </c>
      <c r="F333">
        <f>IF(Table2[[#This Row],[Attrition]]="Yes", 1, 0)</f>
        <v>0</v>
      </c>
      <c r="G333" t="s">
        <v>21</v>
      </c>
      <c r="H333" t="s">
        <v>17</v>
      </c>
      <c r="I333">
        <v>1</v>
      </c>
      <c r="J333">
        <v>1</v>
      </c>
      <c r="K333" t="s">
        <v>36</v>
      </c>
      <c r="L333">
        <v>3</v>
      </c>
      <c r="M333">
        <v>2</v>
      </c>
      <c r="N333" s="3">
        <v>6349</v>
      </c>
      <c r="O333" s="3" t="str">
        <f>IF(Table2[[#This Row],[MonthlyIncome]]&lt;=5000, "$1001 - $5000", IF(Table2[[#This Row],[MonthlyIncome]]&lt;=9000, "$5001 - $9000", IF(Table2[[#This Row],[MonthlyIncome]]&lt;=13000, "$9001 - $13000", IF(Table2[[#This Row],[MonthlyIncome]]&lt;=17000, "$13001 - $17000", IF(Table2[[#This Row],[MonthlyIncome]]&lt;=21000, "$17001 - $21000")))))</f>
        <v>$5001 - $9000</v>
      </c>
      <c r="P333">
        <v>0</v>
      </c>
      <c r="Q333">
        <v>3</v>
      </c>
      <c r="R333">
        <v>5</v>
      </c>
      <c r="S3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34" spans="1:19" ht="14.25" x14ac:dyDescent="0.2">
      <c r="A334">
        <v>21217161</v>
      </c>
      <c r="B334">
        <v>54</v>
      </c>
      <c r="C334" t="s">
        <v>20</v>
      </c>
      <c r="D334" t="s">
        <v>19</v>
      </c>
      <c r="E334" t="s">
        <v>22</v>
      </c>
      <c r="F334">
        <f>IF(Table2[[#This Row],[Attrition]]="Yes", 1, 0)</f>
        <v>0</v>
      </c>
      <c r="G334" t="s">
        <v>26</v>
      </c>
      <c r="H334" t="s">
        <v>23</v>
      </c>
      <c r="I334">
        <v>20</v>
      </c>
      <c r="J334">
        <v>4</v>
      </c>
      <c r="K334" t="s">
        <v>18</v>
      </c>
      <c r="L334">
        <v>4</v>
      </c>
      <c r="M334">
        <v>3</v>
      </c>
      <c r="N334" s="3">
        <v>4869</v>
      </c>
      <c r="O334" s="3" t="str">
        <f>IF(Table2[[#This Row],[MonthlyIncome]]&lt;=5000, "$1001 - $5000", IF(Table2[[#This Row],[MonthlyIncome]]&lt;=9000, "$5001 - $9000", IF(Table2[[#This Row],[MonthlyIncome]]&lt;=13000, "$9001 - $13000", IF(Table2[[#This Row],[MonthlyIncome]]&lt;=17000, "$13001 - $17000", IF(Table2[[#This Row],[MonthlyIncome]]&lt;=21000, "$17001 - $21000")))))</f>
        <v>$1001 - $5000</v>
      </c>
      <c r="P334">
        <v>3</v>
      </c>
      <c r="Q334">
        <v>2</v>
      </c>
      <c r="R334">
        <v>4</v>
      </c>
      <c r="S3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35" spans="1:19" ht="14.25" x14ac:dyDescent="0.2">
      <c r="A335">
        <v>67695878</v>
      </c>
      <c r="B335">
        <v>43</v>
      </c>
      <c r="C335" t="s">
        <v>20</v>
      </c>
      <c r="D335" t="s">
        <v>24</v>
      </c>
      <c r="E335" t="s">
        <v>22</v>
      </c>
      <c r="F335">
        <f>IF(Table2[[#This Row],[Attrition]]="Yes", 1, 0)</f>
        <v>0</v>
      </c>
      <c r="G335" t="s">
        <v>32</v>
      </c>
      <c r="H335" t="s">
        <v>23</v>
      </c>
      <c r="I335">
        <v>7</v>
      </c>
      <c r="J335">
        <v>3</v>
      </c>
      <c r="K335" t="s">
        <v>18</v>
      </c>
      <c r="L335">
        <v>3</v>
      </c>
      <c r="M335">
        <v>1</v>
      </c>
      <c r="N335" s="3">
        <v>9985</v>
      </c>
      <c r="O335" s="3" t="str">
        <f>IF(Table2[[#This Row],[MonthlyIncome]]&lt;=5000, "$1001 - $5000", IF(Table2[[#This Row],[MonthlyIncome]]&lt;=9000, "$5001 - $9000", IF(Table2[[#This Row],[MonthlyIncome]]&lt;=13000, "$9001 - $13000", IF(Table2[[#This Row],[MonthlyIncome]]&lt;=17000, "$13001 - $17000", IF(Table2[[#This Row],[MonthlyIncome]]&lt;=21000, "$17001 - $21000")))))</f>
        <v>$9001 - $13000</v>
      </c>
      <c r="P335">
        <v>8</v>
      </c>
      <c r="Q335">
        <v>2</v>
      </c>
      <c r="R335">
        <v>1</v>
      </c>
      <c r="S3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36" spans="1:19" ht="14.25" x14ac:dyDescent="0.2">
      <c r="A336">
        <v>72473898</v>
      </c>
      <c r="B336">
        <v>45</v>
      </c>
      <c r="C336" t="s">
        <v>25</v>
      </c>
      <c r="D336" t="s">
        <v>24</v>
      </c>
      <c r="E336" t="s">
        <v>22</v>
      </c>
      <c r="F336">
        <f>IF(Table2[[#This Row],[Attrition]]="Yes", 1, 0)</f>
        <v>0</v>
      </c>
      <c r="G336" t="s">
        <v>26</v>
      </c>
      <c r="H336" t="s">
        <v>23</v>
      </c>
      <c r="I336">
        <v>8</v>
      </c>
      <c r="J336">
        <v>4</v>
      </c>
      <c r="K336" t="s">
        <v>27</v>
      </c>
      <c r="L336">
        <v>4</v>
      </c>
      <c r="M336">
        <v>4</v>
      </c>
      <c r="N336" s="3">
        <v>3697</v>
      </c>
      <c r="O336" s="3" t="str">
        <f>IF(Table2[[#This Row],[MonthlyIncome]]&lt;=5000, "$1001 - $5000", IF(Table2[[#This Row],[MonthlyIncome]]&lt;=9000, "$5001 - $9000", IF(Table2[[#This Row],[MonthlyIncome]]&lt;=13000, "$9001 - $13000", IF(Table2[[#This Row],[MonthlyIncome]]&lt;=17000, "$13001 - $17000", IF(Table2[[#This Row],[MonthlyIncome]]&lt;=21000, "$17001 - $21000")))))</f>
        <v>$1001 - $5000</v>
      </c>
      <c r="P336">
        <v>9</v>
      </c>
      <c r="Q336">
        <v>3</v>
      </c>
      <c r="R336">
        <v>10</v>
      </c>
      <c r="S3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37" spans="1:19" ht="14.25" x14ac:dyDescent="0.2">
      <c r="A337">
        <v>47029204</v>
      </c>
      <c r="B337">
        <v>40</v>
      </c>
      <c r="C337" t="s">
        <v>25</v>
      </c>
      <c r="D337" t="s">
        <v>24</v>
      </c>
      <c r="E337" t="s">
        <v>22</v>
      </c>
      <c r="F337">
        <f>IF(Table2[[#This Row],[Attrition]]="Yes", 1, 0)</f>
        <v>0</v>
      </c>
      <c r="G337" t="s">
        <v>21</v>
      </c>
      <c r="H337" t="s">
        <v>17</v>
      </c>
      <c r="I337">
        <v>1</v>
      </c>
      <c r="J337">
        <v>2</v>
      </c>
      <c r="K337" t="s">
        <v>29</v>
      </c>
      <c r="L337">
        <v>2</v>
      </c>
      <c r="M337">
        <v>4</v>
      </c>
      <c r="N337" s="3">
        <v>7457</v>
      </c>
      <c r="O337" s="3" t="str">
        <f>IF(Table2[[#This Row],[MonthlyIncome]]&lt;=5000, "$1001 - $5000", IF(Table2[[#This Row],[MonthlyIncome]]&lt;=9000, "$5001 - $9000", IF(Table2[[#This Row],[MonthlyIncome]]&lt;=13000, "$9001 - $13000", IF(Table2[[#This Row],[MonthlyIncome]]&lt;=17000, "$13001 - $17000", IF(Table2[[#This Row],[MonthlyIncome]]&lt;=21000, "$17001 - $21000")))))</f>
        <v>$5001 - $9000</v>
      </c>
      <c r="P337">
        <v>2</v>
      </c>
      <c r="Q337">
        <v>2</v>
      </c>
      <c r="R337">
        <v>4</v>
      </c>
      <c r="S3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38" spans="1:19" ht="14.25" x14ac:dyDescent="0.2">
      <c r="A338">
        <v>16103995</v>
      </c>
      <c r="B338">
        <v>29</v>
      </c>
      <c r="C338" t="s">
        <v>25</v>
      </c>
      <c r="D338" t="s">
        <v>24</v>
      </c>
      <c r="E338" t="s">
        <v>16</v>
      </c>
      <c r="F338">
        <f>IF(Table2[[#This Row],[Attrition]]="Yes", 1, 0)</f>
        <v>1</v>
      </c>
      <c r="G338" t="s">
        <v>28</v>
      </c>
      <c r="H338" t="s">
        <v>23</v>
      </c>
      <c r="I338">
        <v>8</v>
      </c>
      <c r="J338">
        <v>4</v>
      </c>
      <c r="K338" t="s">
        <v>27</v>
      </c>
      <c r="L338">
        <v>2</v>
      </c>
      <c r="M338">
        <v>1</v>
      </c>
      <c r="N338" s="3">
        <v>2119</v>
      </c>
      <c r="O338" s="3" t="str">
        <f>IF(Table2[[#This Row],[MonthlyIncome]]&lt;=5000, "$1001 - $5000", IF(Table2[[#This Row],[MonthlyIncome]]&lt;=9000, "$5001 - $9000", IF(Table2[[#This Row],[MonthlyIncome]]&lt;=13000, "$9001 - $13000", IF(Table2[[#This Row],[MonthlyIncome]]&lt;=17000, "$13001 - $17000", IF(Table2[[#This Row],[MonthlyIncome]]&lt;=21000, "$17001 - $21000")))))</f>
        <v>$1001 - $5000</v>
      </c>
      <c r="P338">
        <v>1</v>
      </c>
      <c r="Q338">
        <v>2</v>
      </c>
      <c r="R338">
        <v>7</v>
      </c>
      <c r="S3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39" spans="1:19" ht="14.25" x14ac:dyDescent="0.2">
      <c r="A339">
        <v>33599809</v>
      </c>
      <c r="B339">
        <v>29</v>
      </c>
      <c r="C339" t="s">
        <v>25</v>
      </c>
      <c r="D339" t="s">
        <v>19</v>
      </c>
      <c r="E339" t="s">
        <v>22</v>
      </c>
      <c r="F339">
        <f>IF(Table2[[#This Row],[Attrition]]="Yes", 1, 0)</f>
        <v>0</v>
      </c>
      <c r="G339" t="s">
        <v>28</v>
      </c>
      <c r="H339" t="s">
        <v>23</v>
      </c>
      <c r="I339">
        <v>9</v>
      </c>
      <c r="J339">
        <v>5</v>
      </c>
      <c r="K339" t="s">
        <v>27</v>
      </c>
      <c r="L339">
        <v>2</v>
      </c>
      <c r="M339">
        <v>4</v>
      </c>
      <c r="N339" s="3">
        <v>3983</v>
      </c>
      <c r="O339" s="3" t="str">
        <f>IF(Table2[[#This Row],[MonthlyIncome]]&lt;=5000, "$1001 - $5000", IF(Table2[[#This Row],[MonthlyIncome]]&lt;=9000, "$5001 - $9000", IF(Table2[[#This Row],[MonthlyIncome]]&lt;=13000, "$9001 - $13000", IF(Table2[[#This Row],[MonthlyIncome]]&lt;=17000, "$13001 - $17000", IF(Table2[[#This Row],[MonthlyIncome]]&lt;=21000, "$17001 - $21000")))))</f>
        <v>$1001 - $5000</v>
      </c>
      <c r="P339">
        <v>0</v>
      </c>
      <c r="Q339">
        <v>3</v>
      </c>
      <c r="R339">
        <v>3</v>
      </c>
      <c r="S3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40" spans="1:19" ht="14.25" x14ac:dyDescent="0.2">
      <c r="A340">
        <v>57251946</v>
      </c>
      <c r="B340">
        <v>30</v>
      </c>
      <c r="C340" t="s">
        <v>20</v>
      </c>
      <c r="D340" t="s">
        <v>30</v>
      </c>
      <c r="E340" t="s">
        <v>22</v>
      </c>
      <c r="F340">
        <f>IF(Table2[[#This Row],[Attrition]]="Yes", 1, 0)</f>
        <v>0</v>
      </c>
      <c r="G340" t="s">
        <v>21</v>
      </c>
      <c r="H340" t="s">
        <v>17</v>
      </c>
      <c r="I340">
        <v>5</v>
      </c>
      <c r="J340">
        <v>3</v>
      </c>
      <c r="K340" t="s">
        <v>36</v>
      </c>
      <c r="L340">
        <v>4</v>
      </c>
      <c r="M340">
        <v>3</v>
      </c>
      <c r="N340" s="3">
        <v>6118</v>
      </c>
      <c r="O340" s="3" t="str">
        <f>IF(Table2[[#This Row],[MonthlyIncome]]&lt;=5000, "$1001 - $5000", IF(Table2[[#This Row],[MonthlyIncome]]&lt;=9000, "$5001 - $9000", IF(Table2[[#This Row],[MonthlyIncome]]&lt;=13000, "$9001 - $13000", IF(Table2[[#This Row],[MonthlyIncome]]&lt;=17000, "$13001 - $17000", IF(Table2[[#This Row],[MonthlyIncome]]&lt;=21000, "$17001 - $21000")))))</f>
        <v>$5001 - $9000</v>
      </c>
      <c r="P340">
        <v>1</v>
      </c>
      <c r="Q340">
        <v>3</v>
      </c>
      <c r="R340">
        <v>10</v>
      </c>
      <c r="S3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41" spans="1:19" ht="14.25" x14ac:dyDescent="0.2">
      <c r="A341">
        <v>68433145</v>
      </c>
      <c r="B341">
        <v>27</v>
      </c>
      <c r="C341" t="s">
        <v>20</v>
      </c>
      <c r="D341" t="s">
        <v>24</v>
      </c>
      <c r="E341" t="s">
        <v>22</v>
      </c>
      <c r="F341">
        <f>IF(Table2[[#This Row],[Attrition]]="Yes", 1, 0)</f>
        <v>0</v>
      </c>
      <c r="G341" t="s">
        <v>21</v>
      </c>
      <c r="H341" t="s">
        <v>17</v>
      </c>
      <c r="I341">
        <v>8</v>
      </c>
      <c r="J341">
        <v>4</v>
      </c>
      <c r="K341" t="s">
        <v>36</v>
      </c>
      <c r="L341">
        <v>2</v>
      </c>
      <c r="M341">
        <v>2</v>
      </c>
      <c r="N341" s="3">
        <v>6214</v>
      </c>
      <c r="O341" s="3" t="str">
        <f>IF(Table2[[#This Row],[MonthlyIncome]]&lt;=5000, "$1001 - $5000", IF(Table2[[#This Row],[MonthlyIncome]]&lt;=9000, "$5001 - $9000", IF(Table2[[#This Row],[MonthlyIncome]]&lt;=13000, "$9001 - $13000", IF(Table2[[#This Row],[MonthlyIncome]]&lt;=17000, "$13001 - $17000", IF(Table2[[#This Row],[MonthlyIncome]]&lt;=21000, "$17001 - $21000")))))</f>
        <v>$5001 - $9000</v>
      </c>
      <c r="P341">
        <v>1</v>
      </c>
      <c r="Q341">
        <v>3</v>
      </c>
      <c r="R341">
        <v>8</v>
      </c>
      <c r="S3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42" spans="1:19" ht="14.25" x14ac:dyDescent="0.2">
      <c r="A342">
        <v>82659988</v>
      </c>
      <c r="B342">
        <v>37</v>
      </c>
      <c r="C342" t="s">
        <v>25</v>
      </c>
      <c r="D342" t="s">
        <v>30</v>
      </c>
      <c r="E342" t="s">
        <v>22</v>
      </c>
      <c r="F342">
        <f>IF(Table2[[#This Row],[Attrition]]="Yes", 1, 0)</f>
        <v>0</v>
      </c>
      <c r="G342" t="s">
        <v>31</v>
      </c>
      <c r="H342" t="s">
        <v>23</v>
      </c>
      <c r="I342">
        <v>5</v>
      </c>
      <c r="J342">
        <v>2</v>
      </c>
      <c r="K342" t="s">
        <v>29</v>
      </c>
      <c r="L342">
        <v>4</v>
      </c>
      <c r="M342">
        <v>4</v>
      </c>
      <c r="N342" s="3">
        <v>6347</v>
      </c>
      <c r="O342" s="3" t="str">
        <f>IF(Table2[[#This Row],[MonthlyIncome]]&lt;=5000, "$1001 - $5000", IF(Table2[[#This Row],[MonthlyIncome]]&lt;=9000, "$5001 - $9000", IF(Table2[[#This Row],[MonthlyIncome]]&lt;=13000, "$9001 - $13000", IF(Table2[[#This Row],[MonthlyIncome]]&lt;=17000, "$13001 - $17000", IF(Table2[[#This Row],[MonthlyIncome]]&lt;=21000, "$17001 - $21000")))))</f>
        <v>$5001 - $9000</v>
      </c>
      <c r="P342">
        <v>7</v>
      </c>
      <c r="Q342">
        <v>2</v>
      </c>
      <c r="R342">
        <v>6</v>
      </c>
      <c r="S3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43" spans="1:19" ht="14.25" x14ac:dyDescent="0.2">
      <c r="A343">
        <v>20205498</v>
      </c>
      <c r="B343">
        <v>38</v>
      </c>
      <c r="C343" t="s">
        <v>25</v>
      </c>
      <c r="D343" t="s">
        <v>30</v>
      </c>
      <c r="E343" t="s">
        <v>22</v>
      </c>
      <c r="F343">
        <f>IF(Table2[[#This Row],[Attrition]]="Yes", 1, 0)</f>
        <v>0</v>
      </c>
      <c r="G343" t="s">
        <v>35</v>
      </c>
      <c r="H343" t="s">
        <v>23</v>
      </c>
      <c r="I343">
        <v>15</v>
      </c>
      <c r="J343">
        <v>2</v>
      </c>
      <c r="K343" t="s">
        <v>18</v>
      </c>
      <c r="L343">
        <v>3</v>
      </c>
      <c r="M343">
        <v>4</v>
      </c>
      <c r="N343" s="3">
        <v>11510</v>
      </c>
      <c r="O343" s="3" t="str">
        <f>IF(Table2[[#This Row],[MonthlyIncome]]&lt;=5000, "$1001 - $5000", IF(Table2[[#This Row],[MonthlyIncome]]&lt;=9000, "$5001 - $9000", IF(Table2[[#This Row],[MonthlyIncome]]&lt;=13000, "$9001 - $13000", IF(Table2[[#This Row],[MonthlyIncome]]&lt;=17000, "$13001 - $17000", IF(Table2[[#This Row],[MonthlyIncome]]&lt;=21000, "$17001 - $21000")))))</f>
        <v>$9001 - $13000</v>
      </c>
      <c r="P343">
        <v>0</v>
      </c>
      <c r="Q343">
        <v>3</v>
      </c>
      <c r="R343">
        <v>11</v>
      </c>
      <c r="S3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44" spans="1:19" ht="14.25" x14ac:dyDescent="0.2">
      <c r="A344">
        <v>32709739</v>
      </c>
      <c r="B344">
        <v>31</v>
      </c>
      <c r="C344" t="s">
        <v>20</v>
      </c>
      <c r="D344" t="s">
        <v>19</v>
      </c>
      <c r="E344" t="s">
        <v>22</v>
      </c>
      <c r="F344">
        <f>IF(Table2[[#This Row],[Attrition]]="Yes", 1, 0)</f>
        <v>0</v>
      </c>
      <c r="G344" t="s">
        <v>31</v>
      </c>
      <c r="H344" t="s">
        <v>23</v>
      </c>
      <c r="I344">
        <v>7</v>
      </c>
      <c r="J344">
        <v>4</v>
      </c>
      <c r="K344" t="s">
        <v>29</v>
      </c>
      <c r="L344">
        <v>3</v>
      </c>
      <c r="M344">
        <v>4</v>
      </c>
      <c r="N344" s="3">
        <v>7143</v>
      </c>
      <c r="O344" s="3" t="str">
        <f>IF(Table2[[#This Row],[MonthlyIncome]]&lt;=5000, "$1001 - $5000", IF(Table2[[#This Row],[MonthlyIncome]]&lt;=9000, "$5001 - $9000", IF(Table2[[#This Row],[MonthlyIncome]]&lt;=13000, "$9001 - $13000", IF(Table2[[#This Row],[MonthlyIncome]]&lt;=17000, "$13001 - $17000", IF(Table2[[#This Row],[MonthlyIncome]]&lt;=21000, "$17001 - $21000")))))</f>
        <v>$5001 - $9000</v>
      </c>
      <c r="P344">
        <v>1</v>
      </c>
      <c r="Q344">
        <v>2</v>
      </c>
      <c r="R344">
        <v>11</v>
      </c>
      <c r="S3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45" spans="1:19" ht="14.25" x14ac:dyDescent="0.2">
      <c r="A345">
        <v>87998554</v>
      </c>
      <c r="B345">
        <v>29</v>
      </c>
      <c r="C345" t="s">
        <v>20</v>
      </c>
      <c r="D345" t="s">
        <v>30</v>
      </c>
      <c r="E345" t="s">
        <v>22</v>
      </c>
      <c r="F345">
        <f>IF(Table2[[#This Row],[Attrition]]="Yes", 1, 0)</f>
        <v>0</v>
      </c>
      <c r="G345" t="s">
        <v>21</v>
      </c>
      <c r="H345" t="s">
        <v>17</v>
      </c>
      <c r="I345">
        <v>10</v>
      </c>
      <c r="J345">
        <v>1</v>
      </c>
      <c r="K345" t="s">
        <v>36</v>
      </c>
      <c r="L345">
        <v>4</v>
      </c>
      <c r="M345">
        <v>2</v>
      </c>
      <c r="N345" s="3">
        <v>8268</v>
      </c>
      <c r="O345" s="3" t="str">
        <f>IF(Table2[[#This Row],[MonthlyIncome]]&lt;=5000, "$1001 - $5000", IF(Table2[[#This Row],[MonthlyIncome]]&lt;=9000, "$5001 - $9000", IF(Table2[[#This Row],[MonthlyIncome]]&lt;=13000, "$9001 - $13000", IF(Table2[[#This Row],[MonthlyIncome]]&lt;=17000, "$13001 - $17000", IF(Table2[[#This Row],[MonthlyIncome]]&lt;=21000, "$17001 - $21000")))))</f>
        <v>$5001 - $9000</v>
      </c>
      <c r="P345">
        <v>1</v>
      </c>
      <c r="Q345">
        <v>3</v>
      </c>
      <c r="R345">
        <v>7</v>
      </c>
      <c r="S3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46" spans="1:19" ht="14.25" x14ac:dyDescent="0.2">
      <c r="A346">
        <v>69716420</v>
      </c>
      <c r="B346">
        <v>35</v>
      </c>
      <c r="C346" t="s">
        <v>25</v>
      </c>
      <c r="D346" t="s">
        <v>19</v>
      </c>
      <c r="E346" t="s">
        <v>22</v>
      </c>
      <c r="F346">
        <f>IF(Table2[[#This Row],[Attrition]]="Yes", 1, 0)</f>
        <v>0</v>
      </c>
      <c r="G346" t="s">
        <v>31</v>
      </c>
      <c r="H346" t="s">
        <v>23</v>
      </c>
      <c r="I346">
        <v>5</v>
      </c>
      <c r="J346">
        <v>4</v>
      </c>
      <c r="K346" t="s">
        <v>37</v>
      </c>
      <c r="L346">
        <v>3</v>
      </c>
      <c r="M346">
        <v>2</v>
      </c>
      <c r="N346" s="3">
        <v>8095</v>
      </c>
      <c r="O346" s="3" t="str">
        <f>IF(Table2[[#This Row],[MonthlyIncome]]&lt;=5000, "$1001 - $5000", IF(Table2[[#This Row],[MonthlyIncome]]&lt;=9000, "$5001 - $9000", IF(Table2[[#This Row],[MonthlyIncome]]&lt;=13000, "$9001 - $13000", IF(Table2[[#This Row],[MonthlyIncome]]&lt;=17000, "$13001 - $17000", IF(Table2[[#This Row],[MonthlyIncome]]&lt;=21000, "$17001 - $21000")))))</f>
        <v>$5001 - $9000</v>
      </c>
      <c r="P346">
        <v>0</v>
      </c>
      <c r="Q346">
        <v>3</v>
      </c>
      <c r="R346">
        <v>16</v>
      </c>
      <c r="S3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347" spans="1:19" ht="14.25" x14ac:dyDescent="0.2">
      <c r="A347">
        <v>53092470</v>
      </c>
      <c r="B347">
        <v>23</v>
      </c>
      <c r="C347" t="s">
        <v>25</v>
      </c>
      <c r="D347" t="s">
        <v>30</v>
      </c>
      <c r="E347" t="s">
        <v>22</v>
      </c>
      <c r="F347">
        <f>IF(Table2[[#This Row],[Attrition]]="Yes", 1, 0)</f>
        <v>0</v>
      </c>
      <c r="G347" t="s">
        <v>26</v>
      </c>
      <c r="H347" t="s">
        <v>23</v>
      </c>
      <c r="I347">
        <v>26</v>
      </c>
      <c r="J347">
        <v>1</v>
      </c>
      <c r="K347" t="s">
        <v>18</v>
      </c>
      <c r="L347">
        <v>3</v>
      </c>
      <c r="M347">
        <v>4</v>
      </c>
      <c r="N347" s="3">
        <v>2904</v>
      </c>
      <c r="O347" s="3" t="str">
        <f>IF(Table2[[#This Row],[MonthlyIncome]]&lt;=5000, "$1001 - $5000", IF(Table2[[#This Row],[MonthlyIncome]]&lt;=9000, "$5001 - $9000", IF(Table2[[#This Row],[MonthlyIncome]]&lt;=13000, "$9001 - $13000", IF(Table2[[#This Row],[MonthlyIncome]]&lt;=17000, "$13001 - $17000", IF(Table2[[#This Row],[MonthlyIncome]]&lt;=21000, "$17001 - $21000")))))</f>
        <v>$1001 - $5000</v>
      </c>
      <c r="P347">
        <v>1</v>
      </c>
      <c r="Q347">
        <v>2</v>
      </c>
      <c r="R347">
        <v>4</v>
      </c>
      <c r="S3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48" spans="1:19" ht="14.25" x14ac:dyDescent="0.2">
      <c r="A348">
        <v>87616316</v>
      </c>
      <c r="B348">
        <v>41</v>
      </c>
      <c r="C348" t="s">
        <v>25</v>
      </c>
      <c r="D348" t="s">
        <v>19</v>
      </c>
      <c r="E348" t="s">
        <v>22</v>
      </c>
      <c r="F348">
        <f>IF(Table2[[#This Row],[Attrition]]="Yes", 1, 0)</f>
        <v>0</v>
      </c>
      <c r="G348" t="s">
        <v>31</v>
      </c>
      <c r="H348" t="s">
        <v>23</v>
      </c>
      <c r="I348">
        <v>6</v>
      </c>
      <c r="J348">
        <v>3</v>
      </c>
      <c r="K348" t="s">
        <v>29</v>
      </c>
      <c r="L348">
        <v>4</v>
      </c>
      <c r="M348">
        <v>2</v>
      </c>
      <c r="N348" s="3">
        <v>6032</v>
      </c>
      <c r="O348" s="3" t="str">
        <f>IF(Table2[[#This Row],[MonthlyIncome]]&lt;=5000, "$1001 - $5000", IF(Table2[[#This Row],[MonthlyIncome]]&lt;=9000, "$5001 - $9000", IF(Table2[[#This Row],[MonthlyIncome]]&lt;=13000, "$9001 - $13000", IF(Table2[[#This Row],[MonthlyIncome]]&lt;=17000, "$13001 - $17000", IF(Table2[[#This Row],[MonthlyIncome]]&lt;=21000, "$17001 - $21000")))))</f>
        <v>$5001 - $9000</v>
      </c>
      <c r="P348">
        <v>6</v>
      </c>
      <c r="Q348">
        <v>3</v>
      </c>
      <c r="R348">
        <v>5</v>
      </c>
      <c r="S3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49" spans="1:19" ht="14.25" x14ac:dyDescent="0.2">
      <c r="A349">
        <v>24009505</v>
      </c>
      <c r="B349">
        <v>47</v>
      </c>
      <c r="C349" t="s">
        <v>25</v>
      </c>
      <c r="D349" t="s">
        <v>19</v>
      </c>
      <c r="E349" t="s">
        <v>22</v>
      </c>
      <c r="F349">
        <f>IF(Table2[[#This Row],[Attrition]]="Yes", 1, 0)</f>
        <v>0</v>
      </c>
      <c r="G349" t="s">
        <v>34</v>
      </c>
      <c r="H349" t="s">
        <v>17</v>
      </c>
      <c r="I349">
        <v>4</v>
      </c>
      <c r="J349">
        <v>1</v>
      </c>
      <c r="K349" t="s">
        <v>29</v>
      </c>
      <c r="L349">
        <v>2</v>
      </c>
      <c r="M349">
        <v>3</v>
      </c>
      <c r="N349" s="3">
        <v>2976</v>
      </c>
      <c r="O349" s="3" t="str">
        <f>IF(Table2[[#This Row],[MonthlyIncome]]&lt;=5000, "$1001 - $5000", IF(Table2[[#This Row],[MonthlyIncome]]&lt;=9000, "$5001 - $9000", IF(Table2[[#This Row],[MonthlyIncome]]&lt;=13000, "$9001 - $13000", IF(Table2[[#This Row],[MonthlyIncome]]&lt;=17000, "$13001 - $17000", IF(Table2[[#This Row],[MonthlyIncome]]&lt;=21000, "$17001 - $21000")))))</f>
        <v>$1001 - $5000</v>
      </c>
      <c r="P349">
        <v>3</v>
      </c>
      <c r="Q349">
        <v>3</v>
      </c>
      <c r="R349">
        <v>0</v>
      </c>
      <c r="S3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50" spans="1:19" ht="14.25" x14ac:dyDescent="0.2">
      <c r="A350">
        <v>31911571</v>
      </c>
      <c r="B350">
        <v>42</v>
      </c>
      <c r="C350" t="s">
        <v>20</v>
      </c>
      <c r="D350" t="s">
        <v>19</v>
      </c>
      <c r="E350" t="s">
        <v>22</v>
      </c>
      <c r="F350">
        <f>IF(Table2[[#This Row],[Attrition]]="Yes", 1, 0)</f>
        <v>0</v>
      </c>
      <c r="G350" t="s">
        <v>35</v>
      </c>
      <c r="H350" t="s">
        <v>23</v>
      </c>
      <c r="I350">
        <v>23</v>
      </c>
      <c r="J350">
        <v>5</v>
      </c>
      <c r="K350" t="s">
        <v>18</v>
      </c>
      <c r="L350">
        <v>1</v>
      </c>
      <c r="M350">
        <v>4</v>
      </c>
      <c r="N350" s="3">
        <v>15992</v>
      </c>
      <c r="O350" s="3" t="str">
        <f>IF(Table2[[#This Row],[MonthlyIncome]]&lt;=5000, "$1001 - $5000", IF(Table2[[#This Row],[MonthlyIncome]]&lt;=9000, "$5001 - $9000", IF(Table2[[#This Row],[MonthlyIncome]]&lt;=13000, "$9001 - $13000", IF(Table2[[#This Row],[MonthlyIncome]]&lt;=17000, "$13001 - $17000", IF(Table2[[#This Row],[MonthlyIncome]]&lt;=21000, "$17001 - $21000")))))</f>
        <v>$13001 - $17000</v>
      </c>
      <c r="P350">
        <v>2</v>
      </c>
      <c r="Q350">
        <v>3</v>
      </c>
      <c r="R350">
        <v>1</v>
      </c>
      <c r="S3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51" spans="1:19" ht="14.25" x14ac:dyDescent="0.2">
      <c r="A351">
        <v>59300332</v>
      </c>
      <c r="B351">
        <v>29</v>
      </c>
      <c r="C351" t="s">
        <v>25</v>
      </c>
      <c r="D351" t="s">
        <v>24</v>
      </c>
      <c r="E351" t="s">
        <v>22</v>
      </c>
      <c r="F351">
        <f>IF(Table2[[#This Row],[Attrition]]="Yes", 1, 0)</f>
        <v>0</v>
      </c>
      <c r="G351" t="s">
        <v>21</v>
      </c>
      <c r="H351" t="s">
        <v>17</v>
      </c>
      <c r="I351">
        <v>2</v>
      </c>
      <c r="J351">
        <v>3</v>
      </c>
      <c r="K351" t="s">
        <v>18</v>
      </c>
      <c r="L351">
        <v>4</v>
      </c>
      <c r="M351">
        <v>3</v>
      </c>
      <c r="N351" s="3">
        <v>4649</v>
      </c>
      <c r="O351" s="3" t="str">
        <f>IF(Table2[[#This Row],[MonthlyIncome]]&lt;=5000, "$1001 - $5000", IF(Table2[[#This Row],[MonthlyIncome]]&lt;=9000, "$5001 - $9000", IF(Table2[[#This Row],[MonthlyIncome]]&lt;=13000, "$9001 - $13000", IF(Table2[[#This Row],[MonthlyIncome]]&lt;=17000, "$13001 - $17000", IF(Table2[[#This Row],[MonthlyIncome]]&lt;=21000, "$17001 - $21000")))))</f>
        <v>$1001 - $5000</v>
      </c>
      <c r="P351">
        <v>1</v>
      </c>
      <c r="Q351">
        <v>2</v>
      </c>
      <c r="R351">
        <v>4</v>
      </c>
      <c r="S3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52" spans="1:19" ht="14.25" x14ac:dyDescent="0.2">
      <c r="A352">
        <v>38046654</v>
      </c>
      <c r="B352">
        <v>42</v>
      </c>
      <c r="C352" t="s">
        <v>25</v>
      </c>
      <c r="D352" t="s">
        <v>30</v>
      </c>
      <c r="E352" t="s">
        <v>22</v>
      </c>
      <c r="F352">
        <f>IF(Table2[[#This Row],[Attrition]]="Yes", 1, 0)</f>
        <v>0</v>
      </c>
      <c r="G352" t="s">
        <v>38</v>
      </c>
      <c r="H352" t="s">
        <v>38</v>
      </c>
      <c r="I352">
        <v>2</v>
      </c>
      <c r="J352">
        <v>1</v>
      </c>
      <c r="K352" t="s">
        <v>37</v>
      </c>
      <c r="L352">
        <v>3</v>
      </c>
      <c r="M352">
        <v>3</v>
      </c>
      <c r="N352" s="3">
        <v>2696</v>
      </c>
      <c r="O352" s="3" t="str">
        <f>IF(Table2[[#This Row],[MonthlyIncome]]&lt;=5000, "$1001 - $5000", IF(Table2[[#This Row],[MonthlyIncome]]&lt;=9000, "$5001 - $9000", IF(Table2[[#This Row],[MonthlyIncome]]&lt;=13000, "$9001 - $13000", IF(Table2[[#This Row],[MonthlyIncome]]&lt;=17000, "$13001 - $17000", IF(Table2[[#This Row],[MonthlyIncome]]&lt;=21000, "$17001 - $21000")))))</f>
        <v>$1001 - $5000</v>
      </c>
      <c r="P352">
        <v>0</v>
      </c>
      <c r="Q352">
        <v>3</v>
      </c>
      <c r="R352">
        <v>3</v>
      </c>
      <c r="S3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53" spans="1:19" ht="14.25" x14ac:dyDescent="0.2">
      <c r="A353">
        <v>24374926</v>
      </c>
      <c r="B353">
        <v>32</v>
      </c>
      <c r="C353" t="s">
        <v>20</v>
      </c>
      <c r="D353" t="s">
        <v>24</v>
      </c>
      <c r="E353" t="s">
        <v>22</v>
      </c>
      <c r="F353">
        <f>IF(Table2[[#This Row],[Attrition]]="Yes", 1, 0)</f>
        <v>0</v>
      </c>
      <c r="G353" t="s">
        <v>28</v>
      </c>
      <c r="H353" t="s">
        <v>23</v>
      </c>
      <c r="I353">
        <v>2</v>
      </c>
      <c r="J353">
        <v>3</v>
      </c>
      <c r="K353" t="s">
        <v>29</v>
      </c>
      <c r="L353">
        <v>3</v>
      </c>
      <c r="M353">
        <v>2</v>
      </c>
      <c r="N353" s="3">
        <v>2370</v>
      </c>
      <c r="O353" s="3" t="str">
        <f>IF(Table2[[#This Row],[MonthlyIncome]]&lt;=5000, "$1001 - $5000", IF(Table2[[#This Row],[MonthlyIncome]]&lt;=9000, "$5001 - $9000", IF(Table2[[#This Row],[MonthlyIncome]]&lt;=13000, "$9001 - $13000", IF(Table2[[#This Row],[MonthlyIncome]]&lt;=17000, "$13001 - $17000", IF(Table2[[#This Row],[MonthlyIncome]]&lt;=21000, "$17001 - $21000")))))</f>
        <v>$1001 - $5000</v>
      </c>
      <c r="P353">
        <v>1</v>
      </c>
      <c r="Q353">
        <v>3</v>
      </c>
      <c r="R353">
        <v>8</v>
      </c>
      <c r="S3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54" spans="1:19" ht="14.25" x14ac:dyDescent="0.2">
      <c r="A354">
        <v>75699377</v>
      </c>
      <c r="B354">
        <v>48</v>
      </c>
      <c r="C354" t="s">
        <v>20</v>
      </c>
      <c r="D354" t="s">
        <v>24</v>
      </c>
      <c r="E354" t="s">
        <v>22</v>
      </c>
      <c r="F354">
        <f>IF(Table2[[#This Row],[Attrition]]="Yes", 1, 0)</f>
        <v>0</v>
      </c>
      <c r="G354" t="s">
        <v>33</v>
      </c>
      <c r="H354" t="s">
        <v>17</v>
      </c>
      <c r="I354">
        <v>29</v>
      </c>
      <c r="J354">
        <v>1</v>
      </c>
      <c r="K354" t="s">
        <v>29</v>
      </c>
      <c r="L354">
        <v>1</v>
      </c>
      <c r="M354">
        <v>3</v>
      </c>
      <c r="N354" s="3">
        <v>12504</v>
      </c>
      <c r="O354" s="3" t="str">
        <f>IF(Table2[[#This Row],[MonthlyIncome]]&lt;=5000, "$1001 - $5000", IF(Table2[[#This Row],[MonthlyIncome]]&lt;=9000, "$5001 - $9000", IF(Table2[[#This Row],[MonthlyIncome]]&lt;=13000, "$9001 - $13000", IF(Table2[[#This Row],[MonthlyIncome]]&lt;=17000, "$13001 - $17000", IF(Table2[[#This Row],[MonthlyIncome]]&lt;=21000, "$17001 - $21000")))))</f>
        <v>$9001 - $13000</v>
      </c>
      <c r="P354">
        <v>3</v>
      </c>
      <c r="Q354">
        <v>1</v>
      </c>
      <c r="R354">
        <v>0</v>
      </c>
      <c r="S3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55" spans="1:19" ht="14.25" x14ac:dyDescent="0.2">
      <c r="A355">
        <v>13920942</v>
      </c>
      <c r="B355">
        <v>37</v>
      </c>
      <c r="C355" t="s">
        <v>25</v>
      </c>
      <c r="D355" t="s">
        <v>30</v>
      </c>
      <c r="E355" t="s">
        <v>22</v>
      </c>
      <c r="F355">
        <f>IF(Table2[[#This Row],[Attrition]]="Yes", 1, 0)</f>
        <v>0</v>
      </c>
      <c r="G355" t="s">
        <v>26</v>
      </c>
      <c r="H355" t="s">
        <v>23</v>
      </c>
      <c r="I355">
        <v>6</v>
      </c>
      <c r="J355">
        <v>3</v>
      </c>
      <c r="K355" t="s">
        <v>29</v>
      </c>
      <c r="L355">
        <v>3</v>
      </c>
      <c r="M355">
        <v>1</v>
      </c>
      <c r="N355" s="3">
        <v>5974</v>
      </c>
      <c r="O355" s="3" t="str">
        <f>IF(Table2[[#This Row],[MonthlyIncome]]&lt;=5000, "$1001 - $5000", IF(Table2[[#This Row],[MonthlyIncome]]&lt;=9000, "$5001 - $9000", IF(Table2[[#This Row],[MonthlyIncome]]&lt;=13000, "$9001 - $13000", IF(Table2[[#This Row],[MonthlyIncome]]&lt;=17000, "$13001 - $17000", IF(Table2[[#This Row],[MonthlyIncome]]&lt;=21000, "$17001 - $21000")))))</f>
        <v>$5001 - $9000</v>
      </c>
      <c r="P355">
        <v>4</v>
      </c>
      <c r="Q355">
        <v>3</v>
      </c>
      <c r="R355">
        <v>7</v>
      </c>
      <c r="S3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56" spans="1:19" ht="14.25" x14ac:dyDescent="0.2">
      <c r="A356">
        <v>48862219</v>
      </c>
      <c r="B356">
        <v>30</v>
      </c>
      <c r="C356" t="s">
        <v>20</v>
      </c>
      <c r="D356" t="s">
        <v>24</v>
      </c>
      <c r="E356" t="s">
        <v>22</v>
      </c>
      <c r="F356">
        <f>IF(Table2[[#This Row],[Attrition]]="Yes", 1, 0)</f>
        <v>0</v>
      </c>
      <c r="G356" t="s">
        <v>21</v>
      </c>
      <c r="H356" t="s">
        <v>17</v>
      </c>
      <c r="I356">
        <v>25</v>
      </c>
      <c r="J356">
        <v>2</v>
      </c>
      <c r="K356" t="s">
        <v>37</v>
      </c>
      <c r="L356">
        <v>4</v>
      </c>
      <c r="M356">
        <v>3</v>
      </c>
      <c r="N356" s="3">
        <v>4736</v>
      </c>
      <c r="O356" s="3" t="str">
        <f>IF(Table2[[#This Row],[MonthlyIncome]]&lt;=5000, "$1001 - $5000", IF(Table2[[#This Row],[MonthlyIncome]]&lt;=9000, "$5001 - $9000", IF(Table2[[#This Row],[MonthlyIncome]]&lt;=13000, "$9001 - $13000", IF(Table2[[#This Row],[MonthlyIncome]]&lt;=17000, "$13001 - $17000", IF(Table2[[#This Row],[MonthlyIncome]]&lt;=21000, "$17001 - $21000")))))</f>
        <v>$1001 - $5000</v>
      </c>
      <c r="P356">
        <v>7</v>
      </c>
      <c r="Q356">
        <v>4</v>
      </c>
      <c r="R356">
        <v>2</v>
      </c>
      <c r="S3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57" spans="1:19" ht="14.25" x14ac:dyDescent="0.2">
      <c r="A357">
        <v>46659053</v>
      </c>
      <c r="B357">
        <v>26</v>
      </c>
      <c r="C357" t="s">
        <v>25</v>
      </c>
      <c r="D357" t="s">
        <v>24</v>
      </c>
      <c r="E357" t="s">
        <v>22</v>
      </c>
      <c r="F357">
        <f>IF(Table2[[#This Row],[Attrition]]="Yes", 1, 0)</f>
        <v>0</v>
      </c>
      <c r="G357" t="s">
        <v>21</v>
      </c>
      <c r="H357" t="s">
        <v>17</v>
      </c>
      <c r="I357">
        <v>1</v>
      </c>
      <c r="J357">
        <v>3</v>
      </c>
      <c r="K357" t="s">
        <v>18</v>
      </c>
      <c r="L357">
        <v>3</v>
      </c>
      <c r="M357">
        <v>3</v>
      </c>
      <c r="N357" s="3">
        <v>5296</v>
      </c>
      <c r="O357" s="3" t="str">
        <f>IF(Table2[[#This Row],[MonthlyIncome]]&lt;=5000, "$1001 - $5000", IF(Table2[[#This Row],[MonthlyIncome]]&lt;=9000, "$5001 - $9000", IF(Table2[[#This Row],[MonthlyIncome]]&lt;=13000, "$9001 - $13000", IF(Table2[[#This Row],[MonthlyIncome]]&lt;=17000, "$13001 - $17000", IF(Table2[[#This Row],[MonthlyIncome]]&lt;=21000, "$17001 - $21000")))))</f>
        <v>$5001 - $9000</v>
      </c>
      <c r="P357">
        <v>1</v>
      </c>
      <c r="Q357">
        <v>3</v>
      </c>
      <c r="R357">
        <v>8</v>
      </c>
      <c r="S3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58" spans="1:19" ht="14.25" x14ac:dyDescent="0.2">
      <c r="A358">
        <v>89429756</v>
      </c>
      <c r="B358">
        <v>42</v>
      </c>
      <c r="C358" t="s">
        <v>25</v>
      </c>
      <c r="D358" t="s">
        <v>19</v>
      </c>
      <c r="E358" t="s">
        <v>22</v>
      </c>
      <c r="F358">
        <f>IF(Table2[[#This Row],[Attrition]]="Yes", 1, 0)</f>
        <v>0</v>
      </c>
      <c r="G358" t="s">
        <v>32</v>
      </c>
      <c r="H358" t="s">
        <v>23</v>
      </c>
      <c r="I358">
        <v>2</v>
      </c>
      <c r="J358">
        <v>4</v>
      </c>
      <c r="K358" t="s">
        <v>27</v>
      </c>
      <c r="L358">
        <v>1</v>
      </c>
      <c r="M358">
        <v>4</v>
      </c>
      <c r="N358" s="3">
        <v>6781</v>
      </c>
      <c r="O358" s="3" t="str">
        <f>IF(Table2[[#This Row],[MonthlyIncome]]&lt;=5000, "$1001 - $5000", IF(Table2[[#This Row],[MonthlyIncome]]&lt;=9000, "$5001 - $9000", IF(Table2[[#This Row],[MonthlyIncome]]&lt;=13000, "$9001 - $13000", IF(Table2[[#This Row],[MonthlyIncome]]&lt;=17000, "$13001 - $17000", IF(Table2[[#This Row],[MonthlyIncome]]&lt;=21000, "$17001 - $21000")))))</f>
        <v>$5001 - $9000</v>
      </c>
      <c r="P358">
        <v>3</v>
      </c>
      <c r="Q358">
        <v>3</v>
      </c>
      <c r="R358">
        <v>1</v>
      </c>
      <c r="S3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59" spans="1:19" ht="14.25" x14ac:dyDescent="0.2">
      <c r="A359">
        <v>83814898</v>
      </c>
      <c r="B359">
        <v>21</v>
      </c>
      <c r="C359" t="s">
        <v>20</v>
      </c>
      <c r="D359" t="s">
        <v>19</v>
      </c>
      <c r="E359" t="s">
        <v>16</v>
      </c>
      <c r="F359">
        <f>IF(Table2[[#This Row],[Attrition]]="Yes", 1, 0)</f>
        <v>1</v>
      </c>
      <c r="G359" t="s">
        <v>34</v>
      </c>
      <c r="H359" t="s">
        <v>17</v>
      </c>
      <c r="I359">
        <v>1</v>
      </c>
      <c r="J359">
        <v>1</v>
      </c>
      <c r="K359" t="s">
        <v>37</v>
      </c>
      <c r="L359">
        <v>1</v>
      </c>
      <c r="M359">
        <v>2</v>
      </c>
      <c r="N359" s="3">
        <v>2174</v>
      </c>
      <c r="O359" s="3" t="str">
        <f>IF(Table2[[#This Row],[MonthlyIncome]]&lt;=5000, "$1001 - $5000", IF(Table2[[#This Row],[MonthlyIncome]]&lt;=9000, "$5001 - $9000", IF(Table2[[#This Row],[MonthlyIncome]]&lt;=13000, "$9001 - $13000", IF(Table2[[#This Row],[MonthlyIncome]]&lt;=17000, "$13001 - $17000", IF(Table2[[#This Row],[MonthlyIncome]]&lt;=21000, "$17001 - $21000")))))</f>
        <v>$1001 - $5000</v>
      </c>
      <c r="P359">
        <v>1</v>
      </c>
      <c r="Q359">
        <v>3</v>
      </c>
      <c r="R359">
        <v>3</v>
      </c>
      <c r="S3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60" spans="1:19" ht="14.25" x14ac:dyDescent="0.2">
      <c r="A360">
        <v>52025339</v>
      </c>
      <c r="B360">
        <v>36</v>
      </c>
      <c r="C360" t="s">
        <v>20</v>
      </c>
      <c r="D360" t="s">
        <v>19</v>
      </c>
      <c r="E360" t="s">
        <v>22</v>
      </c>
      <c r="F360">
        <f>IF(Table2[[#This Row],[Attrition]]="Yes", 1, 0)</f>
        <v>0</v>
      </c>
      <c r="G360" t="s">
        <v>21</v>
      </c>
      <c r="H360" t="s">
        <v>17</v>
      </c>
      <c r="I360">
        <v>1</v>
      </c>
      <c r="J360">
        <v>5</v>
      </c>
      <c r="K360" t="s">
        <v>29</v>
      </c>
      <c r="L360">
        <v>4</v>
      </c>
      <c r="M360">
        <v>4</v>
      </c>
      <c r="N360" s="3">
        <v>6653</v>
      </c>
      <c r="O360" s="3" t="str">
        <f>IF(Table2[[#This Row],[MonthlyIncome]]&lt;=5000, "$1001 - $5000", IF(Table2[[#This Row],[MonthlyIncome]]&lt;=9000, "$5001 - $9000", IF(Table2[[#This Row],[MonthlyIncome]]&lt;=13000, "$9001 - $13000", IF(Table2[[#This Row],[MonthlyIncome]]&lt;=17000, "$13001 - $17000", IF(Table2[[#This Row],[MonthlyIncome]]&lt;=21000, "$17001 - $21000")))))</f>
        <v>$5001 - $9000</v>
      </c>
      <c r="P360">
        <v>4</v>
      </c>
      <c r="Q360">
        <v>3</v>
      </c>
      <c r="R360">
        <v>1</v>
      </c>
      <c r="S3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61" spans="1:19" ht="14.25" x14ac:dyDescent="0.2">
      <c r="A361">
        <v>26667319</v>
      </c>
      <c r="B361">
        <v>36</v>
      </c>
      <c r="C361" t="s">
        <v>25</v>
      </c>
      <c r="D361" t="s">
        <v>24</v>
      </c>
      <c r="E361" t="s">
        <v>22</v>
      </c>
      <c r="F361">
        <f>IF(Table2[[#This Row],[Attrition]]="Yes", 1, 0)</f>
        <v>0</v>
      </c>
      <c r="G361" t="s">
        <v>21</v>
      </c>
      <c r="H361" t="s">
        <v>17</v>
      </c>
      <c r="I361">
        <v>3</v>
      </c>
      <c r="J361">
        <v>4</v>
      </c>
      <c r="K361" t="s">
        <v>29</v>
      </c>
      <c r="L361">
        <v>1</v>
      </c>
      <c r="M361">
        <v>4</v>
      </c>
      <c r="N361" s="3">
        <v>9699</v>
      </c>
      <c r="O361" s="3" t="str">
        <f>IF(Table2[[#This Row],[MonthlyIncome]]&lt;=5000, "$1001 - $5000", IF(Table2[[#This Row],[MonthlyIncome]]&lt;=9000, "$5001 - $9000", IF(Table2[[#This Row],[MonthlyIncome]]&lt;=13000, "$9001 - $13000", IF(Table2[[#This Row],[MonthlyIncome]]&lt;=17000, "$13001 - $17000", IF(Table2[[#This Row],[MonthlyIncome]]&lt;=21000, "$17001 - $21000")))))</f>
        <v>$9001 - $13000</v>
      </c>
      <c r="P361">
        <v>4</v>
      </c>
      <c r="Q361">
        <v>3</v>
      </c>
      <c r="R361">
        <v>13</v>
      </c>
      <c r="S3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62" spans="1:19" ht="14.25" x14ac:dyDescent="0.2">
      <c r="A362">
        <v>40576040</v>
      </c>
      <c r="B362">
        <v>57</v>
      </c>
      <c r="C362" t="s">
        <v>25</v>
      </c>
      <c r="D362" t="s">
        <v>24</v>
      </c>
      <c r="E362" t="s">
        <v>22</v>
      </c>
      <c r="F362">
        <f>IF(Table2[[#This Row],[Attrition]]="Yes", 1, 0)</f>
        <v>0</v>
      </c>
      <c r="G362" t="s">
        <v>32</v>
      </c>
      <c r="H362" t="s">
        <v>23</v>
      </c>
      <c r="I362">
        <v>1</v>
      </c>
      <c r="J362">
        <v>4</v>
      </c>
      <c r="K362" t="s">
        <v>29</v>
      </c>
      <c r="L362">
        <v>4</v>
      </c>
      <c r="M362">
        <v>3</v>
      </c>
      <c r="N362" s="3">
        <v>6755</v>
      </c>
      <c r="O362" s="3" t="str">
        <f>IF(Table2[[#This Row],[MonthlyIncome]]&lt;=5000, "$1001 - $5000", IF(Table2[[#This Row],[MonthlyIncome]]&lt;=9000, "$5001 - $9000", IF(Table2[[#This Row],[MonthlyIncome]]&lt;=13000, "$9001 - $13000", IF(Table2[[#This Row],[MonthlyIncome]]&lt;=17000, "$13001 - $17000", IF(Table2[[#This Row],[MonthlyIncome]]&lt;=21000, "$17001 - $21000")))))</f>
        <v>$5001 - $9000</v>
      </c>
      <c r="P362">
        <v>2</v>
      </c>
      <c r="Q362">
        <v>3</v>
      </c>
      <c r="R362">
        <v>3</v>
      </c>
      <c r="S3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63" spans="1:19" ht="14.25" x14ac:dyDescent="0.2">
      <c r="A363">
        <v>29071613</v>
      </c>
      <c r="B363">
        <v>40</v>
      </c>
      <c r="C363" t="s">
        <v>20</v>
      </c>
      <c r="D363" t="s">
        <v>24</v>
      </c>
      <c r="E363" t="s">
        <v>22</v>
      </c>
      <c r="F363">
        <f>IF(Table2[[#This Row],[Attrition]]="Yes", 1, 0)</f>
        <v>0</v>
      </c>
      <c r="G363" t="s">
        <v>28</v>
      </c>
      <c r="H363" t="s">
        <v>23</v>
      </c>
      <c r="I363">
        <v>10</v>
      </c>
      <c r="J363">
        <v>4</v>
      </c>
      <c r="K363" t="s">
        <v>18</v>
      </c>
      <c r="L363">
        <v>4</v>
      </c>
      <c r="M363">
        <v>3</v>
      </c>
      <c r="N363" s="3">
        <v>2213</v>
      </c>
      <c r="O363" s="3" t="str">
        <f>IF(Table2[[#This Row],[MonthlyIncome]]&lt;=5000, "$1001 - $5000", IF(Table2[[#This Row],[MonthlyIncome]]&lt;=9000, "$5001 - $9000", IF(Table2[[#This Row],[MonthlyIncome]]&lt;=13000, "$9001 - $13000", IF(Table2[[#This Row],[MonthlyIncome]]&lt;=17000, "$13001 - $17000", IF(Table2[[#This Row],[MonthlyIncome]]&lt;=21000, "$17001 - $21000")))))</f>
        <v>$1001 - $5000</v>
      </c>
      <c r="P363">
        <v>3</v>
      </c>
      <c r="Q363">
        <v>3</v>
      </c>
      <c r="R363">
        <v>7</v>
      </c>
      <c r="S3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64" spans="1:19" ht="14.25" x14ac:dyDescent="0.2">
      <c r="A364">
        <v>72542926</v>
      </c>
      <c r="B364">
        <v>21</v>
      </c>
      <c r="C364" t="s">
        <v>25</v>
      </c>
      <c r="D364" t="s">
        <v>19</v>
      </c>
      <c r="E364" t="s">
        <v>22</v>
      </c>
      <c r="F364">
        <f>IF(Table2[[#This Row],[Attrition]]="Yes", 1, 0)</f>
        <v>0</v>
      </c>
      <c r="G364" t="s">
        <v>34</v>
      </c>
      <c r="H364" t="s">
        <v>17</v>
      </c>
      <c r="I364">
        <v>9</v>
      </c>
      <c r="J364">
        <v>2</v>
      </c>
      <c r="K364" t="s">
        <v>29</v>
      </c>
      <c r="L364">
        <v>1</v>
      </c>
      <c r="M364">
        <v>4</v>
      </c>
      <c r="N364" s="3">
        <v>2610</v>
      </c>
      <c r="O364" s="3" t="str">
        <f>IF(Table2[[#This Row],[MonthlyIncome]]&lt;=5000, "$1001 - $5000", IF(Table2[[#This Row],[MonthlyIncome]]&lt;=9000, "$5001 - $9000", IF(Table2[[#This Row],[MonthlyIncome]]&lt;=13000, "$9001 - $13000", IF(Table2[[#This Row],[MonthlyIncome]]&lt;=17000, "$13001 - $17000", IF(Table2[[#This Row],[MonthlyIncome]]&lt;=21000, "$17001 - $21000")))))</f>
        <v>$1001 - $5000</v>
      </c>
      <c r="P364">
        <v>1</v>
      </c>
      <c r="Q364">
        <v>2</v>
      </c>
      <c r="R364">
        <v>3</v>
      </c>
      <c r="S3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65" spans="1:19" ht="14.25" x14ac:dyDescent="0.2">
      <c r="A365">
        <v>21380251</v>
      </c>
      <c r="B365">
        <v>33</v>
      </c>
      <c r="C365" t="s">
        <v>20</v>
      </c>
      <c r="D365" t="s">
        <v>19</v>
      </c>
      <c r="E365" t="s">
        <v>16</v>
      </c>
      <c r="F365">
        <f>IF(Table2[[#This Row],[Attrition]]="Yes", 1, 0)</f>
        <v>1</v>
      </c>
      <c r="G365" t="s">
        <v>34</v>
      </c>
      <c r="H365" t="s">
        <v>17</v>
      </c>
      <c r="I365">
        <v>5</v>
      </c>
      <c r="J365">
        <v>3</v>
      </c>
      <c r="K365" t="s">
        <v>36</v>
      </c>
      <c r="L365">
        <v>4</v>
      </c>
      <c r="M365">
        <v>3</v>
      </c>
      <c r="N365" s="3">
        <v>2851</v>
      </c>
      <c r="O365" s="3" t="str">
        <f>IF(Table2[[#This Row],[MonthlyIncome]]&lt;=5000, "$1001 - $5000", IF(Table2[[#This Row],[MonthlyIncome]]&lt;=9000, "$5001 - $9000", IF(Table2[[#This Row],[MonthlyIncome]]&lt;=13000, "$9001 - $13000", IF(Table2[[#This Row],[MonthlyIncome]]&lt;=17000, "$13001 - $17000", IF(Table2[[#This Row],[MonthlyIncome]]&lt;=21000, "$17001 - $21000")))))</f>
        <v>$1001 - $5000</v>
      </c>
      <c r="P365">
        <v>1</v>
      </c>
      <c r="Q365">
        <v>3</v>
      </c>
      <c r="R365">
        <v>1</v>
      </c>
      <c r="S3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66" spans="1:19" ht="14.25" x14ac:dyDescent="0.2">
      <c r="A366">
        <v>44890544</v>
      </c>
      <c r="B366">
        <v>37</v>
      </c>
      <c r="C366" t="s">
        <v>20</v>
      </c>
      <c r="D366" t="s">
        <v>24</v>
      </c>
      <c r="E366" t="s">
        <v>22</v>
      </c>
      <c r="F366">
        <f>IF(Table2[[#This Row],[Attrition]]="Yes", 1, 0)</f>
        <v>0</v>
      </c>
      <c r="G366" t="s">
        <v>28</v>
      </c>
      <c r="H366" t="s">
        <v>23</v>
      </c>
      <c r="I366">
        <v>10</v>
      </c>
      <c r="J366">
        <v>3</v>
      </c>
      <c r="K366" t="s">
        <v>29</v>
      </c>
      <c r="L366">
        <v>3</v>
      </c>
      <c r="M366">
        <v>1</v>
      </c>
      <c r="N366" s="3">
        <v>3452</v>
      </c>
      <c r="O366" s="3" t="str">
        <f>IF(Table2[[#This Row],[MonthlyIncome]]&lt;=5000, "$1001 - $5000", IF(Table2[[#This Row],[MonthlyIncome]]&lt;=9000, "$5001 - $9000", IF(Table2[[#This Row],[MonthlyIncome]]&lt;=13000, "$9001 - $13000", IF(Table2[[#This Row],[MonthlyIncome]]&lt;=17000, "$13001 - $17000", IF(Table2[[#This Row],[MonthlyIncome]]&lt;=21000, "$17001 - $21000")))))</f>
        <v>$1001 - $5000</v>
      </c>
      <c r="P366">
        <v>6</v>
      </c>
      <c r="Q366">
        <v>3</v>
      </c>
      <c r="R366">
        <v>5</v>
      </c>
      <c r="S3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67" spans="1:19" ht="14.25" x14ac:dyDescent="0.2">
      <c r="A367">
        <v>70591073</v>
      </c>
      <c r="B367">
        <v>46</v>
      </c>
      <c r="C367" t="s">
        <v>20</v>
      </c>
      <c r="D367" t="s">
        <v>24</v>
      </c>
      <c r="E367" t="s">
        <v>22</v>
      </c>
      <c r="F367">
        <f>IF(Table2[[#This Row],[Attrition]]="Yes", 1, 0)</f>
        <v>0</v>
      </c>
      <c r="G367" t="s">
        <v>31</v>
      </c>
      <c r="H367" t="s">
        <v>23</v>
      </c>
      <c r="I367">
        <v>7</v>
      </c>
      <c r="J367">
        <v>4</v>
      </c>
      <c r="K367" t="s">
        <v>29</v>
      </c>
      <c r="L367">
        <v>3</v>
      </c>
      <c r="M367">
        <v>3</v>
      </c>
      <c r="N367" s="3">
        <v>5258</v>
      </c>
      <c r="O367" s="3" t="str">
        <f>IF(Table2[[#This Row],[MonthlyIncome]]&lt;=5000, "$1001 - $5000", IF(Table2[[#This Row],[MonthlyIncome]]&lt;=9000, "$5001 - $9000", IF(Table2[[#This Row],[MonthlyIncome]]&lt;=13000, "$9001 - $13000", IF(Table2[[#This Row],[MonthlyIncome]]&lt;=17000, "$13001 - $17000", IF(Table2[[#This Row],[MonthlyIncome]]&lt;=21000, "$17001 - $21000")))))</f>
        <v>$5001 - $9000</v>
      </c>
      <c r="P367">
        <v>2</v>
      </c>
      <c r="Q367">
        <v>4</v>
      </c>
      <c r="R367">
        <v>1</v>
      </c>
      <c r="S3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68" spans="1:19" ht="14.25" x14ac:dyDescent="0.2">
      <c r="A368">
        <v>10518082</v>
      </c>
      <c r="B368">
        <v>41</v>
      </c>
      <c r="C368" t="s">
        <v>25</v>
      </c>
      <c r="D368" t="s">
        <v>19</v>
      </c>
      <c r="E368" t="s">
        <v>16</v>
      </c>
      <c r="F368">
        <f>IF(Table2[[#This Row],[Attrition]]="Yes", 1, 0)</f>
        <v>1</v>
      </c>
      <c r="G368" t="s">
        <v>21</v>
      </c>
      <c r="H368" t="s">
        <v>17</v>
      </c>
      <c r="I368">
        <v>4</v>
      </c>
      <c r="J368">
        <v>3</v>
      </c>
      <c r="K368" t="s">
        <v>36</v>
      </c>
      <c r="L368">
        <v>1</v>
      </c>
      <c r="M368">
        <v>2</v>
      </c>
      <c r="N368" s="3">
        <v>9355</v>
      </c>
      <c r="O368" s="3" t="str">
        <f>IF(Table2[[#This Row],[MonthlyIncome]]&lt;=5000, "$1001 - $5000", IF(Table2[[#This Row],[MonthlyIncome]]&lt;=9000, "$5001 - $9000", IF(Table2[[#This Row],[MonthlyIncome]]&lt;=13000, "$9001 - $13000", IF(Table2[[#This Row],[MonthlyIncome]]&lt;=17000, "$13001 - $17000", IF(Table2[[#This Row],[MonthlyIncome]]&lt;=21000, "$17001 - $21000")))))</f>
        <v>$9001 - $13000</v>
      </c>
      <c r="P368">
        <v>1</v>
      </c>
      <c r="Q368">
        <v>3</v>
      </c>
      <c r="R368">
        <v>8</v>
      </c>
      <c r="S3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69" spans="1:19" ht="14.25" x14ac:dyDescent="0.2">
      <c r="A369">
        <v>13137058</v>
      </c>
      <c r="B369">
        <v>50</v>
      </c>
      <c r="C369" t="s">
        <v>25</v>
      </c>
      <c r="D369" t="s">
        <v>19</v>
      </c>
      <c r="E369" t="s">
        <v>22</v>
      </c>
      <c r="F369">
        <f>IF(Table2[[#This Row],[Attrition]]="Yes", 1, 0)</f>
        <v>0</v>
      </c>
      <c r="G369" t="s">
        <v>32</v>
      </c>
      <c r="H369" t="s">
        <v>23</v>
      </c>
      <c r="I369">
        <v>10</v>
      </c>
      <c r="J369">
        <v>3</v>
      </c>
      <c r="K369" t="s">
        <v>37</v>
      </c>
      <c r="L369">
        <v>4</v>
      </c>
      <c r="M369">
        <v>4</v>
      </c>
      <c r="N369" s="3">
        <v>10496</v>
      </c>
      <c r="O369" s="3" t="str">
        <f>IF(Table2[[#This Row],[MonthlyIncome]]&lt;=5000, "$1001 - $5000", IF(Table2[[#This Row],[MonthlyIncome]]&lt;=9000, "$5001 - $9000", IF(Table2[[#This Row],[MonthlyIncome]]&lt;=13000, "$9001 - $13000", IF(Table2[[#This Row],[MonthlyIncome]]&lt;=17000, "$13001 - $17000", IF(Table2[[#This Row],[MonthlyIncome]]&lt;=21000, "$17001 - $21000")))))</f>
        <v>$9001 - $13000</v>
      </c>
      <c r="P369">
        <v>6</v>
      </c>
      <c r="Q369">
        <v>3</v>
      </c>
      <c r="R369">
        <v>4</v>
      </c>
      <c r="S3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70" spans="1:19" ht="14.25" x14ac:dyDescent="0.2">
      <c r="A370">
        <v>38168124</v>
      </c>
      <c r="B370">
        <v>40</v>
      </c>
      <c r="C370" t="s">
        <v>25</v>
      </c>
      <c r="D370" t="s">
        <v>24</v>
      </c>
      <c r="E370" t="s">
        <v>16</v>
      </c>
      <c r="F370">
        <f>IF(Table2[[#This Row],[Attrition]]="Yes", 1, 0)</f>
        <v>1</v>
      </c>
      <c r="G370" t="s">
        <v>21</v>
      </c>
      <c r="H370" t="s">
        <v>17</v>
      </c>
      <c r="I370">
        <v>22</v>
      </c>
      <c r="J370">
        <v>2</v>
      </c>
      <c r="K370" t="s">
        <v>36</v>
      </c>
      <c r="L370">
        <v>3</v>
      </c>
      <c r="M370">
        <v>3</v>
      </c>
      <c r="N370" s="3">
        <v>6380</v>
      </c>
      <c r="O370" s="3" t="str">
        <f>IF(Table2[[#This Row],[MonthlyIncome]]&lt;=5000, "$1001 - $5000", IF(Table2[[#This Row],[MonthlyIncome]]&lt;=9000, "$5001 - $9000", IF(Table2[[#This Row],[MonthlyIncome]]&lt;=13000, "$9001 - $13000", IF(Table2[[#This Row],[MonthlyIncome]]&lt;=17000, "$13001 - $17000", IF(Table2[[#This Row],[MonthlyIncome]]&lt;=21000, "$17001 - $21000")))))</f>
        <v>$5001 - $9000</v>
      </c>
      <c r="P370">
        <v>2</v>
      </c>
      <c r="Q370">
        <v>3</v>
      </c>
      <c r="R370">
        <v>6</v>
      </c>
      <c r="S3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71" spans="1:19" ht="14.25" x14ac:dyDescent="0.2">
      <c r="A371">
        <v>29705537</v>
      </c>
      <c r="B371">
        <v>31</v>
      </c>
      <c r="C371" t="s">
        <v>25</v>
      </c>
      <c r="D371" t="s">
        <v>19</v>
      </c>
      <c r="E371" t="s">
        <v>22</v>
      </c>
      <c r="F371">
        <f>IF(Table2[[#This Row],[Attrition]]="Yes", 1, 0)</f>
        <v>0</v>
      </c>
      <c r="G371" t="s">
        <v>26</v>
      </c>
      <c r="H371" t="s">
        <v>23</v>
      </c>
      <c r="I371">
        <v>9</v>
      </c>
      <c r="J371">
        <v>4</v>
      </c>
      <c r="K371" t="s">
        <v>18</v>
      </c>
      <c r="L371">
        <v>3</v>
      </c>
      <c r="M371">
        <v>2</v>
      </c>
      <c r="N371" s="3">
        <v>2657</v>
      </c>
      <c r="O371" s="3" t="str">
        <f>IF(Table2[[#This Row],[MonthlyIncome]]&lt;=5000, "$1001 - $5000", IF(Table2[[#This Row],[MonthlyIncome]]&lt;=9000, "$5001 - $9000", IF(Table2[[#This Row],[MonthlyIncome]]&lt;=13000, "$9001 - $13000", IF(Table2[[#This Row],[MonthlyIncome]]&lt;=17000, "$13001 - $17000", IF(Table2[[#This Row],[MonthlyIncome]]&lt;=21000, "$17001 - $21000")))))</f>
        <v>$1001 - $5000</v>
      </c>
      <c r="P371">
        <v>0</v>
      </c>
      <c r="Q371">
        <v>3</v>
      </c>
      <c r="R371">
        <v>2</v>
      </c>
      <c r="S3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72" spans="1:19" ht="14.25" x14ac:dyDescent="0.2">
      <c r="A372">
        <v>86104036</v>
      </c>
      <c r="B372">
        <v>21</v>
      </c>
      <c r="C372" t="s">
        <v>20</v>
      </c>
      <c r="D372" t="s">
        <v>19</v>
      </c>
      <c r="E372" t="s">
        <v>16</v>
      </c>
      <c r="F372">
        <f>IF(Table2[[#This Row],[Attrition]]="Yes", 1, 0)</f>
        <v>1</v>
      </c>
      <c r="G372" t="s">
        <v>34</v>
      </c>
      <c r="H372" t="s">
        <v>17</v>
      </c>
      <c r="I372">
        <v>12</v>
      </c>
      <c r="J372">
        <v>3</v>
      </c>
      <c r="K372" t="s">
        <v>18</v>
      </c>
      <c r="L372">
        <v>3</v>
      </c>
      <c r="M372">
        <v>2</v>
      </c>
      <c r="N372" s="3">
        <v>2716</v>
      </c>
      <c r="O372" s="3" t="str">
        <f>IF(Table2[[#This Row],[MonthlyIncome]]&lt;=5000, "$1001 - $5000", IF(Table2[[#This Row],[MonthlyIncome]]&lt;=9000, "$5001 - $9000", IF(Table2[[#This Row],[MonthlyIncome]]&lt;=13000, "$9001 - $13000", IF(Table2[[#This Row],[MonthlyIncome]]&lt;=17000, "$13001 - $17000", IF(Table2[[#This Row],[MonthlyIncome]]&lt;=21000, "$17001 - $21000")))))</f>
        <v>$1001 - $5000</v>
      </c>
      <c r="P372">
        <v>1</v>
      </c>
      <c r="Q372">
        <v>3</v>
      </c>
      <c r="R372">
        <v>1</v>
      </c>
      <c r="S3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73" spans="1:19" ht="14.25" x14ac:dyDescent="0.2">
      <c r="A373">
        <v>10346798</v>
      </c>
      <c r="B373">
        <v>29</v>
      </c>
      <c r="C373" t="s">
        <v>25</v>
      </c>
      <c r="D373" t="s">
        <v>19</v>
      </c>
      <c r="E373" t="s">
        <v>22</v>
      </c>
      <c r="F373">
        <f>IF(Table2[[#This Row],[Attrition]]="Yes", 1, 0)</f>
        <v>0</v>
      </c>
      <c r="G373" t="s">
        <v>26</v>
      </c>
      <c r="H373" t="s">
        <v>23</v>
      </c>
      <c r="I373">
        <v>23</v>
      </c>
      <c r="J373">
        <v>3</v>
      </c>
      <c r="K373" t="s">
        <v>18</v>
      </c>
      <c r="L373">
        <v>4</v>
      </c>
      <c r="M373">
        <v>4</v>
      </c>
      <c r="N373" s="3">
        <v>2201</v>
      </c>
      <c r="O373" s="3" t="str">
        <f>IF(Table2[[#This Row],[MonthlyIncome]]&lt;=5000, "$1001 - $5000", IF(Table2[[#This Row],[MonthlyIncome]]&lt;=9000, "$5001 - $9000", IF(Table2[[#This Row],[MonthlyIncome]]&lt;=13000, "$9001 - $13000", IF(Table2[[#This Row],[MonthlyIncome]]&lt;=17000, "$13001 - $17000", IF(Table2[[#This Row],[MonthlyIncome]]&lt;=21000, "$17001 - $21000")))))</f>
        <v>$1001 - $5000</v>
      </c>
      <c r="P373">
        <v>9</v>
      </c>
      <c r="Q373">
        <v>3</v>
      </c>
      <c r="R373">
        <v>3</v>
      </c>
      <c r="S3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74" spans="1:19" ht="14.25" x14ac:dyDescent="0.2">
      <c r="A374">
        <v>31217216</v>
      </c>
      <c r="B374">
        <v>35</v>
      </c>
      <c r="C374" t="s">
        <v>25</v>
      </c>
      <c r="D374" t="s">
        <v>19</v>
      </c>
      <c r="E374" t="s">
        <v>22</v>
      </c>
      <c r="F374">
        <f>IF(Table2[[#This Row],[Attrition]]="Yes", 1, 0)</f>
        <v>0</v>
      </c>
      <c r="G374" t="s">
        <v>32</v>
      </c>
      <c r="H374" t="s">
        <v>23</v>
      </c>
      <c r="I374">
        <v>9</v>
      </c>
      <c r="J374">
        <v>4</v>
      </c>
      <c r="K374" t="s">
        <v>18</v>
      </c>
      <c r="L374">
        <v>3</v>
      </c>
      <c r="M374">
        <v>2</v>
      </c>
      <c r="N374" s="3">
        <v>6540</v>
      </c>
      <c r="O374" s="3" t="str">
        <f>IF(Table2[[#This Row],[MonthlyIncome]]&lt;=5000, "$1001 - $5000", IF(Table2[[#This Row],[MonthlyIncome]]&lt;=9000, "$5001 - $9000", IF(Table2[[#This Row],[MonthlyIncome]]&lt;=13000, "$9001 - $13000", IF(Table2[[#This Row],[MonthlyIncome]]&lt;=17000, "$13001 - $17000", IF(Table2[[#This Row],[MonthlyIncome]]&lt;=21000, "$17001 - $21000")))))</f>
        <v>$5001 - $9000</v>
      </c>
      <c r="P374">
        <v>9</v>
      </c>
      <c r="Q374">
        <v>3</v>
      </c>
      <c r="R374">
        <v>1</v>
      </c>
      <c r="S3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75" spans="1:19" ht="14.25" x14ac:dyDescent="0.2">
      <c r="A375">
        <v>53249763</v>
      </c>
      <c r="B375">
        <v>27</v>
      </c>
      <c r="C375" t="s">
        <v>25</v>
      </c>
      <c r="D375" t="s">
        <v>30</v>
      </c>
      <c r="E375" t="s">
        <v>22</v>
      </c>
      <c r="F375">
        <f>IF(Table2[[#This Row],[Attrition]]="Yes", 1, 0)</f>
        <v>0</v>
      </c>
      <c r="G375" t="s">
        <v>28</v>
      </c>
      <c r="H375" t="s">
        <v>23</v>
      </c>
      <c r="I375">
        <v>1</v>
      </c>
      <c r="J375">
        <v>2</v>
      </c>
      <c r="K375" t="s">
        <v>29</v>
      </c>
      <c r="L375">
        <v>4</v>
      </c>
      <c r="M375">
        <v>2</v>
      </c>
      <c r="N375" s="3">
        <v>3816</v>
      </c>
      <c r="O375" s="3" t="str">
        <f>IF(Table2[[#This Row],[MonthlyIncome]]&lt;=5000, "$1001 - $5000", IF(Table2[[#This Row],[MonthlyIncome]]&lt;=9000, "$5001 - $9000", IF(Table2[[#This Row],[MonthlyIncome]]&lt;=13000, "$9001 - $13000", IF(Table2[[#This Row],[MonthlyIncome]]&lt;=17000, "$13001 - $17000", IF(Table2[[#This Row],[MonthlyIncome]]&lt;=21000, "$17001 - $21000")))))</f>
        <v>$1001 - $5000</v>
      </c>
      <c r="P375">
        <v>1</v>
      </c>
      <c r="Q375">
        <v>3</v>
      </c>
      <c r="R375">
        <v>5</v>
      </c>
      <c r="S3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76" spans="1:19" ht="14.25" x14ac:dyDescent="0.2">
      <c r="A376">
        <v>17713165</v>
      </c>
      <c r="B376">
        <v>28</v>
      </c>
      <c r="C376" t="s">
        <v>25</v>
      </c>
      <c r="D376" t="s">
        <v>19</v>
      </c>
      <c r="E376" t="s">
        <v>22</v>
      </c>
      <c r="F376">
        <f>IF(Table2[[#This Row],[Attrition]]="Yes", 1, 0)</f>
        <v>0</v>
      </c>
      <c r="G376" t="s">
        <v>21</v>
      </c>
      <c r="H376" t="s">
        <v>17</v>
      </c>
      <c r="I376">
        <v>9</v>
      </c>
      <c r="J376">
        <v>4</v>
      </c>
      <c r="K376" t="s">
        <v>18</v>
      </c>
      <c r="L376">
        <v>2</v>
      </c>
      <c r="M376">
        <v>4</v>
      </c>
      <c r="N376" s="3">
        <v>5253</v>
      </c>
      <c r="O376" s="3" t="str">
        <f>IF(Table2[[#This Row],[MonthlyIncome]]&lt;=5000, "$1001 - $5000", IF(Table2[[#This Row],[MonthlyIncome]]&lt;=9000, "$5001 - $9000", IF(Table2[[#This Row],[MonthlyIncome]]&lt;=13000, "$9001 - $13000", IF(Table2[[#This Row],[MonthlyIncome]]&lt;=17000, "$13001 - $17000", IF(Table2[[#This Row],[MonthlyIncome]]&lt;=21000, "$17001 - $21000")))))</f>
        <v>$5001 - $9000</v>
      </c>
      <c r="P376">
        <v>1</v>
      </c>
      <c r="Q376">
        <v>3</v>
      </c>
      <c r="R376">
        <v>7</v>
      </c>
      <c r="S3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77" spans="1:19" ht="14.25" x14ac:dyDescent="0.2">
      <c r="A377">
        <v>29815425</v>
      </c>
      <c r="B377">
        <v>49</v>
      </c>
      <c r="C377" t="s">
        <v>25</v>
      </c>
      <c r="D377" t="s">
        <v>19</v>
      </c>
      <c r="E377" t="s">
        <v>22</v>
      </c>
      <c r="F377">
        <f>IF(Table2[[#This Row],[Attrition]]="Yes", 1, 0)</f>
        <v>0</v>
      </c>
      <c r="G377" t="s">
        <v>32</v>
      </c>
      <c r="H377" t="s">
        <v>23</v>
      </c>
      <c r="I377">
        <v>7</v>
      </c>
      <c r="J377">
        <v>3</v>
      </c>
      <c r="K377" t="s">
        <v>27</v>
      </c>
      <c r="L377">
        <v>2</v>
      </c>
      <c r="M377">
        <v>3</v>
      </c>
      <c r="N377" s="3">
        <v>10965</v>
      </c>
      <c r="O377" s="3" t="str">
        <f>IF(Table2[[#This Row],[MonthlyIncome]]&lt;=5000, "$1001 - $5000", IF(Table2[[#This Row],[MonthlyIncome]]&lt;=9000, "$5001 - $9000", IF(Table2[[#This Row],[MonthlyIncome]]&lt;=13000, "$9001 - $13000", IF(Table2[[#This Row],[MonthlyIncome]]&lt;=17000, "$13001 - $17000", IF(Table2[[#This Row],[MonthlyIncome]]&lt;=21000, "$17001 - $21000")))))</f>
        <v>$9001 - $13000</v>
      </c>
      <c r="P377">
        <v>8</v>
      </c>
      <c r="Q377">
        <v>3</v>
      </c>
      <c r="R377">
        <v>5</v>
      </c>
      <c r="S3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78" spans="1:19" ht="14.25" x14ac:dyDescent="0.2">
      <c r="A378">
        <v>26079553</v>
      </c>
      <c r="B378">
        <v>51</v>
      </c>
      <c r="C378" t="s">
        <v>20</v>
      </c>
      <c r="D378" t="s">
        <v>24</v>
      </c>
      <c r="E378" t="s">
        <v>22</v>
      </c>
      <c r="F378">
        <f>IF(Table2[[#This Row],[Attrition]]="Yes", 1, 0)</f>
        <v>0</v>
      </c>
      <c r="G378" t="s">
        <v>21</v>
      </c>
      <c r="H378" t="s">
        <v>17</v>
      </c>
      <c r="I378">
        <v>14</v>
      </c>
      <c r="J378">
        <v>2</v>
      </c>
      <c r="K378" t="s">
        <v>18</v>
      </c>
      <c r="L378">
        <v>3</v>
      </c>
      <c r="M378">
        <v>4</v>
      </c>
      <c r="N378" s="3">
        <v>4936</v>
      </c>
      <c r="O378" s="3" t="str">
        <f>IF(Table2[[#This Row],[MonthlyIncome]]&lt;=5000, "$1001 - $5000", IF(Table2[[#This Row],[MonthlyIncome]]&lt;=9000, "$5001 - $9000", IF(Table2[[#This Row],[MonthlyIncome]]&lt;=13000, "$9001 - $13000", IF(Table2[[#This Row],[MonthlyIncome]]&lt;=17000, "$13001 - $17000", IF(Table2[[#This Row],[MonthlyIncome]]&lt;=21000, "$17001 - $21000")))))</f>
        <v>$1001 - $5000</v>
      </c>
      <c r="P378">
        <v>4</v>
      </c>
      <c r="Q378">
        <v>2</v>
      </c>
      <c r="R378">
        <v>7</v>
      </c>
      <c r="S3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79" spans="1:19" ht="14.25" x14ac:dyDescent="0.2">
      <c r="A379">
        <v>36184913</v>
      </c>
      <c r="B379">
        <v>36</v>
      </c>
      <c r="C379" t="s">
        <v>20</v>
      </c>
      <c r="D379" t="s">
        <v>24</v>
      </c>
      <c r="E379" t="s">
        <v>22</v>
      </c>
      <c r="F379">
        <f>IF(Table2[[#This Row],[Attrition]]="Yes", 1, 0)</f>
        <v>0</v>
      </c>
      <c r="G379" t="s">
        <v>26</v>
      </c>
      <c r="H379" t="s">
        <v>23</v>
      </c>
      <c r="I379">
        <v>2</v>
      </c>
      <c r="J379">
        <v>3</v>
      </c>
      <c r="K379" t="s">
        <v>18</v>
      </c>
      <c r="L379">
        <v>4</v>
      </c>
      <c r="M379">
        <v>3</v>
      </c>
      <c r="N379" s="3">
        <v>2543</v>
      </c>
      <c r="O379" s="3" t="str">
        <f>IF(Table2[[#This Row],[MonthlyIncome]]&lt;=5000, "$1001 - $5000", IF(Table2[[#This Row],[MonthlyIncome]]&lt;=9000, "$5001 - $9000", IF(Table2[[#This Row],[MonthlyIncome]]&lt;=13000, "$9001 - $13000", IF(Table2[[#This Row],[MonthlyIncome]]&lt;=17000, "$13001 - $17000", IF(Table2[[#This Row],[MonthlyIncome]]&lt;=21000, "$17001 - $21000")))))</f>
        <v>$1001 - $5000</v>
      </c>
      <c r="P379">
        <v>4</v>
      </c>
      <c r="Q379">
        <v>3</v>
      </c>
      <c r="R379">
        <v>2</v>
      </c>
      <c r="S3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80" spans="1:19" ht="14.25" x14ac:dyDescent="0.2">
      <c r="A380">
        <v>64763136</v>
      </c>
      <c r="B380">
        <v>34</v>
      </c>
      <c r="C380" t="s">
        <v>25</v>
      </c>
      <c r="D380" t="s">
        <v>19</v>
      </c>
      <c r="E380" t="s">
        <v>16</v>
      </c>
      <c r="F380">
        <f>IF(Table2[[#This Row],[Attrition]]="Yes", 1, 0)</f>
        <v>1</v>
      </c>
      <c r="G380" t="s">
        <v>21</v>
      </c>
      <c r="H380" t="s">
        <v>17</v>
      </c>
      <c r="I380">
        <v>19</v>
      </c>
      <c r="J380">
        <v>3</v>
      </c>
      <c r="K380" t="s">
        <v>36</v>
      </c>
      <c r="L380">
        <v>1</v>
      </c>
      <c r="M380">
        <v>4</v>
      </c>
      <c r="N380" s="3">
        <v>5304</v>
      </c>
      <c r="O380" s="3" t="str">
        <f>IF(Table2[[#This Row],[MonthlyIncome]]&lt;=5000, "$1001 - $5000", IF(Table2[[#This Row],[MonthlyIncome]]&lt;=9000, "$5001 - $9000", IF(Table2[[#This Row],[MonthlyIncome]]&lt;=13000, "$9001 - $13000", IF(Table2[[#This Row],[MonthlyIncome]]&lt;=17000, "$13001 - $17000", IF(Table2[[#This Row],[MonthlyIncome]]&lt;=21000, "$17001 - $21000")))))</f>
        <v>$5001 - $9000</v>
      </c>
      <c r="P380">
        <v>8</v>
      </c>
      <c r="Q380">
        <v>2</v>
      </c>
      <c r="R380">
        <v>5</v>
      </c>
      <c r="S3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81" spans="1:19" ht="14.25" x14ac:dyDescent="0.2">
      <c r="A381">
        <v>50316679</v>
      </c>
      <c r="B381">
        <v>55</v>
      </c>
      <c r="C381" t="s">
        <v>20</v>
      </c>
      <c r="D381" t="s">
        <v>19</v>
      </c>
      <c r="E381" t="s">
        <v>22</v>
      </c>
      <c r="F381">
        <f>IF(Table2[[#This Row],[Attrition]]="Yes", 1, 0)</f>
        <v>0</v>
      </c>
      <c r="G381" t="s">
        <v>33</v>
      </c>
      <c r="H381" t="s">
        <v>23</v>
      </c>
      <c r="I381">
        <v>2</v>
      </c>
      <c r="J381">
        <v>3</v>
      </c>
      <c r="K381" t="s">
        <v>18</v>
      </c>
      <c r="L381">
        <v>3</v>
      </c>
      <c r="M381">
        <v>4</v>
      </c>
      <c r="N381" s="3">
        <v>16659</v>
      </c>
      <c r="O381" s="3" t="str">
        <f>IF(Table2[[#This Row],[MonthlyIncome]]&lt;=5000, "$1001 - $5000", IF(Table2[[#This Row],[MonthlyIncome]]&lt;=9000, "$5001 - $9000", IF(Table2[[#This Row],[MonthlyIncome]]&lt;=13000, "$9001 - $13000", IF(Table2[[#This Row],[MonthlyIncome]]&lt;=17000, "$13001 - $17000", IF(Table2[[#This Row],[MonthlyIncome]]&lt;=21000, "$17001 - $21000")))))</f>
        <v>$13001 - $17000</v>
      </c>
      <c r="P381">
        <v>2</v>
      </c>
      <c r="Q381">
        <v>3</v>
      </c>
      <c r="R381">
        <v>5</v>
      </c>
      <c r="S3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82" spans="1:19" ht="14.25" x14ac:dyDescent="0.2">
      <c r="A382">
        <v>21803653</v>
      </c>
      <c r="B382">
        <v>24</v>
      </c>
      <c r="C382" t="s">
        <v>20</v>
      </c>
      <c r="D382" t="s">
        <v>30</v>
      </c>
      <c r="E382" t="s">
        <v>22</v>
      </c>
      <c r="F382">
        <f>IF(Table2[[#This Row],[Attrition]]="Yes", 1, 0)</f>
        <v>0</v>
      </c>
      <c r="G382" t="s">
        <v>21</v>
      </c>
      <c r="H382" t="s">
        <v>17</v>
      </c>
      <c r="I382">
        <v>10</v>
      </c>
      <c r="J382">
        <v>4</v>
      </c>
      <c r="K382" t="s">
        <v>36</v>
      </c>
      <c r="L382">
        <v>4</v>
      </c>
      <c r="M382">
        <v>3</v>
      </c>
      <c r="N382" s="3">
        <v>4260</v>
      </c>
      <c r="O382" s="3" t="str">
        <f>IF(Table2[[#This Row],[MonthlyIncome]]&lt;=5000, "$1001 - $5000", IF(Table2[[#This Row],[MonthlyIncome]]&lt;=9000, "$5001 - $9000", IF(Table2[[#This Row],[MonthlyIncome]]&lt;=13000, "$9001 - $13000", IF(Table2[[#This Row],[MonthlyIncome]]&lt;=17000, "$13001 - $17000", IF(Table2[[#This Row],[MonthlyIncome]]&lt;=21000, "$17001 - $21000")))))</f>
        <v>$1001 - $5000</v>
      </c>
      <c r="P382">
        <v>1</v>
      </c>
      <c r="Q382">
        <v>4</v>
      </c>
      <c r="R382">
        <v>5</v>
      </c>
      <c r="S3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83" spans="1:19" ht="14.25" x14ac:dyDescent="0.2">
      <c r="A383">
        <v>47780798</v>
      </c>
      <c r="B383">
        <v>30</v>
      </c>
      <c r="C383" t="s">
        <v>25</v>
      </c>
      <c r="D383" t="s">
        <v>24</v>
      </c>
      <c r="E383" t="s">
        <v>22</v>
      </c>
      <c r="F383">
        <f>IF(Table2[[#This Row],[Attrition]]="Yes", 1, 0)</f>
        <v>0</v>
      </c>
      <c r="G383" t="s">
        <v>34</v>
      </c>
      <c r="H383" t="s">
        <v>17</v>
      </c>
      <c r="I383">
        <v>2</v>
      </c>
      <c r="J383">
        <v>1</v>
      </c>
      <c r="K383" t="s">
        <v>37</v>
      </c>
      <c r="L383">
        <v>3</v>
      </c>
      <c r="M383">
        <v>2</v>
      </c>
      <c r="N383" s="3">
        <v>2476</v>
      </c>
      <c r="O383" s="3" t="str">
        <f>IF(Table2[[#This Row],[MonthlyIncome]]&lt;=5000, "$1001 - $5000", IF(Table2[[#This Row],[MonthlyIncome]]&lt;=9000, "$5001 - $9000", IF(Table2[[#This Row],[MonthlyIncome]]&lt;=13000, "$9001 - $13000", IF(Table2[[#This Row],[MonthlyIncome]]&lt;=17000, "$13001 - $17000", IF(Table2[[#This Row],[MonthlyIncome]]&lt;=21000, "$17001 - $21000")))))</f>
        <v>$1001 - $5000</v>
      </c>
      <c r="P383">
        <v>1</v>
      </c>
      <c r="Q383">
        <v>3</v>
      </c>
      <c r="R383">
        <v>1</v>
      </c>
      <c r="S3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84" spans="1:19" ht="14.25" x14ac:dyDescent="0.2">
      <c r="A384">
        <v>40898189</v>
      </c>
      <c r="B384">
        <v>26</v>
      </c>
      <c r="C384" t="s">
        <v>25</v>
      </c>
      <c r="D384" t="s">
        <v>19</v>
      </c>
      <c r="E384" t="s">
        <v>16</v>
      </c>
      <c r="F384">
        <f>IF(Table2[[#This Row],[Attrition]]="Yes", 1, 0)</f>
        <v>1</v>
      </c>
      <c r="G384" t="s">
        <v>26</v>
      </c>
      <c r="H384" t="s">
        <v>23</v>
      </c>
      <c r="I384">
        <v>3</v>
      </c>
      <c r="J384">
        <v>1</v>
      </c>
      <c r="K384" t="s">
        <v>37</v>
      </c>
      <c r="L384">
        <v>3</v>
      </c>
      <c r="M384">
        <v>1</v>
      </c>
      <c r="N384" s="3">
        <v>3102</v>
      </c>
      <c r="O384" s="3" t="str">
        <f>IF(Table2[[#This Row],[MonthlyIncome]]&lt;=5000, "$1001 - $5000", IF(Table2[[#This Row],[MonthlyIncome]]&lt;=9000, "$5001 - $9000", IF(Table2[[#This Row],[MonthlyIncome]]&lt;=13000, "$9001 - $13000", IF(Table2[[#This Row],[MonthlyIncome]]&lt;=17000, "$13001 - $17000", IF(Table2[[#This Row],[MonthlyIncome]]&lt;=21000, "$17001 - $21000")))))</f>
        <v>$1001 - $5000</v>
      </c>
      <c r="P384">
        <v>0</v>
      </c>
      <c r="Q384">
        <v>3</v>
      </c>
      <c r="R384">
        <v>6</v>
      </c>
      <c r="S3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85" spans="1:19" ht="14.25" x14ac:dyDescent="0.2">
      <c r="A385">
        <v>54253341</v>
      </c>
      <c r="B385">
        <v>22</v>
      </c>
      <c r="C385" t="s">
        <v>20</v>
      </c>
      <c r="D385" t="s">
        <v>24</v>
      </c>
      <c r="E385" t="s">
        <v>22</v>
      </c>
      <c r="F385">
        <f>IF(Table2[[#This Row],[Attrition]]="Yes", 1, 0)</f>
        <v>0</v>
      </c>
      <c r="G385" t="s">
        <v>26</v>
      </c>
      <c r="H385" t="s">
        <v>23</v>
      </c>
      <c r="I385">
        <v>11</v>
      </c>
      <c r="J385">
        <v>3</v>
      </c>
      <c r="K385" t="s">
        <v>29</v>
      </c>
      <c r="L385">
        <v>1</v>
      </c>
      <c r="M385">
        <v>2</v>
      </c>
      <c r="N385" s="3">
        <v>2244</v>
      </c>
      <c r="O385" s="3" t="str">
        <f>IF(Table2[[#This Row],[MonthlyIncome]]&lt;=5000, "$1001 - $5000", IF(Table2[[#This Row],[MonthlyIncome]]&lt;=9000, "$5001 - $9000", IF(Table2[[#This Row],[MonthlyIncome]]&lt;=13000, "$9001 - $13000", IF(Table2[[#This Row],[MonthlyIncome]]&lt;=17000, "$13001 - $17000", IF(Table2[[#This Row],[MonthlyIncome]]&lt;=21000, "$17001 - $21000")))))</f>
        <v>$1001 - $5000</v>
      </c>
      <c r="P385">
        <v>1</v>
      </c>
      <c r="Q385">
        <v>3</v>
      </c>
      <c r="R385">
        <v>2</v>
      </c>
      <c r="S3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86" spans="1:19" ht="14.25" x14ac:dyDescent="0.2">
      <c r="A386">
        <v>89186028</v>
      </c>
      <c r="B386">
        <v>36</v>
      </c>
      <c r="C386" t="s">
        <v>25</v>
      </c>
      <c r="D386" t="s">
        <v>24</v>
      </c>
      <c r="E386" t="s">
        <v>22</v>
      </c>
      <c r="F386">
        <f>IF(Table2[[#This Row],[Attrition]]="Yes", 1, 0)</f>
        <v>0</v>
      </c>
      <c r="G386" t="s">
        <v>21</v>
      </c>
      <c r="H386" t="s">
        <v>17</v>
      </c>
      <c r="I386">
        <v>2</v>
      </c>
      <c r="J386">
        <v>2</v>
      </c>
      <c r="K386" t="s">
        <v>29</v>
      </c>
      <c r="L386">
        <v>2</v>
      </c>
      <c r="M386">
        <v>3</v>
      </c>
      <c r="N386" s="3">
        <v>7596</v>
      </c>
      <c r="O386" s="3" t="str">
        <f>IF(Table2[[#This Row],[MonthlyIncome]]&lt;=5000, "$1001 - $5000", IF(Table2[[#This Row],[MonthlyIncome]]&lt;=9000, "$5001 - $9000", IF(Table2[[#This Row],[MonthlyIncome]]&lt;=13000, "$9001 - $13000", IF(Table2[[#This Row],[MonthlyIncome]]&lt;=17000, "$13001 - $17000", IF(Table2[[#This Row],[MonthlyIncome]]&lt;=21000, "$17001 - $21000")))))</f>
        <v>$5001 - $9000</v>
      </c>
      <c r="P386">
        <v>1</v>
      </c>
      <c r="Q386">
        <v>3</v>
      </c>
      <c r="R386">
        <v>10</v>
      </c>
      <c r="S3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87" spans="1:19" ht="14.25" x14ac:dyDescent="0.2">
      <c r="A387">
        <v>45513005</v>
      </c>
      <c r="B387">
        <v>30</v>
      </c>
      <c r="C387" t="s">
        <v>25</v>
      </c>
      <c r="D387" t="s">
        <v>19</v>
      </c>
      <c r="E387" t="s">
        <v>16</v>
      </c>
      <c r="F387">
        <f>IF(Table2[[#This Row],[Attrition]]="Yes", 1, 0)</f>
        <v>1</v>
      </c>
      <c r="G387" t="s">
        <v>26</v>
      </c>
      <c r="H387" t="s">
        <v>23</v>
      </c>
      <c r="I387">
        <v>4</v>
      </c>
      <c r="J387">
        <v>3</v>
      </c>
      <c r="K387" t="s">
        <v>37</v>
      </c>
      <c r="L387">
        <v>3</v>
      </c>
      <c r="M387">
        <v>4</v>
      </c>
      <c r="N387" s="3">
        <v>2285</v>
      </c>
      <c r="O387" s="3" t="str">
        <f>IF(Table2[[#This Row],[MonthlyIncome]]&lt;=5000, "$1001 - $5000", IF(Table2[[#This Row],[MonthlyIncome]]&lt;=9000, "$5001 - $9000", IF(Table2[[#This Row],[MonthlyIncome]]&lt;=13000, "$9001 - $13000", IF(Table2[[#This Row],[MonthlyIncome]]&lt;=17000, "$13001 - $17000", IF(Table2[[#This Row],[MonthlyIncome]]&lt;=21000, "$17001 - $21000")))))</f>
        <v>$1001 - $5000</v>
      </c>
      <c r="P387">
        <v>9</v>
      </c>
      <c r="Q387">
        <v>3</v>
      </c>
      <c r="R387">
        <v>1</v>
      </c>
      <c r="S3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88" spans="1:19" ht="14.25" x14ac:dyDescent="0.2">
      <c r="A388">
        <v>17500333</v>
      </c>
      <c r="B388">
        <v>37</v>
      </c>
      <c r="C388" t="s">
        <v>20</v>
      </c>
      <c r="D388" t="s">
        <v>30</v>
      </c>
      <c r="E388" t="s">
        <v>22</v>
      </c>
      <c r="F388">
        <f>IF(Table2[[#This Row],[Attrition]]="Yes", 1, 0)</f>
        <v>0</v>
      </c>
      <c r="G388" t="s">
        <v>28</v>
      </c>
      <c r="H388" t="s">
        <v>23</v>
      </c>
      <c r="I388">
        <v>14</v>
      </c>
      <c r="J388">
        <v>3</v>
      </c>
      <c r="K388" t="s">
        <v>18</v>
      </c>
      <c r="L388">
        <v>4</v>
      </c>
      <c r="M388">
        <v>1</v>
      </c>
      <c r="N388" s="3">
        <v>3034</v>
      </c>
      <c r="O388" s="3" t="str">
        <f>IF(Table2[[#This Row],[MonthlyIncome]]&lt;=5000, "$1001 - $5000", IF(Table2[[#This Row],[MonthlyIncome]]&lt;=9000, "$5001 - $9000", IF(Table2[[#This Row],[MonthlyIncome]]&lt;=13000, "$9001 - $13000", IF(Table2[[#This Row],[MonthlyIncome]]&lt;=17000, "$13001 - $17000", IF(Table2[[#This Row],[MonthlyIncome]]&lt;=21000, "$17001 - $21000")))))</f>
        <v>$1001 - $5000</v>
      </c>
      <c r="P388">
        <v>1</v>
      </c>
      <c r="Q388">
        <v>2</v>
      </c>
      <c r="R388">
        <v>18</v>
      </c>
      <c r="S3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389" spans="1:19" ht="14.25" x14ac:dyDescent="0.2">
      <c r="A389">
        <v>22883207</v>
      </c>
      <c r="B389">
        <v>40</v>
      </c>
      <c r="C389" t="s">
        <v>20</v>
      </c>
      <c r="D389" t="s">
        <v>30</v>
      </c>
      <c r="E389" t="s">
        <v>22</v>
      </c>
      <c r="F389">
        <f>IF(Table2[[#This Row],[Attrition]]="Yes", 1, 0)</f>
        <v>0</v>
      </c>
      <c r="G389" t="s">
        <v>21</v>
      </c>
      <c r="H389" t="s">
        <v>17</v>
      </c>
      <c r="I389">
        <v>2</v>
      </c>
      <c r="J389">
        <v>2</v>
      </c>
      <c r="K389" t="s">
        <v>36</v>
      </c>
      <c r="L389">
        <v>4</v>
      </c>
      <c r="M389">
        <v>2</v>
      </c>
      <c r="N389" s="3">
        <v>5715</v>
      </c>
      <c r="O389" s="3" t="str">
        <f>IF(Table2[[#This Row],[MonthlyIncome]]&lt;=5000, "$1001 - $5000", IF(Table2[[#This Row],[MonthlyIncome]]&lt;=9000, "$5001 - $9000", IF(Table2[[#This Row],[MonthlyIncome]]&lt;=13000, "$9001 - $13000", IF(Table2[[#This Row],[MonthlyIncome]]&lt;=17000, "$13001 - $17000", IF(Table2[[#This Row],[MonthlyIncome]]&lt;=21000, "$17001 - $21000")))))</f>
        <v>$5001 - $9000</v>
      </c>
      <c r="P389">
        <v>7</v>
      </c>
      <c r="Q389">
        <v>3</v>
      </c>
      <c r="R389">
        <v>5</v>
      </c>
      <c r="S3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90" spans="1:19" ht="14.25" x14ac:dyDescent="0.2">
      <c r="A390">
        <v>85670839</v>
      </c>
      <c r="B390">
        <v>42</v>
      </c>
      <c r="C390" t="s">
        <v>20</v>
      </c>
      <c r="D390" t="s">
        <v>30</v>
      </c>
      <c r="E390" t="s">
        <v>22</v>
      </c>
      <c r="F390">
        <f>IF(Table2[[#This Row],[Attrition]]="Yes", 1, 0)</f>
        <v>0</v>
      </c>
      <c r="G390" t="s">
        <v>28</v>
      </c>
      <c r="H390" t="s">
        <v>23</v>
      </c>
      <c r="I390">
        <v>1</v>
      </c>
      <c r="J390">
        <v>4</v>
      </c>
      <c r="K390" t="s">
        <v>18</v>
      </c>
      <c r="L390">
        <v>2</v>
      </c>
      <c r="M390">
        <v>1</v>
      </c>
      <c r="N390" s="3">
        <v>2576</v>
      </c>
      <c r="O390" s="3" t="str">
        <f>IF(Table2[[#This Row],[MonthlyIncome]]&lt;=5000, "$1001 - $5000", IF(Table2[[#This Row],[MonthlyIncome]]&lt;=9000, "$5001 - $9000", IF(Table2[[#This Row],[MonthlyIncome]]&lt;=13000, "$9001 - $13000", IF(Table2[[#This Row],[MonthlyIncome]]&lt;=17000, "$13001 - $17000", IF(Table2[[#This Row],[MonthlyIncome]]&lt;=21000, "$17001 - $21000")))))</f>
        <v>$1001 - $5000</v>
      </c>
      <c r="P390">
        <v>3</v>
      </c>
      <c r="Q390">
        <v>3</v>
      </c>
      <c r="R390">
        <v>5</v>
      </c>
      <c r="S3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91" spans="1:19" ht="14.25" x14ac:dyDescent="0.2">
      <c r="A391">
        <v>27964683</v>
      </c>
      <c r="B391">
        <v>37</v>
      </c>
      <c r="C391" t="s">
        <v>25</v>
      </c>
      <c r="D391" t="s">
        <v>19</v>
      </c>
      <c r="E391" t="s">
        <v>22</v>
      </c>
      <c r="F391">
        <f>IF(Table2[[#This Row],[Attrition]]="Yes", 1, 0)</f>
        <v>0</v>
      </c>
      <c r="G391" t="s">
        <v>31</v>
      </c>
      <c r="H391" t="s">
        <v>23</v>
      </c>
      <c r="I391">
        <v>10</v>
      </c>
      <c r="J391">
        <v>4</v>
      </c>
      <c r="K391" t="s">
        <v>18</v>
      </c>
      <c r="L391">
        <v>3</v>
      </c>
      <c r="M391">
        <v>2</v>
      </c>
      <c r="N391" s="3">
        <v>4197</v>
      </c>
      <c r="O391" s="3" t="str">
        <f>IF(Table2[[#This Row],[MonthlyIncome]]&lt;=5000, "$1001 - $5000", IF(Table2[[#This Row],[MonthlyIncome]]&lt;=9000, "$5001 - $9000", IF(Table2[[#This Row],[MonthlyIncome]]&lt;=13000, "$9001 - $13000", IF(Table2[[#This Row],[MonthlyIncome]]&lt;=17000, "$13001 - $17000", IF(Table2[[#This Row],[MonthlyIncome]]&lt;=21000, "$17001 - $21000")))))</f>
        <v>$1001 - $5000</v>
      </c>
      <c r="P391">
        <v>2</v>
      </c>
      <c r="Q391">
        <v>2</v>
      </c>
      <c r="R391">
        <v>1</v>
      </c>
      <c r="S3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92" spans="1:19" ht="14.25" x14ac:dyDescent="0.2">
      <c r="A392">
        <v>42164074</v>
      </c>
      <c r="B392">
        <v>43</v>
      </c>
      <c r="C392" t="s">
        <v>25</v>
      </c>
      <c r="D392" t="s">
        <v>30</v>
      </c>
      <c r="E392" t="s">
        <v>22</v>
      </c>
      <c r="F392">
        <f>IF(Table2[[#This Row],[Attrition]]="Yes", 1, 0)</f>
        <v>0</v>
      </c>
      <c r="G392" t="s">
        <v>35</v>
      </c>
      <c r="H392" t="s">
        <v>23</v>
      </c>
      <c r="I392">
        <v>12</v>
      </c>
      <c r="J392">
        <v>3</v>
      </c>
      <c r="K392" t="s">
        <v>18</v>
      </c>
      <c r="L392">
        <v>1</v>
      </c>
      <c r="M392">
        <v>2</v>
      </c>
      <c r="N392" s="3">
        <v>14336</v>
      </c>
      <c r="O392" s="3" t="str">
        <f>IF(Table2[[#This Row],[MonthlyIncome]]&lt;=5000, "$1001 - $5000", IF(Table2[[#This Row],[MonthlyIncome]]&lt;=9000, "$5001 - $9000", IF(Table2[[#This Row],[MonthlyIncome]]&lt;=13000, "$9001 - $13000", IF(Table2[[#This Row],[MonthlyIncome]]&lt;=17000, "$13001 - $17000", IF(Table2[[#This Row],[MonthlyIncome]]&lt;=21000, "$17001 - $21000")))))</f>
        <v>$13001 - $17000</v>
      </c>
      <c r="P392">
        <v>1</v>
      </c>
      <c r="Q392">
        <v>3</v>
      </c>
      <c r="R392">
        <v>25</v>
      </c>
      <c r="S3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25 - 30 Years</v>
      </c>
    </row>
    <row r="393" spans="1:19" ht="14.25" x14ac:dyDescent="0.2">
      <c r="A393">
        <v>74536217</v>
      </c>
      <c r="B393">
        <v>40</v>
      </c>
      <c r="C393" t="s">
        <v>20</v>
      </c>
      <c r="D393" t="s">
        <v>24</v>
      </c>
      <c r="E393" t="s">
        <v>22</v>
      </c>
      <c r="F393">
        <f>IF(Table2[[#This Row],[Attrition]]="Yes", 1, 0)</f>
        <v>0</v>
      </c>
      <c r="G393" t="s">
        <v>28</v>
      </c>
      <c r="H393" t="s">
        <v>23</v>
      </c>
      <c r="I393">
        <v>2</v>
      </c>
      <c r="J393">
        <v>3</v>
      </c>
      <c r="K393" t="s">
        <v>29</v>
      </c>
      <c r="L393">
        <v>2</v>
      </c>
      <c r="M393">
        <v>3</v>
      </c>
      <c r="N393" s="3">
        <v>3448</v>
      </c>
      <c r="O393" s="3" t="str">
        <f>IF(Table2[[#This Row],[MonthlyIncome]]&lt;=5000, "$1001 - $5000", IF(Table2[[#This Row],[MonthlyIncome]]&lt;=9000, "$5001 - $9000", IF(Table2[[#This Row],[MonthlyIncome]]&lt;=13000, "$9001 - $13000", IF(Table2[[#This Row],[MonthlyIncome]]&lt;=17000, "$13001 - $17000", IF(Table2[[#This Row],[MonthlyIncome]]&lt;=21000, "$17001 - $21000")))))</f>
        <v>$1001 - $5000</v>
      </c>
      <c r="P393">
        <v>6</v>
      </c>
      <c r="Q393">
        <v>3</v>
      </c>
      <c r="R393">
        <v>1</v>
      </c>
      <c r="S3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94" spans="1:19" ht="14.25" x14ac:dyDescent="0.2">
      <c r="A394">
        <v>18640144</v>
      </c>
      <c r="B394">
        <v>54</v>
      </c>
      <c r="C394" t="s">
        <v>25</v>
      </c>
      <c r="D394" t="s">
        <v>24</v>
      </c>
      <c r="E394" t="s">
        <v>22</v>
      </c>
      <c r="F394">
        <f>IF(Table2[[#This Row],[Attrition]]="Yes", 1, 0)</f>
        <v>0</v>
      </c>
      <c r="G394" t="s">
        <v>35</v>
      </c>
      <c r="H394" t="s">
        <v>23</v>
      </c>
      <c r="I394">
        <v>5</v>
      </c>
      <c r="J394">
        <v>2</v>
      </c>
      <c r="K394" t="s">
        <v>29</v>
      </c>
      <c r="L394">
        <v>1</v>
      </c>
      <c r="M394">
        <v>1</v>
      </c>
      <c r="N394" s="3">
        <v>19406</v>
      </c>
      <c r="O394" s="3" t="str">
        <f>IF(Table2[[#This Row],[MonthlyIncome]]&lt;=5000, "$1001 - $5000", IF(Table2[[#This Row],[MonthlyIncome]]&lt;=9000, "$5001 - $9000", IF(Table2[[#This Row],[MonthlyIncome]]&lt;=13000, "$9001 - $13000", IF(Table2[[#This Row],[MonthlyIncome]]&lt;=17000, "$13001 - $17000", IF(Table2[[#This Row],[MonthlyIncome]]&lt;=21000, "$17001 - $21000")))))</f>
        <v>$17001 - $21000</v>
      </c>
      <c r="P394">
        <v>4</v>
      </c>
      <c r="Q394">
        <v>2</v>
      </c>
      <c r="R394">
        <v>4</v>
      </c>
      <c r="S3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95" spans="1:19" ht="14.25" x14ac:dyDescent="0.2">
      <c r="A395">
        <v>41243201</v>
      </c>
      <c r="B395">
        <v>34</v>
      </c>
      <c r="C395" t="s">
        <v>20</v>
      </c>
      <c r="D395" t="s">
        <v>24</v>
      </c>
      <c r="E395" t="s">
        <v>22</v>
      </c>
      <c r="F395">
        <f>IF(Table2[[#This Row],[Attrition]]="Yes", 1, 0)</f>
        <v>0</v>
      </c>
      <c r="G395" t="s">
        <v>21</v>
      </c>
      <c r="H395" t="s">
        <v>17</v>
      </c>
      <c r="I395">
        <v>4</v>
      </c>
      <c r="J395">
        <v>4</v>
      </c>
      <c r="K395" t="s">
        <v>36</v>
      </c>
      <c r="L395">
        <v>3</v>
      </c>
      <c r="M395">
        <v>3</v>
      </c>
      <c r="N395" s="3">
        <v>6538</v>
      </c>
      <c r="O395" s="3" t="str">
        <f>IF(Table2[[#This Row],[MonthlyIncome]]&lt;=5000, "$1001 - $5000", IF(Table2[[#This Row],[MonthlyIncome]]&lt;=9000, "$5001 - $9000", IF(Table2[[#This Row],[MonthlyIncome]]&lt;=13000, "$9001 - $13000", IF(Table2[[#This Row],[MonthlyIncome]]&lt;=17000, "$13001 - $17000", IF(Table2[[#This Row],[MonthlyIncome]]&lt;=21000, "$17001 - $21000")))))</f>
        <v>$5001 - $9000</v>
      </c>
      <c r="P395">
        <v>9</v>
      </c>
      <c r="Q395">
        <v>3</v>
      </c>
      <c r="R395">
        <v>3</v>
      </c>
      <c r="S3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96" spans="1:19" ht="14.25" x14ac:dyDescent="0.2">
      <c r="A396">
        <v>31226141</v>
      </c>
      <c r="B396">
        <v>31</v>
      </c>
      <c r="C396" t="s">
        <v>20</v>
      </c>
      <c r="D396" t="s">
        <v>24</v>
      </c>
      <c r="E396" t="s">
        <v>22</v>
      </c>
      <c r="F396">
        <f>IF(Table2[[#This Row],[Attrition]]="Yes", 1, 0)</f>
        <v>0</v>
      </c>
      <c r="G396" t="s">
        <v>31</v>
      </c>
      <c r="H396" t="s">
        <v>23</v>
      </c>
      <c r="I396">
        <v>7</v>
      </c>
      <c r="J396">
        <v>2</v>
      </c>
      <c r="K396" t="s">
        <v>29</v>
      </c>
      <c r="L396">
        <v>2</v>
      </c>
      <c r="M396">
        <v>1</v>
      </c>
      <c r="N396" s="3">
        <v>4306</v>
      </c>
      <c r="O396" s="3" t="str">
        <f>IF(Table2[[#This Row],[MonthlyIncome]]&lt;=5000, "$1001 - $5000", IF(Table2[[#This Row],[MonthlyIncome]]&lt;=9000, "$5001 - $9000", IF(Table2[[#This Row],[MonthlyIncome]]&lt;=13000, "$9001 - $13000", IF(Table2[[#This Row],[MonthlyIncome]]&lt;=17000, "$13001 - $17000", IF(Table2[[#This Row],[MonthlyIncome]]&lt;=21000, "$17001 - $21000")))))</f>
        <v>$1001 - $5000</v>
      </c>
      <c r="P396">
        <v>1</v>
      </c>
      <c r="Q396">
        <v>1</v>
      </c>
      <c r="R396">
        <v>13</v>
      </c>
      <c r="S3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397" spans="1:19" ht="14.25" x14ac:dyDescent="0.2">
      <c r="A397">
        <v>63697836</v>
      </c>
      <c r="B397">
        <v>43</v>
      </c>
      <c r="C397" t="s">
        <v>25</v>
      </c>
      <c r="D397" t="s">
        <v>24</v>
      </c>
      <c r="E397" t="s">
        <v>22</v>
      </c>
      <c r="F397">
        <f>IF(Table2[[#This Row],[Attrition]]="Yes", 1, 0)</f>
        <v>0</v>
      </c>
      <c r="G397" t="s">
        <v>28</v>
      </c>
      <c r="H397" t="s">
        <v>23</v>
      </c>
      <c r="I397">
        <v>21</v>
      </c>
      <c r="J397">
        <v>3</v>
      </c>
      <c r="K397" t="s">
        <v>29</v>
      </c>
      <c r="L397">
        <v>4</v>
      </c>
      <c r="M397">
        <v>4</v>
      </c>
      <c r="N397" s="3">
        <v>2258</v>
      </c>
      <c r="O397" s="3" t="str">
        <f>IF(Table2[[#This Row],[MonthlyIncome]]&lt;=5000, "$1001 - $5000", IF(Table2[[#This Row],[MonthlyIncome]]&lt;=9000, "$5001 - $9000", IF(Table2[[#This Row],[MonthlyIncome]]&lt;=13000, "$9001 - $13000", IF(Table2[[#This Row],[MonthlyIncome]]&lt;=17000, "$13001 - $17000", IF(Table2[[#This Row],[MonthlyIncome]]&lt;=21000, "$17001 - $21000")))))</f>
        <v>$1001 - $5000</v>
      </c>
      <c r="P397">
        <v>7</v>
      </c>
      <c r="Q397">
        <v>3</v>
      </c>
      <c r="R397">
        <v>3</v>
      </c>
      <c r="S3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398" spans="1:19" ht="14.25" x14ac:dyDescent="0.2">
      <c r="A398">
        <v>26005340</v>
      </c>
      <c r="B398">
        <v>43</v>
      </c>
      <c r="C398" t="s">
        <v>20</v>
      </c>
      <c r="D398" t="s">
        <v>30</v>
      </c>
      <c r="E398" t="s">
        <v>22</v>
      </c>
      <c r="F398">
        <f>IF(Table2[[#This Row],[Attrition]]="Yes", 1, 0)</f>
        <v>0</v>
      </c>
      <c r="G398" t="s">
        <v>32</v>
      </c>
      <c r="H398" t="s">
        <v>23</v>
      </c>
      <c r="I398">
        <v>8</v>
      </c>
      <c r="J398">
        <v>4</v>
      </c>
      <c r="K398" t="s">
        <v>27</v>
      </c>
      <c r="L398">
        <v>3</v>
      </c>
      <c r="M398">
        <v>3</v>
      </c>
      <c r="N398" s="3">
        <v>4522</v>
      </c>
      <c r="O398" s="3" t="str">
        <f>IF(Table2[[#This Row],[MonthlyIncome]]&lt;=5000, "$1001 - $5000", IF(Table2[[#This Row],[MonthlyIncome]]&lt;=9000, "$5001 - $9000", IF(Table2[[#This Row],[MonthlyIncome]]&lt;=13000, "$9001 - $13000", IF(Table2[[#This Row],[MonthlyIncome]]&lt;=17000, "$13001 - $17000", IF(Table2[[#This Row],[MonthlyIncome]]&lt;=21000, "$17001 - $21000")))))</f>
        <v>$1001 - $5000</v>
      </c>
      <c r="P398">
        <v>4</v>
      </c>
      <c r="Q398">
        <v>3</v>
      </c>
      <c r="R398">
        <v>5</v>
      </c>
      <c r="S3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399" spans="1:19" ht="14.25" x14ac:dyDescent="0.2">
      <c r="A399">
        <v>73444675</v>
      </c>
      <c r="B399">
        <v>25</v>
      </c>
      <c r="C399" t="s">
        <v>20</v>
      </c>
      <c r="D399" t="s">
        <v>19</v>
      </c>
      <c r="E399" t="s">
        <v>22</v>
      </c>
      <c r="F399">
        <f>IF(Table2[[#This Row],[Attrition]]="Yes", 1, 0)</f>
        <v>0</v>
      </c>
      <c r="G399" t="s">
        <v>21</v>
      </c>
      <c r="H399" t="s">
        <v>17</v>
      </c>
      <c r="I399">
        <v>4</v>
      </c>
      <c r="J399">
        <v>2</v>
      </c>
      <c r="K399" t="s">
        <v>18</v>
      </c>
      <c r="L399">
        <v>2</v>
      </c>
      <c r="M399">
        <v>4</v>
      </c>
      <c r="N399" s="3">
        <v>4487</v>
      </c>
      <c r="O399" s="3" t="str">
        <f>IF(Table2[[#This Row],[MonthlyIncome]]&lt;=5000, "$1001 - $5000", IF(Table2[[#This Row],[MonthlyIncome]]&lt;=9000, "$5001 - $9000", IF(Table2[[#This Row],[MonthlyIncome]]&lt;=13000, "$9001 - $13000", IF(Table2[[#This Row],[MonthlyIncome]]&lt;=17000, "$13001 - $17000", IF(Table2[[#This Row],[MonthlyIncome]]&lt;=21000, "$17001 - $21000")))))</f>
        <v>$1001 - $5000</v>
      </c>
      <c r="P399">
        <v>1</v>
      </c>
      <c r="Q399">
        <v>3</v>
      </c>
      <c r="R399">
        <v>5</v>
      </c>
      <c r="S3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00" spans="1:19" ht="14.25" x14ac:dyDescent="0.2">
      <c r="A400">
        <v>78273666</v>
      </c>
      <c r="B400">
        <v>37</v>
      </c>
      <c r="C400" t="s">
        <v>20</v>
      </c>
      <c r="D400" t="s">
        <v>24</v>
      </c>
      <c r="E400" t="s">
        <v>22</v>
      </c>
      <c r="F400">
        <f>IF(Table2[[#This Row],[Attrition]]="Yes", 1, 0)</f>
        <v>0</v>
      </c>
      <c r="G400" t="s">
        <v>26</v>
      </c>
      <c r="H400" t="s">
        <v>23</v>
      </c>
      <c r="I400">
        <v>25</v>
      </c>
      <c r="J400">
        <v>5</v>
      </c>
      <c r="K400" t="s">
        <v>29</v>
      </c>
      <c r="L400">
        <v>2</v>
      </c>
      <c r="M400">
        <v>3</v>
      </c>
      <c r="N400" s="3">
        <v>4449</v>
      </c>
      <c r="O400" s="3" t="str">
        <f>IF(Table2[[#This Row],[MonthlyIncome]]&lt;=5000, "$1001 - $5000", IF(Table2[[#This Row],[MonthlyIncome]]&lt;=9000, "$5001 - $9000", IF(Table2[[#This Row],[MonthlyIncome]]&lt;=13000, "$9001 - $13000", IF(Table2[[#This Row],[MonthlyIncome]]&lt;=17000, "$13001 - $17000", IF(Table2[[#This Row],[MonthlyIncome]]&lt;=21000, "$17001 - $21000")))))</f>
        <v>$1001 - $5000</v>
      </c>
      <c r="P400">
        <v>3</v>
      </c>
      <c r="Q400">
        <v>3</v>
      </c>
      <c r="R400">
        <v>13</v>
      </c>
      <c r="S4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01" spans="1:19" ht="14.25" x14ac:dyDescent="0.2">
      <c r="A401">
        <v>18327039</v>
      </c>
      <c r="B401">
        <v>31</v>
      </c>
      <c r="C401" t="s">
        <v>25</v>
      </c>
      <c r="D401" t="s">
        <v>24</v>
      </c>
      <c r="E401" t="s">
        <v>22</v>
      </c>
      <c r="F401">
        <f>IF(Table2[[#This Row],[Attrition]]="Yes", 1, 0)</f>
        <v>0</v>
      </c>
      <c r="G401" t="s">
        <v>28</v>
      </c>
      <c r="H401" t="s">
        <v>23</v>
      </c>
      <c r="I401">
        <v>1</v>
      </c>
      <c r="J401">
        <v>2</v>
      </c>
      <c r="K401" t="s">
        <v>18</v>
      </c>
      <c r="L401">
        <v>4</v>
      </c>
      <c r="M401">
        <v>1</v>
      </c>
      <c r="N401" s="3">
        <v>2218</v>
      </c>
      <c r="O401" s="3" t="str">
        <f>IF(Table2[[#This Row],[MonthlyIncome]]&lt;=5000, "$1001 - $5000", IF(Table2[[#This Row],[MonthlyIncome]]&lt;=9000, "$5001 - $9000", IF(Table2[[#This Row],[MonthlyIncome]]&lt;=13000, "$9001 - $13000", IF(Table2[[#This Row],[MonthlyIncome]]&lt;=17000, "$13001 - $17000", IF(Table2[[#This Row],[MonthlyIncome]]&lt;=21000, "$17001 - $21000")))))</f>
        <v>$1001 - $5000</v>
      </c>
      <c r="P401">
        <v>1</v>
      </c>
      <c r="Q401">
        <v>3</v>
      </c>
      <c r="R401">
        <v>4</v>
      </c>
      <c r="S4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02" spans="1:19" ht="14.25" x14ac:dyDescent="0.2">
      <c r="A402">
        <v>70749356</v>
      </c>
      <c r="B402">
        <v>39</v>
      </c>
      <c r="C402" t="s">
        <v>25</v>
      </c>
      <c r="D402" t="s">
        <v>30</v>
      </c>
      <c r="E402" t="s">
        <v>22</v>
      </c>
      <c r="F402">
        <f>IF(Table2[[#This Row],[Attrition]]="Yes", 1, 0)</f>
        <v>0</v>
      </c>
      <c r="G402" t="s">
        <v>33</v>
      </c>
      <c r="H402" t="s">
        <v>23</v>
      </c>
      <c r="I402">
        <v>1</v>
      </c>
      <c r="J402">
        <v>1</v>
      </c>
      <c r="K402" t="s">
        <v>18</v>
      </c>
      <c r="L402">
        <v>2</v>
      </c>
      <c r="M402">
        <v>3</v>
      </c>
      <c r="N402" s="3">
        <v>19197</v>
      </c>
      <c r="O402" s="3" t="str">
        <f>IF(Table2[[#This Row],[MonthlyIncome]]&lt;=5000, "$1001 - $5000", IF(Table2[[#This Row],[MonthlyIncome]]&lt;=9000, "$5001 - $9000", IF(Table2[[#This Row],[MonthlyIncome]]&lt;=13000, "$9001 - $13000", IF(Table2[[#This Row],[MonthlyIncome]]&lt;=17000, "$13001 - $17000", IF(Table2[[#This Row],[MonthlyIncome]]&lt;=21000, "$17001 - $21000")))))</f>
        <v>$17001 - $21000</v>
      </c>
      <c r="P402">
        <v>1</v>
      </c>
      <c r="Q402">
        <v>3</v>
      </c>
      <c r="R402">
        <v>21</v>
      </c>
      <c r="S4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403" spans="1:19" ht="14.25" x14ac:dyDescent="0.2">
      <c r="A403">
        <v>88975028</v>
      </c>
      <c r="B403">
        <v>56</v>
      </c>
      <c r="C403" t="s">
        <v>20</v>
      </c>
      <c r="D403" t="s">
        <v>24</v>
      </c>
      <c r="E403" t="s">
        <v>22</v>
      </c>
      <c r="F403">
        <f>IF(Table2[[#This Row],[Attrition]]="Yes", 1, 0)</f>
        <v>0</v>
      </c>
      <c r="G403" t="s">
        <v>21</v>
      </c>
      <c r="H403" t="s">
        <v>17</v>
      </c>
      <c r="I403">
        <v>6</v>
      </c>
      <c r="J403">
        <v>3</v>
      </c>
      <c r="K403" t="s">
        <v>18</v>
      </c>
      <c r="L403">
        <v>3</v>
      </c>
      <c r="M403">
        <v>1</v>
      </c>
      <c r="N403" s="3">
        <v>13212</v>
      </c>
      <c r="O403" s="3" t="str">
        <f>IF(Table2[[#This Row],[MonthlyIncome]]&lt;=5000, "$1001 - $5000", IF(Table2[[#This Row],[MonthlyIncome]]&lt;=9000, "$5001 - $9000", IF(Table2[[#This Row],[MonthlyIncome]]&lt;=13000, "$9001 - $13000", IF(Table2[[#This Row],[MonthlyIncome]]&lt;=17000, "$13001 - $17000", IF(Table2[[#This Row],[MonthlyIncome]]&lt;=21000, "$17001 - $21000")))))</f>
        <v>$13001 - $17000</v>
      </c>
      <c r="P403">
        <v>9</v>
      </c>
      <c r="Q403">
        <v>2</v>
      </c>
      <c r="R403">
        <v>7</v>
      </c>
      <c r="S4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04" spans="1:19" ht="14.25" x14ac:dyDescent="0.2">
      <c r="A404">
        <v>41551420</v>
      </c>
      <c r="B404">
        <v>30</v>
      </c>
      <c r="C404" t="s">
        <v>20</v>
      </c>
      <c r="D404" t="s">
        <v>19</v>
      </c>
      <c r="E404" t="s">
        <v>22</v>
      </c>
      <c r="F404">
        <f>IF(Table2[[#This Row],[Attrition]]="Yes", 1, 0)</f>
        <v>0</v>
      </c>
      <c r="G404" t="s">
        <v>21</v>
      </c>
      <c r="H404" t="s">
        <v>17</v>
      </c>
      <c r="I404">
        <v>12</v>
      </c>
      <c r="J404">
        <v>3</v>
      </c>
      <c r="K404" t="s">
        <v>37</v>
      </c>
      <c r="L404">
        <v>2</v>
      </c>
      <c r="M404">
        <v>3</v>
      </c>
      <c r="N404" s="3">
        <v>6577</v>
      </c>
      <c r="O404" s="3" t="str">
        <f>IF(Table2[[#This Row],[MonthlyIncome]]&lt;=5000, "$1001 - $5000", IF(Table2[[#This Row],[MonthlyIncome]]&lt;=9000, "$5001 - $9000", IF(Table2[[#This Row],[MonthlyIncome]]&lt;=13000, "$9001 - $13000", IF(Table2[[#This Row],[MonthlyIncome]]&lt;=17000, "$13001 - $17000", IF(Table2[[#This Row],[MonthlyIncome]]&lt;=21000, "$17001 - $21000")))))</f>
        <v>$5001 - $9000</v>
      </c>
      <c r="P404">
        <v>0</v>
      </c>
      <c r="Q404">
        <v>3</v>
      </c>
      <c r="R404">
        <v>5</v>
      </c>
      <c r="S4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05" spans="1:19" ht="14.25" x14ac:dyDescent="0.2">
      <c r="A405">
        <v>44045232</v>
      </c>
      <c r="B405">
        <v>41</v>
      </c>
      <c r="C405" t="s">
        <v>25</v>
      </c>
      <c r="D405" t="s">
        <v>24</v>
      </c>
      <c r="E405" t="s">
        <v>22</v>
      </c>
      <c r="F405">
        <f>IF(Table2[[#This Row],[Attrition]]="Yes", 1, 0)</f>
        <v>0</v>
      </c>
      <c r="G405" t="s">
        <v>21</v>
      </c>
      <c r="H405" t="s">
        <v>17</v>
      </c>
      <c r="I405">
        <v>1</v>
      </c>
      <c r="J405">
        <v>3</v>
      </c>
      <c r="K405" t="s">
        <v>36</v>
      </c>
      <c r="L405">
        <v>2</v>
      </c>
      <c r="M405">
        <v>1</v>
      </c>
      <c r="N405" s="3">
        <v>8392</v>
      </c>
      <c r="O405" s="3" t="str">
        <f>IF(Table2[[#This Row],[MonthlyIncome]]&lt;=5000, "$1001 - $5000", IF(Table2[[#This Row],[MonthlyIncome]]&lt;=9000, "$5001 - $9000", IF(Table2[[#This Row],[MonthlyIncome]]&lt;=13000, "$9001 - $13000", IF(Table2[[#This Row],[MonthlyIncome]]&lt;=17000, "$13001 - $17000", IF(Table2[[#This Row],[MonthlyIncome]]&lt;=21000, "$17001 - $21000")))))</f>
        <v>$5001 - $9000</v>
      </c>
      <c r="P405">
        <v>1</v>
      </c>
      <c r="Q405">
        <v>3</v>
      </c>
      <c r="R405">
        <v>10</v>
      </c>
      <c r="S4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06" spans="1:19" ht="14.25" x14ac:dyDescent="0.2">
      <c r="A406">
        <v>81548209</v>
      </c>
      <c r="B406">
        <v>28</v>
      </c>
      <c r="C406" t="s">
        <v>25</v>
      </c>
      <c r="D406" t="s">
        <v>30</v>
      </c>
      <c r="E406" t="s">
        <v>22</v>
      </c>
      <c r="F406">
        <f>IF(Table2[[#This Row],[Attrition]]="Yes", 1, 0)</f>
        <v>0</v>
      </c>
      <c r="G406" t="s">
        <v>28</v>
      </c>
      <c r="H406" t="s">
        <v>23</v>
      </c>
      <c r="I406">
        <v>17</v>
      </c>
      <c r="J406">
        <v>2</v>
      </c>
      <c r="K406" t="s">
        <v>29</v>
      </c>
      <c r="L406">
        <v>3</v>
      </c>
      <c r="M406">
        <v>1</v>
      </c>
      <c r="N406" s="3">
        <v>4558</v>
      </c>
      <c r="O406" s="3" t="str">
        <f>IF(Table2[[#This Row],[MonthlyIncome]]&lt;=5000, "$1001 - $5000", IF(Table2[[#This Row],[MonthlyIncome]]&lt;=9000, "$5001 - $9000", IF(Table2[[#This Row],[MonthlyIncome]]&lt;=13000, "$9001 - $13000", IF(Table2[[#This Row],[MonthlyIncome]]&lt;=17000, "$13001 - $17000", IF(Table2[[#This Row],[MonthlyIncome]]&lt;=21000, "$17001 - $21000")))))</f>
        <v>$1001 - $5000</v>
      </c>
      <c r="P406">
        <v>1</v>
      </c>
      <c r="Q406">
        <v>3</v>
      </c>
      <c r="R406">
        <v>10</v>
      </c>
      <c r="S4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07" spans="1:19" ht="14.25" x14ac:dyDescent="0.2">
      <c r="A407">
        <v>77866370</v>
      </c>
      <c r="B407">
        <v>25</v>
      </c>
      <c r="C407" t="s">
        <v>25</v>
      </c>
      <c r="D407" t="s">
        <v>24</v>
      </c>
      <c r="E407" t="s">
        <v>16</v>
      </c>
      <c r="F407">
        <f>IF(Table2[[#This Row],[Attrition]]="Yes", 1, 0)</f>
        <v>1</v>
      </c>
      <c r="G407" t="s">
        <v>28</v>
      </c>
      <c r="H407" t="s">
        <v>23</v>
      </c>
      <c r="I407">
        <v>3</v>
      </c>
      <c r="J407">
        <v>3</v>
      </c>
      <c r="K407" t="s">
        <v>29</v>
      </c>
      <c r="L407">
        <v>1</v>
      </c>
      <c r="M407">
        <v>1</v>
      </c>
      <c r="N407" s="3">
        <v>4031</v>
      </c>
      <c r="O407" s="3" t="str">
        <f>IF(Table2[[#This Row],[MonthlyIncome]]&lt;=5000, "$1001 - $5000", IF(Table2[[#This Row],[MonthlyIncome]]&lt;=9000, "$5001 - $9000", IF(Table2[[#This Row],[MonthlyIncome]]&lt;=13000, "$9001 - $13000", IF(Table2[[#This Row],[MonthlyIncome]]&lt;=17000, "$13001 - $17000", IF(Table2[[#This Row],[MonthlyIncome]]&lt;=21000, "$17001 - $21000")))))</f>
        <v>$1001 - $5000</v>
      </c>
      <c r="P407">
        <v>5</v>
      </c>
      <c r="Q407">
        <v>3</v>
      </c>
      <c r="R407">
        <v>2</v>
      </c>
      <c r="S4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08" spans="1:19" ht="14.25" x14ac:dyDescent="0.2">
      <c r="A408">
        <v>25691813</v>
      </c>
      <c r="B408">
        <v>52</v>
      </c>
      <c r="C408" t="s">
        <v>25</v>
      </c>
      <c r="D408" t="s">
        <v>24</v>
      </c>
      <c r="E408" t="s">
        <v>22</v>
      </c>
      <c r="F408">
        <f>IF(Table2[[#This Row],[Attrition]]="Yes", 1, 0)</f>
        <v>0</v>
      </c>
      <c r="G408" t="s">
        <v>31</v>
      </c>
      <c r="H408" t="s">
        <v>23</v>
      </c>
      <c r="I408">
        <v>3</v>
      </c>
      <c r="J408">
        <v>3</v>
      </c>
      <c r="K408" t="s">
        <v>29</v>
      </c>
      <c r="L408">
        <v>4</v>
      </c>
      <c r="M408">
        <v>3</v>
      </c>
      <c r="N408" s="3">
        <v>7969</v>
      </c>
      <c r="O408" s="3" t="str">
        <f>IF(Table2[[#This Row],[MonthlyIncome]]&lt;=5000, "$1001 - $5000", IF(Table2[[#This Row],[MonthlyIncome]]&lt;=9000, "$5001 - $9000", IF(Table2[[#This Row],[MonthlyIncome]]&lt;=13000, "$9001 - $13000", IF(Table2[[#This Row],[MonthlyIncome]]&lt;=17000, "$13001 - $17000", IF(Table2[[#This Row],[MonthlyIncome]]&lt;=21000, "$17001 - $21000")))))</f>
        <v>$5001 - $9000</v>
      </c>
      <c r="P408">
        <v>2</v>
      </c>
      <c r="Q408">
        <v>3</v>
      </c>
      <c r="R408">
        <v>5</v>
      </c>
      <c r="S4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09" spans="1:19" ht="14.25" x14ac:dyDescent="0.2">
      <c r="A409">
        <v>15729152</v>
      </c>
      <c r="B409">
        <v>45</v>
      </c>
      <c r="C409" t="s">
        <v>25</v>
      </c>
      <c r="D409" t="s">
        <v>24</v>
      </c>
      <c r="E409" t="s">
        <v>22</v>
      </c>
      <c r="F409">
        <f>IF(Table2[[#This Row],[Attrition]]="Yes", 1, 0)</f>
        <v>0</v>
      </c>
      <c r="G409" t="s">
        <v>26</v>
      </c>
      <c r="H409" t="s">
        <v>23</v>
      </c>
      <c r="I409">
        <v>10</v>
      </c>
      <c r="J409">
        <v>2</v>
      </c>
      <c r="K409" t="s">
        <v>18</v>
      </c>
      <c r="L409">
        <v>1</v>
      </c>
      <c r="M409">
        <v>4</v>
      </c>
      <c r="N409" s="3">
        <v>2654</v>
      </c>
      <c r="O409" s="3" t="str">
        <f>IF(Table2[[#This Row],[MonthlyIncome]]&lt;=5000, "$1001 - $5000", IF(Table2[[#This Row],[MonthlyIncome]]&lt;=9000, "$5001 - $9000", IF(Table2[[#This Row],[MonthlyIncome]]&lt;=13000, "$9001 - $13000", IF(Table2[[#This Row],[MonthlyIncome]]&lt;=17000, "$13001 - $17000", IF(Table2[[#This Row],[MonthlyIncome]]&lt;=21000, "$17001 - $21000")))))</f>
        <v>$1001 - $5000</v>
      </c>
      <c r="P409">
        <v>3</v>
      </c>
      <c r="Q409">
        <v>2</v>
      </c>
      <c r="R409">
        <v>2</v>
      </c>
      <c r="S4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10" spans="1:19" ht="14.25" x14ac:dyDescent="0.2">
      <c r="A410">
        <v>81981661</v>
      </c>
      <c r="B410">
        <v>52</v>
      </c>
      <c r="C410" t="s">
        <v>20</v>
      </c>
      <c r="D410" t="s">
        <v>24</v>
      </c>
      <c r="E410" t="s">
        <v>22</v>
      </c>
      <c r="F410">
        <f>IF(Table2[[#This Row],[Attrition]]="Yes", 1, 0)</f>
        <v>0</v>
      </c>
      <c r="G410" t="s">
        <v>33</v>
      </c>
      <c r="H410" t="s">
        <v>23</v>
      </c>
      <c r="I410">
        <v>4</v>
      </c>
      <c r="J410">
        <v>2</v>
      </c>
      <c r="K410" t="s">
        <v>18</v>
      </c>
      <c r="L410">
        <v>4</v>
      </c>
      <c r="M410">
        <v>4</v>
      </c>
      <c r="N410" s="3">
        <v>16555</v>
      </c>
      <c r="O410" s="3" t="str">
        <f>IF(Table2[[#This Row],[MonthlyIncome]]&lt;=5000, "$1001 - $5000", IF(Table2[[#This Row],[MonthlyIncome]]&lt;=9000, "$5001 - $9000", IF(Table2[[#This Row],[MonthlyIncome]]&lt;=13000, "$9001 - $13000", IF(Table2[[#This Row],[MonthlyIncome]]&lt;=17000, "$13001 - $17000", IF(Table2[[#This Row],[MonthlyIncome]]&lt;=21000, "$17001 - $21000")))))</f>
        <v>$13001 - $17000</v>
      </c>
      <c r="P410">
        <v>2</v>
      </c>
      <c r="Q410">
        <v>1</v>
      </c>
      <c r="R410">
        <v>5</v>
      </c>
      <c r="S4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11" spans="1:19" ht="14.25" x14ac:dyDescent="0.2">
      <c r="A411">
        <v>27102070</v>
      </c>
      <c r="B411">
        <v>42</v>
      </c>
      <c r="C411" t="s">
        <v>20</v>
      </c>
      <c r="D411" t="s">
        <v>30</v>
      </c>
      <c r="E411" t="s">
        <v>22</v>
      </c>
      <c r="F411">
        <f>IF(Table2[[#This Row],[Attrition]]="Yes", 1, 0)</f>
        <v>0</v>
      </c>
      <c r="G411" t="s">
        <v>26</v>
      </c>
      <c r="H411" t="s">
        <v>23</v>
      </c>
      <c r="I411">
        <v>29</v>
      </c>
      <c r="J411">
        <v>2</v>
      </c>
      <c r="K411" t="s">
        <v>18</v>
      </c>
      <c r="L411">
        <v>1</v>
      </c>
      <c r="M411">
        <v>3</v>
      </c>
      <c r="N411" s="3">
        <v>4556</v>
      </c>
      <c r="O411" s="3" t="str">
        <f>IF(Table2[[#This Row],[MonthlyIncome]]&lt;=5000, "$1001 - $5000", IF(Table2[[#This Row],[MonthlyIncome]]&lt;=9000, "$5001 - $9000", IF(Table2[[#This Row],[MonthlyIncome]]&lt;=13000, "$9001 - $13000", IF(Table2[[#This Row],[MonthlyIncome]]&lt;=17000, "$13001 - $17000", IF(Table2[[#This Row],[MonthlyIncome]]&lt;=21000, "$17001 - $21000")))))</f>
        <v>$1001 - $5000</v>
      </c>
      <c r="P411">
        <v>2</v>
      </c>
      <c r="Q411">
        <v>3</v>
      </c>
      <c r="R411">
        <v>5</v>
      </c>
      <c r="S4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12" spans="1:19" ht="14.25" x14ac:dyDescent="0.2">
      <c r="A412">
        <v>53814025</v>
      </c>
      <c r="B412">
        <v>30</v>
      </c>
      <c r="C412" t="s">
        <v>20</v>
      </c>
      <c r="D412" t="s">
        <v>19</v>
      </c>
      <c r="E412" t="s">
        <v>22</v>
      </c>
      <c r="F412">
        <f>IF(Table2[[#This Row],[Attrition]]="Yes", 1, 0)</f>
        <v>0</v>
      </c>
      <c r="G412" t="s">
        <v>31</v>
      </c>
      <c r="H412" t="s">
        <v>23</v>
      </c>
      <c r="I412">
        <v>2</v>
      </c>
      <c r="J412">
        <v>3</v>
      </c>
      <c r="K412" t="s">
        <v>18</v>
      </c>
      <c r="L412">
        <v>3</v>
      </c>
      <c r="M412">
        <v>4</v>
      </c>
      <c r="N412" s="3">
        <v>6091</v>
      </c>
      <c r="O412" s="3" t="str">
        <f>IF(Table2[[#This Row],[MonthlyIncome]]&lt;=5000, "$1001 - $5000", IF(Table2[[#This Row],[MonthlyIncome]]&lt;=9000, "$5001 - $9000", IF(Table2[[#This Row],[MonthlyIncome]]&lt;=13000, "$9001 - $13000", IF(Table2[[#This Row],[MonthlyIncome]]&lt;=17000, "$13001 - $17000", IF(Table2[[#This Row],[MonthlyIncome]]&lt;=21000, "$17001 - $21000")))))</f>
        <v>$5001 - $9000</v>
      </c>
      <c r="P412">
        <v>2</v>
      </c>
      <c r="Q412">
        <v>3</v>
      </c>
      <c r="R412">
        <v>5</v>
      </c>
      <c r="S4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13" spans="1:19" ht="14.25" x14ac:dyDescent="0.2">
      <c r="A413">
        <v>72039115</v>
      </c>
      <c r="B413">
        <v>60</v>
      </c>
      <c r="C413" t="s">
        <v>20</v>
      </c>
      <c r="D413" t="s">
        <v>24</v>
      </c>
      <c r="E413" t="s">
        <v>22</v>
      </c>
      <c r="F413">
        <f>IF(Table2[[#This Row],[Attrition]]="Yes", 1, 0)</f>
        <v>0</v>
      </c>
      <c r="G413" t="s">
        <v>33</v>
      </c>
      <c r="H413" t="s">
        <v>23</v>
      </c>
      <c r="I413">
        <v>7</v>
      </c>
      <c r="J413">
        <v>3</v>
      </c>
      <c r="K413" t="s">
        <v>18</v>
      </c>
      <c r="L413">
        <v>1</v>
      </c>
      <c r="M413">
        <v>1</v>
      </c>
      <c r="N413" s="3">
        <v>19566</v>
      </c>
      <c r="O413" s="3" t="str">
        <f>IF(Table2[[#This Row],[MonthlyIncome]]&lt;=5000, "$1001 - $5000", IF(Table2[[#This Row],[MonthlyIncome]]&lt;=9000, "$5001 - $9000", IF(Table2[[#This Row],[MonthlyIncome]]&lt;=13000, "$9001 - $13000", IF(Table2[[#This Row],[MonthlyIncome]]&lt;=17000, "$13001 - $17000", IF(Table2[[#This Row],[MonthlyIncome]]&lt;=21000, "$17001 - $21000")))))</f>
        <v>$17001 - $21000</v>
      </c>
      <c r="P413">
        <v>5</v>
      </c>
      <c r="Q413">
        <v>1</v>
      </c>
      <c r="R413">
        <v>29</v>
      </c>
      <c r="S4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25 - 30 Years</v>
      </c>
    </row>
    <row r="414" spans="1:19" ht="14.25" x14ac:dyDescent="0.2">
      <c r="A414">
        <v>18342288</v>
      </c>
      <c r="B414">
        <v>46</v>
      </c>
      <c r="C414" t="s">
        <v>20</v>
      </c>
      <c r="D414" t="s">
        <v>30</v>
      </c>
      <c r="E414" t="s">
        <v>22</v>
      </c>
      <c r="F414">
        <f>IF(Table2[[#This Row],[Attrition]]="Yes", 1, 0)</f>
        <v>0</v>
      </c>
      <c r="G414" t="s">
        <v>31</v>
      </c>
      <c r="H414" t="s">
        <v>23</v>
      </c>
      <c r="I414">
        <v>18</v>
      </c>
      <c r="J414">
        <v>3</v>
      </c>
      <c r="K414" t="s">
        <v>29</v>
      </c>
      <c r="L414">
        <v>3</v>
      </c>
      <c r="M414">
        <v>3</v>
      </c>
      <c r="N414" s="3">
        <v>4810</v>
      </c>
      <c r="O414" s="3" t="str">
        <f>IF(Table2[[#This Row],[MonthlyIncome]]&lt;=5000, "$1001 - $5000", IF(Table2[[#This Row],[MonthlyIncome]]&lt;=9000, "$5001 - $9000", IF(Table2[[#This Row],[MonthlyIncome]]&lt;=13000, "$9001 - $13000", IF(Table2[[#This Row],[MonthlyIncome]]&lt;=17000, "$13001 - $17000", IF(Table2[[#This Row],[MonthlyIncome]]&lt;=21000, "$17001 - $21000")))))</f>
        <v>$1001 - $5000</v>
      </c>
      <c r="P414">
        <v>2</v>
      </c>
      <c r="Q414">
        <v>2</v>
      </c>
      <c r="R414">
        <v>10</v>
      </c>
      <c r="S4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15" spans="1:19" ht="14.25" x14ac:dyDescent="0.2">
      <c r="A415">
        <v>85756803</v>
      </c>
      <c r="B415">
        <v>42</v>
      </c>
      <c r="C415" t="s">
        <v>20</v>
      </c>
      <c r="D415" t="s">
        <v>24</v>
      </c>
      <c r="E415" t="s">
        <v>22</v>
      </c>
      <c r="F415">
        <f>IF(Table2[[#This Row],[Attrition]]="Yes", 1, 0)</f>
        <v>0</v>
      </c>
      <c r="G415" t="s">
        <v>32</v>
      </c>
      <c r="H415" t="s">
        <v>23</v>
      </c>
      <c r="I415">
        <v>28</v>
      </c>
      <c r="J415">
        <v>4</v>
      </c>
      <c r="K415" t="s">
        <v>37</v>
      </c>
      <c r="L415">
        <v>4</v>
      </c>
      <c r="M415">
        <v>4</v>
      </c>
      <c r="N415" s="3">
        <v>4523</v>
      </c>
      <c r="O415" s="3" t="str">
        <f>IF(Table2[[#This Row],[MonthlyIncome]]&lt;=5000, "$1001 - $5000", IF(Table2[[#This Row],[MonthlyIncome]]&lt;=9000, "$5001 - $9000", IF(Table2[[#This Row],[MonthlyIncome]]&lt;=13000, "$9001 - $13000", IF(Table2[[#This Row],[MonthlyIncome]]&lt;=17000, "$13001 - $17000", IF(Table2[[#This Row],[MonthlyIncome]]&lt;=21000, "$17001 - $21000")))))</f>
        <v>$1001 - $5000</v>
      </c>
      <c r="P415">
        <v>0</v>
      </c>
      <c r="Q415">
        <v>4</v>
      </c>
      <c r="R415">
        <v>6</v>
      </c>
      <c r="S4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16" spans="1:19" ht="14.25" x14ac:dyDescent="0.2">
      <c r="A416">
        <v>86367380</v>
      </c>
      <c r="B416">
        <v>24</v>
      </c>
      <c r="C416" t="s">
        <v>20</v>
      </c>
      <c r="D416" t="s">
        <v>19</v>
      </c>
      <c r="E416" t="s">
        <v>16</v>
      </c>
      <c r="F416">
        <f>IF(Table2[[#This Row],[Attrition]]="Yes", 1, 0)</f>
        <v>1</v>
      </c>
      <c r="G416" t="s">
        <v>34</v>
      </c>
      <c r="H416" t="s">
        <v>17</v>
      </c>
      <c r="I416">
        <v>1</v>
      </c>
      <c r="J416">
        <v>1</v>
      </c>
      <c r="K416" t="s">
        <v>37</v>
      </c>
      <c r="L416">
        <v>1</v>
      </c>
      <c r="M416">
        <v>2</v>
      </c>
      <c r="N416" s="3">
        <v>3202</v>
      </c>
      <c r="O416" s="3" t="str">
        <f>IF(Table2[[#This Row],[MonthlyIncome]]&lt;=5000, "$1001 - $5000", IF(Table2[[#This Row],[MonthlyIncome]]&lt;=9000, "$5001 - $9000", IF(Table2[[#This Row],[MonthlyIncome]]&lt;=13000, "$9001 - $13000", IF(Table2[[#This Row],[MonthlyIncome]]&lt;=17000, "$13001 - $17000", IF(Table2[[#This Row],[MonthlyIncome]]&lt;=21000, "$17001 - $21000")))))</f>
        <v>$1001 - $5000</v>
      </c>
      <c r="P416">
        <v>1</v>
      </c>
      <c r="Q416">
        <v>3</v>
      </c>
      <c r="R416">
        <v>5</v>
      </c>
      <c r="S4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17" spans="1:19" ht="14.25" x14ac:dyDescent="0.2">
      <c r="A417">
        <v>33560133</v>
      </c>
      <c r="B417">
        <v>34</v>
      </c>
      <c r="C417" t="s">
        <v>20</v>
      </c>
      <c r="D417" t="s">
        <v>30</v>
      </c>
      <c r="E417" t="s">
        <v>16</v>
      </c>
      <c r="F417">
        <f>IF(Table2[[#This Row],[Attrition]]="Yes", 1, 0)</f>
        <v>1</v>
      </c>
      <c r="G417" t="s">
        <v>34</v>
      </c>
      <c r="H417" t="s">
        <v>17</v>
      </c>
      <c r="I417">
        <v>6</v>
      </c>
      <c r="J417">
        <v>2</v>
      </c>
      <c r="K417" t="s">
        <v>36</v>
      </c>
      <c r="L417">
        <v>4</v>
      </c>
      <c r="M417">
        <v>3</v>
      </c>
      <c r="N417" s="3">
        <v>2351</v>
      </c>
      <c r="O417" s="3" t="str">
        <f>IF(Table2[[#This Row],[MonthlyIncome]]&lt;=5000, "$1001 - $5000", IF(Table2[[#This Row],[MonthlyIncome]]&lt;=9000, "$5001 - $9000", IF(Table2[[#This Row],[MonthlyIncome]]&lt;=13000, "$9001 - $13000", IF(Table2[[#This Row],[MonthlyIncome]]&lt;=17000, "$13001 - $17000", IF(Table2[[#This Row],[MonthlyIncome]]&lt;=21000, "$17001 - $21000")))))</f>
        <v>$1001 - $5000</v>
      </c>
      <c r="P417">
        <v>0</v>
      </c>
      <c r="Q417">
        <v>2</v>
      </c>
      <c r="R417">
        <v>2</v>
      </c>
      <c r="S4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18" spans="1:19" ht="14.25" x14ac:dyDescent="0.2">
      <c r="A418">
        <v>32489310</v>
      </c>
      <c r="B418">
        <v>38</v>
      </c>
      <c r="C418" t="s">
        <v>25</v>
      </c>
      <c r="D418" t="s">
        <v>24</v>
      </c>
      <c r="E418" t="s">
        <v>22</v>
      </c>
      <c r="F418">
        <f>IF(Table2[[#This Row],[Attrition]]="Yes", 1, 0)</f>
        <v>0</v>
      </c>
      <c r="G418" t="s">
        <v>28</v>
      </c>
      <c r="H418" t="s">
        <v>23</v>
      </c>
      <c r="I418">
        <v>2</v>
      </c>
      <c r="J418">
        <v>2</v>
      </c>
      <c r="K418" t="s">
        <v>18</v>
      </c>
      <c r="L418">
        <v>4</v>
      </c>
      <c r="M418">
        <v>4</v>
      </c>
      <c r="N418" s="3">
        <v>1702</v>
      </c>
      <c r="O418" s="3" t="str">
        <f>IF(Table2[[#This Row],[MonthlyIncome]]&lt;=5000, "$1001 - $5000", IF(Table2[[#This Row],[MonthlyIncome]]&lt;=9000, "$5001 - $9000", IF(Table2[[#This Row],[MonthlyIncome]]&lt;=13000, "$9001 - $13000", IF(Table2[[#This Row],[MonthlyIncome]]&lt;=17000, "$13001 - $17000", IF(Table2[[#This Row],[MonthlyIncome]]&lt;=21000, "$17001 - $21000")))))</f>
        <v>$1001 - $5000</v>
      </c>
      <c r="P418">
        <v>1</v>
      </c>
      <c r="Q418">
        <v>3</v>
      </c>
      <c r="R418">
        <v>1</v>
      </c>
      <c r="S4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19" spans="1:19" ht="14.25" x14ac:dyDescent="0.2">
      <c r="A419">
        <v>77848008</v>
      </c>
      <c r="B419">
        <v>40</v>
      </c>
      <c r="C419" t="s">
        <v>20</v>
      </c>
      <c r="D419" t="s">
        <v>24</v>
      </c>
      <c r="E419" t="s">
        <v>22</v>
      </c>
      <c r="F419">
        <f>IF(Table2[[#This Row],[Attrition]]="Yes", 1, 0)</f>
        <v>0</v>
      </c>
      <c r="G419" t="s">
        <v>33</v>
      </c>
      <c r="H419" t="s">
        <v>17</v>
      </c>
      <c r="I419">
        <v>2</v>
      </c>
      <c r="J419">
        <v>4</v>
      </c>
      <c r="K419" t="s">
        <v>18</v>
      </c>
      <c r="L419">
        <v>3</v>
      </c>
      <c r="M419">
        <v>3</v>
      </c>
      <c r="N419" s="3">
        <v>18041</v>
      </c>
      <c r="O419" s="3" t="str">
        <f>IF(Table2[[#This Row],[MonthlyIncome]]&lt;=5000, "$1001 - $5000", IF(Table2[[#This Row],[MonthlyIncome]]&lt;=9000, "$5001 - $9000", IF(Table2[[#This Row],[MonthlyIncome]]&lt;=13000, "$9001 - $13000", IF(Table2[[#This Row],[MonthlyIncome]]&lt;=17000, "$13001 - $17000", IF(Table2[[#This Row],[MonthlyIncome]]&lt;=21000, "$17001 - $21000")))))</f>
        <v>$17001 - $21000</v>
      </c>
      <c r="P419">
        <v>0</v>
      </c>
      <c r="Q419">
        <v>3</v>
      </c>
      <c r="R419">
        <v>20</v>
      </c>
      <c r="S4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420" spans="1:19" ht="14.25" x14ac:dyDescent="0.2">
      <c r="A420">
        <v>17637652</v>
      </c>
      <c r="B420">
        <v>26</v>
      </c>
      <c r="C420" t="s">
        <v>20</v>
      </c>
      <c r="D420" t="s">
        <v>30</v>
      </c>
      <c r="E420" t="s">
        <v>22</v>
      </c>
      <c r="F420">
        <f>IF(Table2[[#This Row],[Attrition]]="Yes", 1, 0)</f>
        <v>0</v>
      </c>
      <c r="G420" t="s">
        <v>26</v>
      </c>
      <c r="H420" t="s">
        <v>23</v>
      </c>
      <c r="I420">
        <v>23</v>
      </c>
      <c r="J420">
        <v>3</v>
      </c>
      <c r="K420" t="s">
        <v>18</v>
      </c>
      <c r="L420">
        <v>1</v>
      </c>
      <c r="M420">
        <v>4</v>
      </c>
      <c r="N420" s="3">
        <v>2886</v>
      </c>
      <c r="O420" s="3" t="str">
        <f>IF(Table2[[#This Row],[MonthlyIncome]]&lt;=5000, "$1001 - $5000", IF(Table2[[#This Row],[MonthlyIncome]]&lt;=9000, "$5001 - $9000", IF(Table2[[#This Row],[MonthlyIncome]]&lt;=13000, "$9001 - $13000", IF(Table2[[#This Row],[MonthlyIncome]]&lt;=17000, "$13001 - $17000", IF(Table2[[#This Row],[MonthlyIncome]]&lt;=21000, "$17001 - $21000")))))</f>
        <v>$1001 - $5000</v>
      </c>
      <c r="P420">
        <v>1</v>
      </c>
      <c r="Q420">
        <v>1</v>
      </c>
      <c r="R420">
        <v>3</v>
      </c>
      <c r="S4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21" spans="1:19" ht="14.25" x14ac:dyDescent="0.2">
      <c r="A421">
        <v>52669884</v>
      </c>
      <c r="B421">
        <v>30</v>
      </c>
      <c r="C421" t="s">
        <v>25</v>
      </c>
      <c r="D421" t="s">
        <v>24</v>
      </c>
      <c r="E421" t="s">
        <v>22</v>
      </c>
      <c r="F421">
        <f>IF(Table2[[#This Row],[Attrition]]="Yes", 1, 0)</f>
        <v>0</v>
      </c>
      <c r="G421" t="s">
        <v>28</v>
      </c>
      <c r="H421" t="s">
        <v>23</v>
      </c>
      <c r="I421">
        <v>3</v>
      </c>
      <c r="J421">
        <v>3</v>
      </c>
      <c r="K421" t="s">
        <v>18</v>
      </c>
      <c r="L421">
        <v>3</v>
      </c>
      <c r="M421">
        <v>4</v>
      </c>
      <c r="N421" s="3">
        <v>2097</v>
      </c>
      <c r="O421" s="3" t="str">
        <f>IF(Table2[[#This Row],[MonthlyIncome]]&lt;=5000, "$1001 - $5000", IF(Table2[[#This Row],[MonthlyIncome]]&lt;=9000, "$5001 - $9000", IF(Table2[[#This Row],[MonthlyIncome]]&lt;=13000, "$9001 - $13000", IF(Table2[[#This Row],[MonthlyIncome]]&lt;=17000, "$13001 - $17000", IF(Table2[[#This Row],[MonthlyIncome]]&lt;=21000, "$17001 - $21000")))))</f>
        <v>$1001 - $5000</v>
      </c>
      <c r="P421">
        <v>4</v>
      </c>
      <c r="Q421">
        <v>1</v>
      </c>
      <c r="R421">
        <v>5</v>
      </c>
      <c r="S4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22" spans="1:19" ht="14.25" x14ac:dyDescent="0.2">
      <c r="A422">
        <v>87140652</v>
      </c>
      <c r="B422">
        <v>29</v>
      </c>
      <c r="C422" t="s">
        <v>25</v>
      </c>
      <c r="D422" t="s">
        <v>24</v>
      </c>
      <c r="E422" t="s">
        <v>22</v>
      </c>
      <c r="F422">
        <f>IF(Table2[[#This Row],[Attrition]]="Yes", 1, 0)</f>
        <v>0</v>
      </c>
      <c r="G422" t="s">
        <v>35</v>
      </c>
      <c r="H422" t="s">
        <v>23</v>
      </c>
      <c r="I422">
        <v>3</v>
      </c>
      <c r="J422">
        <v>4</v>
      </c>
      <c r="K422" t="s">
        <v>29</v>
      </c>
      <c r="L422">
        <v>2</v>
      </c>
      <c r="M422">
        <v>3</v>
      </c>
      <c r="N422" s="3">
        <v>11935</v>
      </c>
      <c r="O422" s="3" t="str">
        <f>IF(Table2[[#This Row],[MonthlyIncome]]&lt;=5000, "$1001 - $5000", IF(Table2[[#This Row],[MonthlyIncome]]&lt;=9000, "$5001 - $9000", IF(Table2[[#This Row],[MonthlyIncome]]&lt;=13000, "$9001 - $13000", IF(Table2[[#This Row],[MonthlyIncome]]&lt;=17000, "$13001 - $17000", IF(Table2[[#This Row],[MonthlyIncome]]&lt;=21000, "$17001 - $21000")))))</f>
        <v>$9001 - $13000</v>
      </c>
      <c r="P422">
        <v>1</v>
      </c>
      <c r="Q422">
        <v>3</v>
      </c>
      <c r="R422">
        <v>10</v>
      </c>
      <c r="S4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23" spans="1:19" ht="14.25" x14ac:dyDescent="0.2">
      <c r="A423">
        <v>85617911</v>
      </c>
      <c r="B423">
        <v>29</v>
      </c>
      <c r="C423" t="s">
        <v>20</v>
      </c>
      <c r="D423" t="s">
        <v>24</v>
      </c>
      <c r="E423" t="s">
        <v>16</v>
      </c>
      <c r="F423">
        <f>IF(Table2[[#This Row],[Attrition]]="Yes", 1, 0)</f>
        <v>1</v>
      </c>
      <c r="G423" t="s">
        <v>26</v>
      </c>
      <c r="H423" t="s">
        <v>23</v>
      </c>
      <c r="I423">
        <v>25</v>
      </c>
      <c r="J423">
        <v>5</v>
      </c>
      <c r="K423" t="s">
        <v>37</v>
      </c>
      <c r="L423">
        <v>3</v>
      </c>
      <c r="M423">
        <v>2</v>
      </c>
      <c r="N423" s="3">
        <v>2546</v>
      </c>
      <c r="O423" s="3" t="str">
        <f>IF(Table2[[#This Row],[MonthlyIncome]]&lt;=5000, "$1001 - $5000", IF(Table2[[#This Row],[MonthlyIncome]]&lt;=9000, "$5001 - $9000", IF(Table2[[#This Row],[MonthlyIncome]]&lt;=13000, "$9001 - $13000", IF(Table2[[#This Row],[MonthlyIncome]]&lt;=17000, "$13001 - $17000", IF(Table2[[#This Row],[MonthlyIncome]]&lt;=21000, "$17001 - $21000")))))</f>
        <v>$1001 - $5000</v>
      </c>
      <c r="P423">
        <v>5</v>
      </c>
      <c r="Q423">
        <v>4</v>
      </c>
      <c r="R423">
        <v>2</v>
      </c>
      <c r="S4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24" spans="1:19" ht="14.25" x14ac:dyDescent="0.2">
      <c r="A424">
        <v>14442298</v>
      </c>
      <c r="B424">
        <v>19</v>
      </c>
      <c r="C424" t="s">
        <v>25</v>
      </c>
      <c r="D424" t="s">
        <v>19</v>
      </c>
      <c r="E424" t="s">
        <v>16</v>
      </c>
      <c r="F424">
        <f>IF(Table2[[#This Row],[Attrition]]="Yes", 1, 0)</f>
        <v>1</v>
      </c>
      <c r="G424" t="s">
        <v>38</v>
      </c>
      <c r="H424" t="s">
        <v>38</v>
      </c>
      <c r="I424">
        <v>2</v>
      </c>
      <c r="J424">
        <v>2</v>
      </c>
      <c r="K424" t="s">
        <v>37</v>
      </c>
      <c r="L424">
        <v>1</v>
      </c>
      <c r="M424">
        <v>4</v>
      </c>
      <c r="N424" s="3">
        <v>2564</v>
      </c>
      <c r="O424" s="3" t="str">
        <f>IF(Table2[[#This Row],[MonthlyIncome]]&lt;=5000, "$1001 - $5000", IF(Table2[[#This Row],[MonthlyIncome]]&lt;=9000, "$5001 - $9000", IF(Table2[[#This Row],[MonthlyIncome]]&lt;=13000, "$9001 - $13000", IF(Table2[[#This Row],[MonthlyIncome]]&lt;=17000, "$13001 - $17000", IF(Table2[[#This Row],[MonthlyIncome]]&lt;=21000, "$17001 - $21000")))))</f>
        <v>$1001 - $5000</v>
      </c>
      <c r="P424">
        <v>1</v>
      </c>
      <c r="Q424">
        <v>4</v>
      </c>
      <c r="R424">
        <v>1</v>
      </c>
      <c r="S4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25" spans="1:19" ht="14.25" x14ac:dyDescent="0.2">
      <c r="A425">
        <v>73401218</v>
      </c>
      <c r="B425">
        <v>30</v>
      </c>
      <c r="C425" t="s">
        <v>20</v>
      </c>
      <c r="D425" t="s">
        <v>24</v>
      </c>
      <c r="E425" t="s">
        <v>22</v>
      </c>
      <c r="F425">
        <f>IF(Table2[[#This Row],[Attrition]]="Yes", 1, 0)</f>
        <v>0</v>
      </c>
      <c r="G425" t="s">
        <v>21</v>
      </c>
      <c r="H425" t="s">
        <v>17</v>
      </c>
      <c r="I425">
        <v>22</v>
      </c>
      <c r="J425">
        <v>4</v>
      </c>
      <c r="K425" t="s">
        <v>27</v>
      </c>
      <c r="L425">
        <v>3</v>
      </c>
      <c r="M425">
        <v>1</v>
      </c>
      <c r="N425" s="3">
        <v>8412</v>
      </c>
      <c r="O425" s="3" t="str">
        <f>IF(Table2[[#This Row],[MonthlyIncome]]&lt;=5000, "$1001 - $5000", IF(Table2[[#This Row],[MonthlyIncome]]&lt;=9000, "$5001 - $9000", IF(Table2[[#This Row],[MonthlyIncome]]&lt;=13000, "$9001 - $13000", IF(Table2[[#This Row],[MonthlyIncome]]&lt;=17000, "$13001 - $17000", IF(Table2[[#This Row],[MonthlyIncome]]&lt;=21000, "$17001 - $21000")))))</f>
        <v>$5001 - $9000</v>
      </c>
      <c r="P425">
        <v>0</v>
      </c>
      <c r="Q425">
        <v>3</v>
      </c>
      <c r="R425">
        <v>9</v>
      </c>
      <c r="S4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26" spans="1:19" ht="14.25" x14ac:dyDescent="0.2">
      <c r="A426">
        <v>29342921</v>
      </c>
      <c r="B426">
        <v>57</v>
      </c>
      <c r="C426" t="s">
        <v>25</v>
      </c>
      <c r="D426" t="s">
        <v>30</v>
      </c>
      <c r="E426" t="s">
        <v>22</v>
      </c>
      <c r="F426">
        <f>IF(Table2[[#This Row],[Attrition]]="Yes", 1, 0)</f>
        <v>0</v>
      </c>
      <c r="G426" t="s">
        <v>33</v>
      </c>
      <c r="H426" t="s">
        <v>17</v>
      </c>
      <c r="I426">
        <v>29</v>
      </c>
      <c r="J426">
        <v>3</v>
      </c>
      <c r="K426" t="s">
        <v>36</v>
      </c>
      <c r="L426">
        <v>1</v>
      </c>
      <c r="M426">
        <v>4</v>
      </c>
      <c r="N426" s="3">
        <v>14118</v>
      </c>
      <c r="O426" s="3" t="str">
        <f>IF(Table2[[#This Row],[MonthlyIncome]]&lt;=5000, "$1001 - $5000", IF(Table2[[#This Row],[MonthlyIncome]]&lt;=9000, "$5001 - $9000", IF(Table2[[#This Row],[MonthlyIncome]]&lt;=13000, "$9001 - $13000", IF(Table2[[#This Row],[MonthlyIncome]]&lt;=17000, "$13001 - $17000", IF(Table2[[#This Row],[MonthlyIncome]]&lt;=21000, "$17001 - $21000")))))</f>
        <v>$13001 - $17000</v>
      </c>
      <c r="P426">
        <v>3</v>
      </c>
      <c r="Q426">
        <v>2</v>
      </c>
      <c r="R426">
        <v>1</v>
      </c>
      <c r="S4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27" spans="1:19" ht="14.25" x14ac:dyDescent="0.2">
      <c r="A427">
        <v>36874379</v>
      </c>
      <c r="B427">
        <v>50</v>
      </c>
      <c r="C427" t="s">
        <v>25</v>
      </c>
      <c r="D427" t="s">
        <v>24</v>
      </c>
      <c r="E427" t="s">
        <v>22</v>
      </c>
      <c r="F427">
        <f>IF(Table2[[#This Row],[Attrition]]="Yes", 1, 0)</f>
        <v>0</v>
      </c>
      <c r="G427" t="s">
        <v>33</v>
      </c>
      <c r="H427" t="s">
        <v>23</v>
      </c>
      <c r="I427">
        <v>29</v>
      </c>
      <c r="J427">
        <v>4</v>
      </c>
      <c r="K427" t="s">
        <v>18</v>
      </c>
      <c r="L427">
        <v>2</v>
      </c>
      <c r="M427">
        <v>3</v>
      </c>
      <c r="N427" s="3">
        <v>17046</v>
      </c>
      <c r="O427" s="3" t="str">
        <f>IF(Table2[[#This Row],[MonthlyIncome]]&lt;=5000, "$1001 - $5000", IF(Table2[[#This Row],[MonthlyIncome]]&lt;=9000, "$5001 - $9000", IF(Table2[[#This Row],[MonthlyIncome]]&lt;=13000, "$9001 - $13000", IF(Table2[[#This Row],[MonthlyIncome]]&lt;=17000, "$13001 - $17000", IF(Table2[[#This Row],[MonthlyIncome]]&lt;=21000, "$17001 - $21000")))))</f>
        <v>$17001 - $21000</v>
      </c>
      <c r="P427">
        <v>0</v>
      </c>
      <c r="Q427">
        <v>3</v>
      </c>
      <c r="R427">
        <v>27</v>
      </c>
      <c r="S4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25 - 30 Years</v>
      </c>
    </row>
    <row r="428" spans="1:19" ht="14.25" x14ac:dyDescent="0.2">
      <c r="A428">
        <v>84323586</v>
      </c>
      <c r="B428">
        <v>30</v>
      </c>
      <c r="C428" t="s">
        <v>20</v>
      </c>
      <c r="D428" t="s">
        <v>19</v>
      </c>
      <c r="E428" t="s">
        <v>22</v>
      </c>
      <c r="F428">
        <f>IF(Table2[[#This Row],[Attrition]]="Yes", 1, 0)</f>
        <v>0</v>
      </c>
      <c r="G428" t="s">
        <v>28</v>
      </c>
      <c r="H428" t="s">
        <v>23</v>
      </c>
      <c r="I428">
        <v>2</v>
      </c>
      <c r="J428">
        <v>3</v>
      </c>
      <c r="K428" t="s">
        <v>29</v>
      </c>
      <c r="L428">
        <v>3</v>
      </c>
      <c r="M428">
        <v>4</v>
      </c>
      <c r="N428" s="3">
        <v>2564</v>
      </c>
      <c r="O428" s="3" t="str">
        <f>IF(Table2[[#This Row],[MonthlyIncome]]&lt;=5000, "$1001 - $5000", IF(Table2[[#This Row],[MonthlyIncome]]&lt;=9000, "$5001 - $9000", IF(Table2[[#This Row],[MonthlyIncome]]&lt;=13000, "$9001 - $13000", IF(Table2[[#This Row],[MonthlyIncome]]&lt;=17000, "$13001 - $17000", IF(Table2[[#This Row],[MonthlyIncome]]&lt;=21000, "$17001 - $21000")))))</f>
        <v>$1001 - $5000</v>
      </c>
      <c r="P428">
        <v>0</v>
      </c>
      <c r="Q428">
        <v>2</v>
      </c>
      <c r="R428">
        <v>11</v>
      </c>
      <c r="S4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29" spans="1:19" ht="14.25" x14ac:dyDescent="0.2">
      <c r="A429">
        <v>60112556</v>
      </c>
      <c r="B429">
        <v>60</v>
      </c>
      <c r="C429" t="s">
        <v>20</v>
      </c>
      <c r="D429" t="s">
        <v>24</v>
      </c>
      <c r="E429" t="s">
        <v>22</v>
      </c>
      <c r="F429">
        <f>IF(Table2[[#This Row],[Attrition]]="Yes", 1, 0)</f>
        <v>0</v>
      </c>
      <c r="G429" t="s">
        <v>21</v>
      </c>
      <c r="H429" t="s">
        <v>17</v>
      </c>
      <c r="I429">
        <v>28</v>
      </c>
      <c r="J429">
        <v>3</v>
      </c>
      <c r="K429" t="s">
        <v>36</v>
      </c>
      <c r="L429">
        <v>3</v>
      </c>
      <c r="M429">
        <v>1</v>
      </c>
      <c r="N429" s="3">
        <v>10266</v>
      </c>
      <c r="O429" s="3" t="str">
        <f>IF(Table2[[#This Row],[MonthlyIncome]]&lt;=5000, "$1001 - $5000", IF(Table2[[#This Row],[MonthlyIncome]]&lt;=9000, "$5001 - $9000", IF(Table2[[#This Row],[MonthlyIncome]]&lt;=13000, "$9001 - $13000", IF(Table2[[#This Row],[MonthlyIncome]]&lt;=17000, "$13001 - $17000", IF(Table2[[#This Row],[MonthlyIncome]]&lt;=21000, "$17001 - $21000")))))</f>
        <v>$9001 - $13000</v>
      </c>
      <c r="P429">
        <v>4</v>
      </c>
      <c r="Q429">
        <v>4</v>
      </c>
      <c r="R429">
        <v>18</v>
      </c>
      <c r="S4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430" spans="1:19" ht="14.25" x14ac:dyDescent="0.2">
      <c r="A430">
        <v>41920556</v>
      </c>
      <c r="B430">
        <v>47</v>
      </c>
      <c r="C430" t="s">
        <v>20</v>
      </c>
      <c r="D430" t="s">
        <v>30</v>
      </c>
      <c r="E430" t="s">
        <v>22</v>
      </c>
      <c r="F430">
        <f>IF(Table2[[#This Row],[Attrition]]="Yes", 1, 0)</f>
        <v>0</v>
      </c>
      <c r="G430" t="s">
        <v>31</v>
      </c>
      <c r="H430" t="s">
        <v>23</v>
      </c>
      <c r="I430">
        <v>2</v>
      </c>
      <c r="J430">
        <v>2</v>
      </c>
      <c r="K430" t="s">
        <v>29</v>
      </c>
      <c r="L430">
        <v>1</v>
      </c>
      <c r="M430">
        <v>4</v>
      </c>
      <c r="N430" s="3">
        <v>5070</v>
      </c>
      <c r="O430" s="3" t="str">
        <f>IF(Table2[[#This Row],[MonthlyIncome]]&lt;=5000, "$1001 - $5000", IF(Table2[[#This Row],[MonthlyIncome]]&lt;=9000, "$5001 - $9000", IF(Table2[[#This Row],[MonthlyIncome]]&lt;=13000, "$9001 - $13000", IF(Table2[[#This Row],[MonthlyIncome]]&lt;=17000, "$13001 - $17000", IF(Table2[[#This Row],[MonthlyIncome]]&lt;=21000, "$17001 - $21000")))))</f>
        <v>$5001 - $9000</v>
      </c>
      <c r="P430">
        <v>5</v>
      </c>
      <c r="Q430">
        <v>3</v>
      </c>
      <c r="R430">
        <v>5</v>
      </c>
      <c r="S4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31" spans="1:19" ht="14.25" x14ac:dyDescent="0.2">
      <c r="A431">
        <v>83413978</v>
      </c>
      <c r="B431">
        <v>46</v>
      </c>
      <c r="C431" t="s">
        <v>25</v>
      </c>
      <c r="D431" t="s">
        <v>24</v>
      </c>
      <c r="E431" t="s">
        <v>22</v>
      </c>
      <c r="F431">
        <f>IF(Table2[[#This Row],[Attrition]]="Yes", 1, 0)</f>
        <v>0</v>
      </c>
      <c r="G431" t="s">
        <v>35</v>
      </c>
      <c r="H431" t="s">
        <v>23</v>
      </c>
      <c r="I431">
        <v>2</v>
      </c>
      <c r="J431">
        <v>3</v>
      </c>
      <c r="K431" t="s">
        <v>18</v>
      </c>
      <c r="L431">
        <v>1</v>
      </c>
      <c r="M431">
        <v>3</v>
      </c>
      <c r="N431" s="3">
        <v>17861</v>
      </c>
      <c r="O431" s="3" t="str">
        <f>IF(Table2[[#This Row],[MonthlyIncome]]&lt;=5000, "$1001 - $5000", IF(Table2[[#This Row],[MonthlyIncome]]&lt;=9000, "$5001 - $9000", IF(Table2[[#This Row],[MonthlyIncome]]&lt;=13000, "$9001 - $13000", IF(Table2[[#This Row],[MonthlyIncome]]&lt;=17000, "$13001 - $17000", IF(Table2[[#This Row],[MonthlyIncome]]&lt;=21000, "$17001 - $21000")))))</f>
        <v>$17001 - $21000</v>
      </c>
      <c r="P431">
        <v>6</v>
      </c>
      <c r="Q431">
        <v>1</v>
      </c>
      <c r="R431">
        <v>3</v>
      </c>
      <c r="S4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32" spans="1:19" ht="14.25" x14ac:dyDescent="0.2">
      <c r="A432">
        <v>46290929</v>
      </c>
      <c r="B432">
        <v>35</v>
      </c>
      <c r="C432" t="s">
        <v>25</v>
      </c>
      <c r="D432" t="s">
        <v>19</v>
      </c>
      <c r="E432" t="s">
        <v>22</v>
      </c>
      <c r="F432">
        <f>IF(Table2[[#This Row],[Attrition]]="Yes", 1, 0)</f>
        <v>0</v>
      </c>
      <c r="G432" t="s">
        <v>28</v>
      </c>
      <c r="H432" t="s">
        <v>23</v>
      </c>
      <c r="I432">
        <v>22</v>
      </c>
      <c r="J432">
        <v>3</v>
      </c>
      <c r="K432" t="s">
        <v>18</v>
      </c>
      <c r="L432">
        <v>4</v>
      </c>
      <c r="M432">
        <v>3</v>
      </c>
      <c r="N432" s="3">
        <v>4230</v>
      </c>
      <c r="O432" s="3" t="str">
        <f>IF(Table2[[#This Row],[MonthlyIncome]]&lt;=5000, "$1001 - $5000", IF(Table2[[#This Row],[MonthlyIncome]]&lt;=9000, "$5001 - $9000", IF(Table2[[#This Row],[MonthlyIncome]]&lt;=13000, "$9001 - $13000", IF(Table2[[#This Row],[MonthlyIncome]]&lt;=17000, "$13001 - $17000", IF(Table2[[#This Row],[MonthlyIncome]]&lt;=21000, "$17001 - $21000")))))</f>
        <v>$1001 - $5000</v>
      </c>
      <c r="P432">
        <v>0</v>
      </c>
      <c r="Q432">
        <v>3</v>
      </c>
      <c r="R432">
        <v>5</v>
      </c>
      <c r="S4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33" spans="1:19" ht="14.25" x14ac:dyDescent="0.2">
      <c r="A433">
        <v>22052339</v>
      </c>
      <c r="B433">
        <v>54</v>
      </c>
      <c r="C433" t="s">
        <v>20</v>
      </c>
      <c r="D433" t="s">
        <v>19</v>
      </c>
      <c r="E433" t="s">
        <v>22</v>
      </c>
      <c r="F433">
        <f>IF(Table2[[#This Row],[Attrition]]="Yes", 1, 0)</f>
        <v>0</v>
      </c>
      <c r="G433" t="s">
        <v>28</v>
      </c>
      <c r="H433" t="s">
        <v>23</v>
      </c>
      <c r="I433">
        <v>8</v>
      </c>
      <c r="J433">
        <v>4</v>
      </c>
      <c r="K433" t="s">
        <v>18</v>
      </c>
      <c r="L433">
        <v>3</v>
      </c>
      <c r="M433">
        <v>3</v>
      </c>
      <c r="N433" s="3">
        <v>3780</v>
      </c>
      <c r="O433" s="3" t="str">
        <f>IF(Table2[[#This Row],[MonthlyIncome]]&lt;=5000, "$1001 - $5000", IF(Table2[[#This Row],[MonthlyIncome]]&lt;=9000, "$5001 - $9000", IF(Table2[[#This Row],[MonthlyIncome]]&lt;=13000, "$9001 - $13000", IF(Table2[[#This Row],[MonthlyIncome]]&lt;=17000, "$13001 - $17000", IF(Table2[[#This Row],[MonthlyIncome]]&lt;=21000, "$17001 - $21000")))))</f>
        <v>$1001 - $5000</v>
      </c>
      <c r="P433">
        <v>7</v>
      </c>
      <c r="Q433">
        <v>3</v>
      </c>
      <c r="R433">
        <v>1</v>
      </c>
      <c r="S4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34" spans="1:19" ht="14.25" x14ac:dyDescent="0.2">
      <c r="A434">
        <v>38289961</v>
      </c>
      <c r="B434">
        <v>34</v>
      </c>
      <c r="C434" t="s">
        <v>25</v>
      </c>
      <c r="D434" t="s">
        <v>30</v>
      </c>
      <c r="E434" t="s">
        <v>22</v>
      </c>
      <c r="F434">
        <f>IF(Table2[[#This Row],[Attrition]]="Yes", 1, 0)</f>
        <v>0</v>
      </c>
      <c r="G434" t="s">
        <v>26</v>
      </c>
      <c r="H434" t="s">
        <v>23</v>
      </c>
      <c r="I434">
        <v>2</v>
      </c>
      <c r="J434">
        <v>4</v>
      </c>
      <c r="K434" t="s">
        <v>18</v>
      </c>
      <c r="L434">
        <v>4</v>
      </c>
      <c r="M434">
        <v>3</v>
      </c>
      <c r="N434" s="3">
        <v>2768</v>
      </c>
      <c r="O434" s="3" t="str">
        <f>IF(Table2[[#This Row],[MonthlyIncome]]&lt;=5000, "$1001 - $5000", IF(Table2[[#This Row],[MonthlyIncome]]&lt;=9000, "$5001 - $9000", IF(Table2[[#This Row],[MonthlyIncome]]&lt;=13000, "$9001 - $13000", IF(Table2[[#This Row],[MonthlyIncome]]&lt;=17000, "$13001 - $17000", IF(Table2[[#This Row],[MonthlyIncome]]&lt;=21000, "$17001 - $21000")))))</f>
        <v>$1001 - $5000</v>
      </c>
      <c r="P434">
        <v>3</v>
      </c>
      <c r="Q434">
        <v>3</v>
      </c>
      <c r="R434">
        <v>7</v>
      </c>
      <c r="S4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35" spans="1:19" ht="14.25" x14ac:dyDescent="0.2">
      <c r="A435">
        <v>67313910</v>
      </c>
      <c r="B435">
        <v>46</v>
      </c>
      <c r="C435" t="s">
        <v>20</v>
      </c>
      <c r="D435" t="s">
        <v>24</v>
      </c>
      <c r="E435" t="s">
        <v>22</v>
      </c>
      <c r="F435">
        <f>IF(Table2[[#This Row],[Attrition]]="Yes", 1, 0)</f>
        <v>0</v>
      </c>
      <c r="G435" t="s">
        <v>21</v>
      </c>
      <c r="H435" t="s">
        <v>17</v>
      </c>
      <c r="I435">
        <v>10</v>
      </c>
      <c r="J435">
        <v>3</v>
      </c>
      <c r="K435" t="s">
        <v>36</v>
      </c>
      <c r="L435">
        <v>3</v>
      </c>
      <c r="M435">
        <v>4</v>
      </c>
      <c r="N435" s="3">
        <v>9071</v>
      </c>
      <c r="O435" s="3" t="str">
        <f>IF(Table2[[#This Row],[MonthlyIncome]]&lt;=5000, "$1001 - $5000", IF(Table2[[#This Row],[MonthlyIncome]]&lt;=9000, "$5001 - $9000", IF(Table2[[#This Row],[MonthlyIncome]]&lt;=13000, "$9001 - $13000", IF(Table2[[#This Row],[MonthlyIncome]]&lt;=17000, "$13001 - $17000", IF(Table2[[#This Row],[MonthlyIncome]]&lt;=21000, "$17001 - $21000")))))</f>
        <v>$9001 - $13000</v>
      </c>
      <c r="P435">
        <v>2</v>
      </c>
      <c r="Q435">
        <v>3</v>
      </c>
      <c r="R435">
        <v>3</v>
      </c>
      <c r="S4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36" spans="1:19" ht="14.25" x14ac:dyDescent="0.2">
      <c r="A436">
        <v>72813068</v>
      </c>
      <c r="B436">
        <v>31</v>
      </c>
      <c r="C436" t="s">
        <v>25</v>
      </c>
      <c r="D436" t="s">
        <v>30</v>
      </c>
      <c r="E436" t="s">
        <v>22</v>
      </c>
      <c r="F436">
        <f>IF(Table2[[#This Row],[Attrition]]="Yes", 1, 0)</f>
        <v>0</v>
      </c>
      <c r="G436" t="s">
        <v>31</v>
      </c>
      <c r="H436" t="s">
        <v>23</v>
      </c>
      <c r="I436">
        <v>9</v>
      </c>
      <c r="J436">
        <v>1</v>
      </c>
      <c r="K436" t="s">
        <v>18</v>
      </c>
      <c r="L436">
        <v>3</v>
      </c>
      <c r="M436">
        <v>2</v>
      </c>
      <c r="N436" s="3">
        <v>10648</v>
      </c>
      <c r="O436" s="3" t="str">
        <f>IF(Table2[[#This Row],[MonthlyIncome]]&lt;=5000, "$1001 - $5000", IF(Table2[[#This Row],[MonthlyIncome]]&lt;=9000, "$5001 - $9000", IF(Table2[[#This Row],[MonthlyIncome]]&lt;=13000, "$9001 - $13000", IF(Table2[[#This Row],[MonthlyIncome]]&lt;=17000, "$13001 - $17000", IF(Table2[[#This Row],[MonthlyIncome]]&lt;=21000, "$17001 - $21000")))))</f>
        <v>$9001 - $13000</v>
      </c>
      <c r="P436">
        <v>1</v>
      </c>
      <c r="Q436">
        <v>4</v>
      </c>
      <c r="R436">
        <v>13</v>
      </c>
      <c r="S4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37" spans="1:19" ht="14.25" x14ac:dyDescent="0.2">
      <c r="A437">
        <v>66842655</v>
      </c>
      <c r="B437">
        <v>33</v>
      </c>
      <c r="C437" t="s">
        <v>25</v>
      </c>
      <c r="D437" t="s">
        <v>24</v>
      </c>
      <c r="E437" t="s">
        <v>16</v>
      </c>
      <c r="F437">
        <f>IF(Table2[[#This Row],[Attrition]]="Yes", 1, 0)</f>
        <v>1</v>
      </c>
      <c r="G437" t="s">
        <v>33</v>
      </c>
      <c r="H437" t="s">
        <v>23</v>
      </c>
      <c r="I437">
        <v>15</v>
      </c>
      <c r="J437">
        <v>1</v>
      </c>
      <c r="K437" t="s">
        <v>29</v>
      </c>
      <c r="L437">
        <v>2</v>
      </c>
      <c r="M437">
        <v>3</v>
      </c>
      <c r="N437" s="3">
        <v>13610</v>
      </c>
      <c r="O437" s="3" t="str">
        <f>IF(Table2[[#This Row],[MonthlyIncome]]&lt;=5000, "$1001 - $5000", IF(Table2[[#This Row],[MonthlyIncome]]&lt;=9000, "$5001 - $9000", IF(Table2[[#This Row],[MonthlyIncome]]&lt;=13000, "$9001 - $13000", IF(Table2[[#This Row],[MonthlyIncome]]&lt;=17000, "$13001 - $17000", IF(Table2[[#This Row],[MonthlyIncome]]&lt;=21000, "$17001 - $21000")))))</f>
        <v>$13001 - $17000</v>
      </c>
      <c r="P437">
        <v>7</v>
      </c>
      <c r="Q437">
        <v>4</v>
      </c>
      <c r="R437">
        <v>7</v>
      </c>
      <c r="S4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38" spans="1:19" ht="14.25" x14ac:dyDescent="0.2">
      <c r="A438">
        <v>16337065</v>
      </c>
      <c r="B438">
        <v>33</v>
      </c>
      <c r="C438" t="s">
        <v>25</v>
      </c>
      <c r="D438" t="s">
        <v>30</v>
      </c>
      <c r="E438" t="s">
        <v>16</v>
      </c>
      <c r="F438">
        <f>IF(Table2[[#This Row],[Attrition]]="Yes", 1, 0)</f>
        <v>1</v>
      </c>
      <c r="G438" t="s">
        <v>28</v>
      </c>
      <c r="H438" t="s">
        <v>23</v>
      </c>
      <c r="I438">
        <v>10</v>
      </c>
      <c r="J438">
        <v>1</v>
      </c>
      <c r="K438" t="s">
        <v>29</v>
      </c>
      <c r="L438">
        <v>1</v>
      </c>
      <c r="M438">
        <v>4</v>
      </c>
      <c r="N438" s="3">
        <v>3408</v>
      </c>
      <c r="O438" s="3" t="str">
        <f>IF(Table2[[#This Row],[MonthlyIncome]]&lt;=5000, "$1001 - $5000", IF(Table2[[#This Row],[MonthlyIncome]]&lt;=9000, "$5001 - $9000", IF(Table2[[#This Row],[MonthlyIncome]]&lt;=13000, "$9001 - $13000", IF(Table2[[#This Row],[MonthlyIncome]]&lt;=17000, "$13001 - $17000", IF(Table2[[#This Row],[MonthlyIncome]]&lt;=21000, "$17001 - $21000")))))</f>
        <v>$1001 - $5000</v>
      </c>
      <c r="P438">
        <v>7</v>
      </c>
      <c r="Q438">
        <v>3</v>
      </c>
      <c r="R438">
        <v>4</v>
      </c>
      <c r="S4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39" spans="1:19" ht="14.25" x14ac:dyDescent="0.2">
      <c r="A439">
        <v>14311069</v>
      </c>
      <c r="B439">
        <v>30</v>
      </c>
      <c r="C439" t="s">
        <v>25</v>
      </c>
      <c r="D439" t="s">
        <v>19</v>
      </c>
      <c r="E439" t="s">
        <v>22</v>
      </c>
      <c r="F439">
        <f>IF(Table2[[#This Row],[Attrition]]="Yes", 1, 0)</f>
        <v>0</v>
      </c>
      <c r="G439" t="s">
        <v>34</v>
      </c>
      <c r="H439" t="s">
        <v>17</v>
      </c>
      <c r="I439">
        <v>7</v>
      </c>
      <c r="J439">
        <v>1</v>
      </c>
      <c r="K439" t="s">
        <v>36</v>
      </c>
      <c r="L439">
        <v>4</v>
      </c>
      <c r="M439">
        <v>2</v>
      </c>
      <c r="N439" s="3">
        <v>2983</v>
      </c>
      <c r="O439" s="3" t="str">
        <f>IF(Table2[[#This Row],[MonthlyIncome]]&lt;=5000, "$1001 - $5000", IF(Table2[[#This Row],[MonthlyIncome]]&lt;=9000, "$5001 - $9000", IF(Table2[[#This Row],[MonthlyIncome]]&lt;=13000, "$9001 - $13000", IF(Table2[[#This Row],[MonthlyIncome]]&lt;=17000, "$13001 - $17000", IF(Table2[[#This Row],[MonthlyIncome]]&lt;=21000, "$17001 - $21000")))))</f>
        <v>$1001 - $5000</v>
      </c>
      <c r="P439">
        <v>0</v>
      </c>
      <c r="Q439">
        <v>3</v>
      </c>
      <c r="R439">
        <v>3</v>
      </c>
      <c r="S4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40" spans="1:19" ht="14.25" x14ac:dyDescent="0.2">
      <c r="A440">
        <v>73461895</v>
      </c>
      <c r="B440">
        <v>35</v>
      </c>
      <c r="C440" t="s">
        <v>25</v>
      </c>
      <c r="D440" t="s">
        <v>24</v>
      </c>
      <c r="E440" t="s">
        <v>22</v>
      </c>
      <c r="F440">
        <f>IF(Table2[[#This Row],[Attrition]]="Yes", 1, 0)</f>
        <v>0</v>
      </c>
      <c r="G440" t="s">
        <v>32</v>
      </c>
      <c r="H440" t="s">
        <v>23</v>
      </c>
      <c r="I440">
        <v>16</v>
      </c>
      <c r="J440">
        <v>3</v>
      </c>
      <c r="K440" t="s">
        <v>18</v>
      </c>
      <c r="L440">
        <v>4</v>
      </c>
      <c r="M440">
        <v>3</v>
      </c>
      <c r="N440" s="3">
        <v>7632</v>
      </c>
      <c r="O440" s="3" t="str">
        <f>IF(Table2[[#This Row],[MonthlyIncome]]&lt;=5000, "$1001 - $5000", IF(Table2[[#This Row],[MonthlyIncome]]&lt;=9000, "$5001 - $9000", IF(Table2[[#This Row],[MonthlyIncome]]&lt;=13000, "$9001 - $13000", IF(Table2[[#This Row],[MonthlyIncome]]&lt;=17000, "$13001 - $17000", IF(Table2[[#This Row],[MonthlyIncome]]&lt;=21000, "$17001 - $21000")))))</f>
        <v>$5001 - $9000</v>
      </c>
      <c r="P440">
        <v>4</v>
      </c>
      <c r="Q440">
        <v>3</v>
      </c>
      <c r="R440">
        <v>8</v>
      </c>
      <c r="S4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41" spans="1:19" ht="14.25" x14ac:dyDescent="0.2">
      <c r="A441">
        <v>14256891</v>
      </c>
      <c r="B441">
        <v>31</v>
      </c>
      <c r="C441" t="s">
        <v>25</v>
      </c>
      <c r="D441" t="s">
        <v>24</v>
      </c>
      <c r="E441" t="s">
        <v>16</v>
      </c>
      <c r="F441">
        <f>IF(Table2[[#This Row],[Attrition]]="Yes", 1, 0)</f>
        <v>1</v>
      </c>
      <c r="G441" t="s">
        <v>32</v>
      </c>
      <c r="H441" t="s">
        <v>23</v>
      </c>
      <c r="I441">
        <v>20</v>
      </c>
      <c r="J441">
        <v>3</v>
      </c>
      <c r="K441" t="s">
        <v>18</v>
      </c>
      <c r="L441">
        <v>1</v>
      </c>
      <c r="M441">
        <v>3</v>
      </c>
      <c r="N441" s="3">
        <v>9824</v>
      </c>
      <c r="O441" s="3" t="str">
        <f>IF(Table2[[#This Row],[MonthlyIncome]]&lt;=5000, "$1001 - $5000", IF(Table2[[#This Row],[MonthlyIncome]]&lt;=9000, "$5001 - $9000", IF(Table2[[#This Row],[MonthlyIncome]]&lt;=13000, "$9001 - $13000", IF(Table2[[#This Row],[MonthlyIncome]]&lt;=17000, "$13001 - $17000", IF(Table2[[#This Row],[MonthlyIncome]]&lt;=21000, "$17001 - $21000")))))</f>
        <v>$9001 - $13000</v>
      </c>
      <c r="P441">
        <v>3</v>
      </c>
      <c r="Q441">
        <v>3</v>
      </c>
      <c r="R441">
        <v>1</v>
      </c>
      <c r="S4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42" spans="1:19" ht="14.25" x14ac:dyDescent="0.2">
      <c r="A442">
        <v>53717821</v>
      </c>
      <c r="B442">
        <v>34</v>
      </c>
      <c r="C442" t="s">
        <v>20</v>
      </c>
      <c r="D442" t="s">
        <v>30</v>
      </c>
      <c r="E442" t="s">
        <v>16</v>
      </c>
      <c r="F442">
        <f>IF(Table2[[#This Row],[Attrition]]="Yes", 1, 0)</f>
        <v>1</v>
      </c>
      <c r="G442" t="s">
        <v>38</v>
      </c>
      <c r="H442" t="s">
        <v>38</v>
      </c>
      <c r="I442">
        <v>23</v>
      </c>
      <c r="J442">
        <v>3</v>
      </c>
      <c r="K442" t="s">
        <v>38</v>
      </c>
      <c r="L442">
        <v>2</v>
      </c>
      <c r="M442">
        <v>1</v>
      </c>
      <c r="N442" s="3">
        <v>9950</v>
      </c>
      <c r="O442" s="3" t="str">
        <f>IF(Table2[[#This Row],[MonthlyIncome]]&lt;=5000, "$1001 - $5000", IF(Table2[[#This Row],[MonthlyIncome]]&lt;=9000, "$5001 - $9000", IF(Table2[[#This Row],[MonthlyIncome]]&lt;=13000, "$9001 - $13000", IF(Table2[[#This Row],[MonthlyIncome]]&lt;=17000, "$13001 - $17000", IF(Table2[[#This Row],[MonthlyIncome]]&lt;=21000, "$17001 - $21000")))))</f>
        <v>$9001 - $13000</v>
      </c>
      <c r="P442">
        <v>9</v>
      </c>
      <c r="Q442">
        <v>3</v>
      </c>
      <c r="R442">
        <v>3</v>
      </c>
      <c r="S4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43" spans="1:19" ht="14.25" x14ac:dyDescent="0.2">
      <c r="A443">
        <v>59257263</v>
      </c>
      <c r="B443">
        <v>42</v>
      </c>
      <c r="C443" t="s">
        <v>25</v>
      </c>
      <c r="D443" t="s">
        <v>24</v>
      </c>
      <c r="E443" t="s">
        <v>22</v>
      </c>
      <c r="F443">
        <f>IF(Table2[[#This Row],[Attrition]]="Yes", 1, 0)</f>
        <v>0</v>
      </c>
      <c r="G443" t="s">
        <v>28</v>
      </c>
      <c r="H443" t="s">
        <v>23</v>
      </c>
      <c r="I443">
        <v>5</v>
      </c>
      <c r="J443">
        <v>2</v>
      </c>
      <c r="K443" t="s">
        <v>27</v>
      </c>
      <c r="L443">
        <v>2</v>
      </c>
      <c r="M443">
        <v>3</v>
      </c>
      <c r="N443" s="3">
        <v>2093</v>
      </c>
      <c r="O443" s="3" t="str">
        <f>IF(Table2[[#This Row],[MonthlyIncome]]&lt;=5000, "$1001 - $5000", IF(Table2[[#This Row],[MonthlyIncome]]&lt;=9000, "$5001 - $9000", IF(Table2[[#This Row],[MonthlyIncome]]&lt;=13000, "$9001 - $13000", IF(Table2[[#This Row],[MonthlyIncome]]&lt;=17000, "$13001 - $17000", IF(Table2[[#This Row],[MonthlyIncome]]&lt;=21000, "$17001 - $21000")))))</f>
        <v>$1001 - $5000</v>
      </c>
      <c r="P443">
        <v>4</v>
      </c>
      <c r="Q443">
        <v>3</v>
      </c>
      <c r="R443">
        <v>2</v>
      </c>
      <c r="S4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44" spans="1:19" ht="14.25" x14ac:dyDescent="0.2">
      <c r="A444">
        <v>49226214</v>
      </c>
      <c r="B444">
        <v>36</v>
      </c>
      <c r="C444" t="s">
        <v>25</v>
      </c>
      <c r="D444" t="s">
        <v>19</v>
      </c>
      <c r="E444" t="s">
        <v>22</v>
      </c>
      <c r="F444">
        <f>IF(Table2[[#This Row],[Attrition]]="Yes", 1, 0)</f>
        <v>0</v>
      </c>
      <c r="G444" t="s">
        <v>21</v>
      </c>
      <c r="H444" t="s">
        <v>17</v>
      </c>
      <c r="I444">
        <v>10</v>
      </c>
      <c r="J444">
        <v>4</v>
      </c>
      <c r="K444" t="s">
        <v>29</v>
      </c>
      <c r="L444">
        <v>2</v>
      </c>
      <c r="M444">
        <v>4</v>
      </c>
      <c r="N444" s="3">
        <v>9980</v>
      </c>
      <c r="O444" s="3" t="str">
        <f>IF(Table2[[#This Row],[MonthlyIncome]]&lt;=5000, "$1001 - $5000", IF(Table2[[#This Row],[MonthlyIncome]]&lt;=9000, "$5001 - $9000", IF(Table2[[#This Row],[MonthlyIncome]]&lt;=13000, "$9001 - $13000", IF(Table2[[#This Row],[MonthlyIncome]]&lt;=17000, "$13001 - $17000", IF(Table2[[#This Row],[MonthlyIncome]]&lt;=21000, "$17001 - $21000")))))</f>
        <v>$9001 - $13000</v>
      </c>
      <c r="P444">
        <v>1</v>
      </c>
      <c r="Q444">
        <v>2</v>
      </c>
      <c r="R444">
        <v>10</v>
      </c>
      <c r="S4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45" spans="1:19" ht="14.25" x14ac:dyDescent="0.2">
      <c r="A445">
        <v>77326854</v>
      </c>
      <c r="B445">
        <v>22</v>
      </c>
      <c r="C445" t="s">
        <v>25</v>
      </c>
      <c r="D445" t="s">
        <v>19</v>
      </c>
      <c r="E445" t="s">
        <v>16</v>
      </c>
      <c r="F445">
        <f>IF(Table2[[#This Row],[Attrition]]="Yes", 1, 0)</f>
        <v>1</v>
      </c>
      <c r="G445" t="s">
        <v>28</v>
      </c>
      <c r="H445" t="s">
        <v>23</v>
      </c>
      <c r="I445">
        <v>4</v>
      </c>
      <c r="J445">
        <v>1</v>
      </c>
      <c r="K445" t="s">
        <v>37</v>
      </c>
      <c r="L445">
        <v>3</v>
      </c>
      <c r="M445">
        <v>3</v>
      </c>
      <c r="N445" s="3">
        <v>3894</v>
      </c>
      <c r="O445" s="3" t="str">
        <f>IF(Table2[[#This Row],[MonthlyIncome]]&lt;=5000, "$1001 - $5000", IF(Table2[[#This Row],[MonthlyIncome]]&lt;=9000, "$5001 - $9000", IF(Table2[[#This Row],[MonthlyIncome]]&lt;=13000, "$9001 - $13000", IF(Table2[[#This Row],[MonthlyIncome]]&lt;=17000, "$13001 - $17000", IF(Table2[[#This Row],[MonthlyIncome]]&lt;=21000, "$17001 - $21000")))))</f>
        <v>$1001 - $5000</v>
      </c>
      <c r="P445">
        <v>5</v>
      </c>
      <c r="Q445">
        <v>3</v>
      </c>
      <c r="R445">
        <v>2</v>
      </c>
      <c r="S4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46" spans="1:19" ht="14.25" x14ac:dyDescent="0.2">
      <c r="A446">
        <v>51723629</v>
      </c>
      <c r="B446">
        <v>48</v>
      </c>
      <c r="C446" t="s">
        <v>20</v>
      </c>
      <c r="D446" t="s">
        <v>24</v>
      </c>
      <c r="E446" t="s">
        <v>22</v>
      </c>
      <c r="F446">
        <f>IF(Table2[[#This Row],[Attrition]]="Yes", 1, 0)</f>
        <v>0</v>
      </c>
      <c r="G446" t="s">
        <v>21</v>
      </c>
      <c r="H446" t="s">
        <v>17</v>
      </c>
      <c r="I446">
        <v>2</v>
      </c>
      <c r="J446">
        <v>5</v>
      </c>
      <c r="K446" t="s">
        <v>36</v>
      </c>
      <c r="L446">
        <v>2</v>
      </c>
      <c r="M446">
        <v>4</v>
      </c>
      <c r="N446" s="3">
        <v>4051</v>
      </c>
      <c r="O446" s="3" t="str">
        <f>IF(Table2[[#This Row],[MonthlyIncome]]&lt;=5000, "$1001 - $5000", IF(Table2[[#This Row],[MonthlyIncome]]&lt;=9000, "$5001 - $9000", IF(Table2[[#This Row],[MonthlyIncome]]&lt;=13000, "$9001 - $13000", IF(Table2[[#This Row],[MonthlyIncome]]&lt;=17000, "$13001 - $17000", IF(Table2[[#This Row],[MonthlyIncome]]&lt;=21000, "$17001 - $21000")))))</f>
        <v>$1001 - $5000</v>
      </c>
      <c r="P446">
        <v>2</v>
      </c>
      <c r="Q446">
        <v>3</v>
      </c>
      <c r="R446">
        <v>9</v>
      </c>
      <c r="S4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47" spans="1:19" ht="14.25" x14ac:dyDescent="0.2">
      <c r="A447">
        <v>31806800</v>
      </c>
      <c r="B447">
        <v>55</v>
      </c>
      <c r="C447" t="s">
        <v>20</v>
      </c>
      <c r="D447" t="s">
        <v>19</v>
      </c>
      <c r="E447" t="s">
        <v>22</v>
      </c>
      <c r="F447">
        <f>IF(Table2[[#This Row],[Attrition]]="Yes", 1, 0)</f>
        <v>0</v>
      </c>
      <c r="G447" t="s">
        <v>33</v>
      </c>
      <c r="H447" t="s">
        <v>17</v>
      </c>
      <c r="I447">
        <v>18</v>
      </c>
      <c r="J447">
        <v>5</v>
      </c>
      <c r="K447" t="s">
        <v>18</v>
      </c>
      <c r="L447">
        <v>1</v>
      </c>
      <c r="M447">
        <v>2</v>
      </c>
      <c r="N447" s="3">
        <v>16835</v>
      </c>
      <c r="O447" s="3" t="str">
        <f>IF(Table2[[#This Row],[MonthlyIncome]]&lt;=5000, "$1001 - $5000", IF(Table2[[#This Row],[MonthlyIncome]]&lt;=9000, "$5001 - $9000", IF(Table2[[#This Row],[MonthlyIncome]]&lt;=13000, "$9001 - $13000", IF(Table2[[#This Row],[MonthlyIncome]]&lt;=17000, "$13001 - $17000", IF(Table2[[#This Row],[MonthlyIncome]]&lt;=21000, "$17001 - $21000")))))</f>
        <v>$13001 - $17000</v>
      </c>
      <c r="P447">
        <v>3</v>
      </c>
      <c r="Q447">
        <v>3</v>
      </c>
      <c r="R447">
        <v>10</v>
      </c>
      <c r="S4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48" spans="1:19" ht="14.25" x14ac:dyDescent="0.2">
      <c r="A448">
        <v>83704405</v>
      </c>
      <c r="B448">
        <v>41</v>
      </c>
      <c r="C448" t="s">
        <v>25</v>
      </c>
      <c r="D448" t="s">
        <v>19</v>
      </c>
      <c r="E448" t="s">
        <v>22</v>
      </c>
      <c r="F448">
        <f>IF(Table2[[#This Row],[Attrition]]="Yes", 1, 0)</f>
        <v>0</v>
      </c>
      <c r="G448" t="s">
        <v>21</v>
      </c>
      <c r="H448" t="s">
        <v>17</v>
      </c>
      <c r="I448">
        <v>10</v>
      </c>
      <c r="J448">
        <v>2</v>
      </c>
      <c r="K448" t="s">
        <v>18</v>
      </c>
      <c r="L448">
        <v>4</v>
      </c>
      <c r="M448">
        <v>4</v>
      </c>
      <c r="N448" s="3">
        <v>6230</v>
      </c>
      <c r="O448" s="3" t="str">
        <f>IF(Table2[[#This Row],[MonthlyIncome]]&lt;=5000, "$1001 - $5000", IF(Table2[[#This Row],[MonthlyIncome]]&lt;=9000, "$5001 - $9000", IF(Table2[[#This Row],[MonthlyIncome]]&lt;=13000, "$9001 - $13000", IF(Table2[[#This Row],[MonthlyIncome]]&lt;=17000, "$13001 - $17000", IF(Table2[[#This Row],[MonthlyIncome]]&lt;=21000, "$17001 - $21000")))))</f>
        <v>$5001 - $9000</v>
      </c>
      <c r="P448">
        <v>7</v>
      </c>
      <c r="Q448">
        <v>3</v>
      </c>
      <c r="R448">
        <v>14</v>
      </c>
      <c r="S4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49" spans="1:19" ht="14.25" x14ac:dyDescent="0.2">
      <c r="A449">
        <v>88426974</v>
      </c>
      <c r="B449">
        <v>35</v>
      </c>
      <c r="C449" t="s">
        <v>25</v>
      </c>
      <c r="D449" t="s">
        <v>24</v>
      </c>
      <c r="E449" t="s">
        <v>22</v>
      </c>
      <c r="F449">
        <f>IF(Table2[[#This Row],[Attrition]]="Yes", 1, 0)</f>
        <v>0</v>
      </c>
      <c r="G449" t="s">
        <v>21</v>
      </c>
      <c r="H449" t="s">
        <v>17</v>
      </c>
      <c r="I449">
        <v>1</v>
      </c>
      <c r="J449">
        <v>3</v>
      </c>
      <c r="K449" t="s">
        <v>36</v>
      </c>
      <c r="L449">
        <v>2</v>
      </c>
      <c r="M449">
        <v>3</v>
      </c>
      <c r="N449" s="3">
        <v>4717</v>
      </c>
      <c r="O449" s="3" t="str">
        <f>IF(Table2[[#This Row],[MonthlyIncome]]&lt;=5000, "$1001 - $5000", IF(Table2[[#This Row],[MonthlyIncome]]&lt;=9000, "$5001 - $9000", IF(Table2[[#This Row],[MonthlyIncome]]&lt;=13000, "$9001 - $13000", IF(Table2[[#This Row],[MonthlyIncome]]&lt;=17000, "$13001 - $17000", IF(Table2[[#This Row],[MonthlyIncome]]&lt;=21000, "$17001 - $21000")))))</f>
        <v>$1001 - $5000</v>
      </c>
      <c r="P449">
        <v>9</v>
      </c>
      <c r="Q449">
        <v>3</v>
      </c>
      <c r="R449">
        <v>11</v>
      </c>
      <c r="S4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50" spans="1:19" ht="14.25" x14ac:dyDescent="0.2">
      <c r="A450">
        <v>63779699</v>
      </c>
      <c r="B450">
        <v>40</v>
      </c>
      <c r="C450" t="s">
        <v>20</v>
      </c>
      <c r="D450" t="s">
        <v>19</v>
      </c>
      <c r="E450" t="s">
        <v>22</v>
      </c>
      <c r="F450">
        <f>IF(Table2[[#This Row],[Attrition]]="Yes", 1, 0)</f>
        <v>0</v>
      </c>
      <c r="G450" t="s">
        <v>31</v>
      </c>
      <c r="H450" t="s">
        <v>23</v>
      </c>
      <c r="I450">
        <v>6</v>
      </c>
      <c r="J450">
        <v>3</v>
      </c>
      <c r="K450" t="s">
        <v>18</v>
      </c>
      <c r="L450">
        <v>2</v>
      </c>
      <c r="M450">
        <v>3</v>
      </c>
      <c r="N450" s="3">
        <v>13237</v>
      </c>
      <c r="O450" s="3" t="str">
        <f>IF(Table2[[#This Row],[MonthlyIncome]]&lt;=5000, "$1001 - $5000", IF(Table2[[#This Row],[MonthlyIncome]]&lt;=9000, "$5001 - $9000", IF(Table2[[#This Row],[MonthlyIncome]]&lt;=13000, "$9001 - $13000", IF(Table2[[#This Row],[MonthlyIncome]]&lt;=17000, "$13001 - $17000", IF(Table2[[#This Row],[MonthlyIncome]]&lt;=21000, "$17001 - $21000")))))</f>
        <v>$13001 - $17000</v>
      </c>
      <c r="P450">
        <v>7</v>
      </c>
      <c r="Q450">
        <v>3</v>
      </c>
      <c r="R450">
        <v>20</v>
      </c>
      <c r="S4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451" spans="1:19" ht="14.25" x14ac:dyDescent="0.2">
      <c r="A451">
        <v>53191892</v>
      </c>
      <c r="B451">
        <v>39</v>
      </c>
      <c r="C451" t="s">
        <v>20</v>
      </c>
      <c r="D451" t="s">
        <v>24</v>
      </c>
      <c r="E451" t="s">
        <v>22</v>
      </c>
      <c r="F451">
        <f>IF(Table2[[#This Row],[Attrition]]="Yes", 1, 0)</f>
        <v>0</v>
      </c>
      <c r="G451" t="s">
        <v>28</v>
      </c>
      <c r="H451" t="s">
        <v>23</v>
      </c>
      <c r="I451">
        <v>8</v>
      </c>
      <c r="J451">
        <v>1</v>
      </c>
      <c r="K451" t="s">
        <v>18</v>
      </c>
      <c r="L451">
        <v>3</v>
      </c>
      <c r="M451">
        <v>3</v>
      </c>
      <c r="N451" s="3">
        <v>3755</v>
      </c>
      <c r="O451" s="3" t="str">
        <f>IF(Table2[[#This Row],[MonthlyIncome]]&lt;=5000, "$1001 - $5000", IF(Table2[[#This Row],[MonthlyIncome]]&lt;=9000, "$5001 - $9000", IF(Table2[[#This Row],[MonthlyIncome]]&lt;=13000, "$9001 - $13000", IF(Table2[[#This Row],[MonthlyIncome]]&lt;=17000, "$13001 - $17000", IF(Table2[[#This Row],[MonthlyIncome]]&lt;=21000, "$17001 - $21000")))))</f>
        <v>$1001 - $5000</v>
      </c>
      <c r="P451">
        <v>1</v>
      </c>
      <c r="Q451">
        <v>3</v>
      </c>
      <c r="R451">
        <v>8</v>
      </c>
      <c r="S4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52" spans="1:19" ht="14.25" x14ac:dyDescent="0.2">
      <c r="A452">
        <v>15976588</v>
      </c>
      <c r="B452">
        <v>31</v>
      </c>
      <c r="C452" t="s">
        <v>25</v>
      </c>
      <c r="D452" t="s">
        <v>19</v>
      </c>
      <c r="E452" t="s">
        <v>22</v>
      </c>
      <c r="F452">
        <f>IF(Table2[[#This Row],[Attrition]]="Yes", 1, 0)</f>
        <v>0</v>
      </c>
      <c r="G452" t="s">
        <v>21</v>
      </c>
      <c r="H452" t="s">
        <v>17</v>
      </c>
      <c r="I452">
        <v>2</v>
      </c>
      <c r="J452">
        <v>1</v>
      </c>
      <c r="K452" t="s">
        <v>18</v>
      </c>
      <c r="L452">
        <v>2</v>
      </c>
      <c r="M452">
        <v>4</v>
      </c>
      <c r="N452" s="3">
        <v>6582</v>
      </c>
      <c r="O452" s="3" t="str">
        <f>IF(Table2[[#This Row],[MonthlyIncome]]&lt;=5000, "$1001 - $5000", IF(Table2[[#This Row],[MonthlyIncome]]&lt;=9000, "$5001 - $9000", IF(Table2[[#This Row],[MonthlyIncome]]&lt;=13000, "$9001 - $13000", IF(Table2[[#This Row],[MonthlyIncome]]&lt;=17000, "$13001 - $17000", IF(Table2[[#This Row],[MonthlyIncome]]&lt;=21000, "$17001 - $21000")))))</f>
        <v>$5001 - $9000</v>
      </c>
      <c r="P452">
        <v>4</v>
      </c>
      <c r="Q452">
        <v>4</v>
      </c>
      <c r="R452">
        <v>6</v>
      </c>
      <c r="S4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53" spans="1:19" ht="14.25" x14ac:dyDescent="0.2">
      <c r="A453">
        <v>44605576</v>
      </c>
      <c r="B453">
        <v>42</v>
      </c>
      <c r="C453" t="s">
        <v>25</v>
      </c>
      <c r="D453" t="s">
        <v>24</v>
      </c>
      <c r="E453" t="s">
        <v>22</v>
      </c>
      <c r="F453">
        <f>IF(Table2[[#This Row],[Attrition]]="Yes", 1, 0)</f>
        <v>0</v>
      </c>
      <c r="G453" t="s">
        <v>31</v>
      </c>
      <c r="H453" t="s">
        <v>23</v>
      </c>
      <c r="I453">
        <v>24</v>
      </c>
      <c r="J453">
        <v>3</v>
      </c>
      <c r="K453" t="s">
        <v>29</v>
      </c>
      <c r="L453">
        <v>4</v>
      </c>
      <c r="M453">
        <v>1</v>
      </c>
      <c r="N453" s="3">
        <v>7406</v>
      </c>
      <c r="O453" s="3" t="str">
        <f>IF(Table2[[#This Row],[MonthlyIncome]]&lt;=5000, "$1001 - $5000", IF(Table2[[#This Row],[MonthlyIncome]]&lt;=9000, "$5001 - $9000", IF(Table2[[#This Row],[MonthlyIncome]]&lt;=13000, "$9001 - $13000", IF(Table2[[#This Row],[MonthlyIncome]]&lt;=17000, "$13001 - $17000", IF(Table2[[#This Row],[MonthlyIncome]]&lt;=21000, "$17001 - $21000")))))</f>
        <v>$5001 - $9000</v>
      </c>
      <c r="P453">
        <v>1</v>
      </c>
      <c r="Q453">
        <v>2</v>
      </c>
      <c r="R453">
        <v>10</v>
      </c>
      <c r="S4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54" spans="1:19" ht="14.25" x14ac:dyDescent="0.2">
      <c r="A454">
        <v>44492476</v>
      </c>
      <c r="B454">
        <v>45</v>
      </c>
      <c r="C454" t="s">
        <v>25</v>
      </c>
      <c r="D454" t="s">
        <v>24</v>
      </c>
      <c r="E454" t="s">
        <v>22</v>
      </c>
      <c r="F454">
        <f>IF(Table2[[#This Row],[Attrition]]="Yes", 1, 0)</f>
        <v>0</v>
      </c>
      <c r="G454" t="s">
        <v>21</v>
      </c>
      <c r="H454" t="s">
        <v>17</v>
      </c>
      <c r="I454">
        <v>2</v>
      </c>
      <c r="J454">
        <v>3</v>
      </c>
      <c r="K454" t="s">
        <v>27</v>
      </c>
      <c r="L454">
        <v>4</v>
      </c>
      <c r="M454">
        <v>2</v>
      </c>
      <c r="N454" s="3">
        <v>4805</v>
      </c>
      <c r="O454" s="3" t="str">
        <f>IF(Table2[[#This Row],[MonthlyIncome]]&lt;=5000, "$1001 - $5000", IF(Table2[[#This Row],[MonthlyIncome]]&lt;=9000, "$5001 - $9000", IF(Table2[[#This Row],[MonthlyIncome]]&lt;=13000, "$9001 - $13000", IF(Table2[[#This Row],[MonthlyIncome]]&lt;=17000, "$13001 - $17000", IF(Table2[[#This Row],[MonthlyIncome]]&lt;=21000, "$17001 - $21000")))))</f>
        <v>$1001 - $5000</v>
      </c>
      <c r="P454">
        <v>0</v>
      </c>
      <c r="Q454">
        <v>4</v>
      </c>
      <c r="R454">
        <v>8</v>
      </c>
      <c r="S4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55" spans="1:19" ht="14.25" x14ac:dyDescent="0.2">
      <c r="A455">
        <v>74262092</v>
      </c>
      <c r="B455">
        <v>26</v>
      </c>
      <c r="C455" t="s">
        <v>20</v>
      </c>
      <c r="D455" t="s">
        <v>30</v>
      </c>
      <c r="E455" t="s">
        <v>16</v>
      </c>
      <c r="F455">
        <f>IF(Table2[[#This Row],[Attrition]]="Yes", 1, 0)</f>
        <v>1</v>
      </c>
      <c r="G455" t="s">
        <v>38</v>
      </c>
      <c r="H455" t="s">
        <v>38</v>
      </c>
      <c r="I455">
        <v>17</v>
      </c>
      <c r="J455">
        <v>4</v>
      </c>
      <c r="K455" t="s">
        <v>18</v>
      </c>
      <c r="L455">
        <v>2</v>
      </c>
      <c r="M455">
        <v>3</v>
      </c>
      <c r="N455" s="3">
        <v>2741</v>
      </c>
      <c r="O455" s="3" t="str">
        <f>IF(Table2[[#This Row],[MonthlyIncome]]&lt;=5000, "$1001 - $5000", IF(Table2[[#This Row],[MonthlyIncome]]&lt;=9000, "$5001 - $9000", IF(Table2[[#This Row],[MonthlyIncome]]&lt;=13000, "$9001 - $13000", IF(Table2[[#This Row],[MonthlyIncome]]&lt;=17000, "$13001 - $17000", IF(Table2[[#This Row],[MonthlyIncome]]&lt;=21000, "$17001 - $21000")))))</f>
        <v>$1001 - $5000</v>
      </c>
      <c r="P455">
        <v>0</v>
      </c>
      <c r="Q455">
        <v>2</v>
      </c>
      <c r="R455">
        <v>7</v>
      </c>
      <c r="S4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56" spans="1:19" ht="14.25" x14ac:dyDescent="0.2">
      <c r="A456">
        <v>35276904</v>
      </c>
      <c r="B456">
        <v>29</v>
      </c>
      <c r="C456" t="s">
        <v>25</v>
      </c>
      <c r="D456" t="s">
        <v>30</v>
      </c>
      <c r="E456" t="s">
        <v>22</v>
      </c>
      <c r="F456">
        <f>IF(Table2[[#This Row],[Attrition]]="Yes", 1, 0)</f>
        <v>0</v>
      </c>
      <c r="G456" t="s">
        <v>31</v>
      </c>
      <c r="H456" t="s">
        <v>23</v>
      </c>
      <c r="I456">
        <v>19</v>
      </c>
      <c r="J456">
        <v>3</v>
      </c>
      <c r="K456" t="s">
        <v>37</v>
      </c>
      <c r="L456">
        <v>4</v>
      </c>
      <c r="M456">
        <v>4</v>
      </c>
      <c r="N456" s="3">
        <v>4262</v>
      </c>
      <c r="O456" s="3" t="str">
        <f>IF(Table2[[#This Row],[MonthlyIncome]]&lt;=5000, "$1001 - $5000", IF(Table2[[#This Row],[MonthlyIncome]]&lt;=9000, "$5001 - $9000", IF(Table2[[#This Row],[MonthlyIncome]]&lt;=13000, "$9001 - $13000", IF(Table2[[#This Row],[MonthlyIncome]]&lt;=17000, "$13001 - $17000", IF(Table2[[#This Row],[MonthlyIncome]]&lt;=21000, "$17001 - $21000")))))</f>
        <v>$1001 - $5000</v>
      </c>
      <c r="P456">
        <v>4</v>
      </c>
      <c r="Q456">
        <v>4</v>
      </c>
      <c r="R456">
        <v>3</v>
      </c>
      <c r="S4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57" spans="1:19" ht="14.25" x14ac:dyDescent="0.2">
      <c r="A457">
        <v>52838495</v>
      </c>
      <c r="B457">
        <v>33</v>
      </c>
      <c r="C457" t="s">
        <v>20</v>
      </c>
      <c r="D457" t="s">
        <v>30</v>
      </c>
      <c r="E457" t="s">
        <v>22</v>
      </c>
      <c r="F457">
        <f>IF(Table2[[#This Row],[Attrition]]="Yes", 1, 0)</f>
        <v>0</v>
      </c>
      <c r="G457" t="s">
        <v>35</v>
      </c>
      <c r="H457" t="s">
        <v>23</v>
      </c>
      <c r="I457">
        <v>1</v>
      </c>
      <c r="J457">
        <v>5</v>
      </c>
      <c r="K457" t="s">
        <v>29</v>
      </c>
      <c r="L457">
        <v>1</v>
      </c>
      <c r="M457">
        <v>3</v>
      </c>
      <c r="N457" s="3">
        <v>16184</v>
      </c>
      <c r="O457" s="3" t="str">
        <f>IF(Table2[[#This Row],[MonthlyIncome]]&lt;=5000, "$1001 - $5000", IF(Table2[[#This Row],[MonthlyIncome]]&lt;=9000, "$5001 - $9000", IF(Table2[[#This Row],[MonthlyIncome]]&lt;=13000, "$9001 - $13000", IF(Table2[[#This Row],[MonthlyIncome]]&lt;=17000, "$13001 - $17000", IF(Table2[[#This Row],[MonthlyIncome]]&lt;=21000, "$17001 - $21000")))))</f>
        <v>$13001 - $17000</v>
      </c>
      <c r="P457">
        <v>4</v>
      </c>
      <c r="Q457">
        <v>3</v>
      </c>
      <c r="R457">
        <v>6</v>
      </c>
      <c r="S4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58" spans="1:19" ht="14.25" x14ac:dyDescent="0.2">
      <c r="A458">
        <v>84094107</v>
      </c>
      <c r="B458">
        <v>31</v>
      </c>
      <c r="C458" t="s">
        <v>25</v>
      </c>
      <c r="D458" t="s">
        <v>30</v>
      </c>
      <c r="E458" t="s">
        <v>22</v>
      </c>
      <c r="F458">
        <f>IF(Table2[[#This Row],[Attrition]]="Yes", 1, 0)</f>
        <v>0</v>
      </c>
      <c r="G458" t="s">
        <v>33</v>
      </c>
      <c r="H458" t="s">
        <v>17</v>
      </c>
      <c r="I458">
        <v>7</v>
      </c>
      <c r="J458">
        <v>3</v>
      </c>
      <c r="K458" t="s">
        <v>18</v>
      </c>
      <c r="L458">
        <v>3</v>
      </c>
      <c r="M458">
        <v>4</v>
      </c>
      <c r="N458" s="3">
        <v>11557</v>
      </c>
      <c r="O458" s="3" t="str">
        <f>IF(Table2[[#This Row],[MonthlyIncome]]&lt;=5000, "$1001 - $5000", IF(Table2[[#This Row],[MonthlyIncome]]&lt;=9000, "$5001 - $9000", IF(Table2[[#This Row],[MonthlyIncome]]&lt;=13000, "$9001 - $13000", IF(Table2[[#This Row],[MonthlyIncome]]&lt;=17000, "$13001 - $17000", IF(Table2[[#This Row],[MonthlyIncome]]&lt;=21000, "$17001 - $21000")))))</f>
        <v>$9001 - $13000</v>
      </c>
      <c r="P458">
        <v>9</v>
      </c>
      <c r="Q458">
        <v>2</v>
      </c>
      <c r="R458">
        <v>5</v>
      </c>
      <c r="S4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59" spans="1:19" ht="14.25" x14ac:dyDescent="0.2">
      <c r="A459">
        <v>77919978</v>
      </c>
      <c r="B459">
        <v>18</v>
      </c>
      <c r="C459" t="s">
        <v>25</v>
      </c>
      <c r="D459" t="s">
        <v>19</v>
      </c>
      <c r="E459" t="s">
        <v>16</v>
      </c>
      <c r="F459">
        <f>IF(Table2[[#This Row],[Attrition]]="Yes", 1, 0)</f>
        <v>1</v>
      </c>
      <c r="G459" t="s">
        <v>34</v>
      </c>
      <c r="H459" t="s">
        <v>17</v>
      </c>
      <c r="I459">
        <v>5</v>
      </c>
      <c r="J459">
        <v>3</v>
      </c>
      <c r="K459" t="s">
        <v>36</v>
      </c>
      <c r="L459">
        <v>2</v>
      </c>
      <c r="M459">
        <v>2</v>
      </c>
      <c r="N459" s="3">
        <v>1878</v>
      </c>
      <c r="O459" s="3" t="str">
        <f>IF(Table2[[#This Row],[MonthlyIncome]]&lt;=5000, "$1001 - $5000", IF(Table2[[#This Row],[MonthlyIncome]]&lt;=9000, "$5001 - $9000", IF(Table2[[#This Row],[MonthlyIncome]]&lt;=13000, "$9001 - $13000", IF(Table2[[#This Row],[MonthlyIncome]]&lt;=17000, "$13001 - $17000", IF(Table2[[#This Row],[MonthlyIncome]]&lt;=21000, "$17001 - $21000")))))</f>
        <v>$1001 - $5000</v>
      </c>
      <c r="P459">
        <v>1</v>
      </c>
      <c r="Q459">
        <v>3</v>
      </c>
      <c r="R459">
        <v>0</v>
      </c>
      <c r="S4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60" spans="1:19" ht="14.25" x14ac:dyDescent="0.2">
      <c r="A460">
        <v>24207595</v>
      </c>
      <c r="B460">
        <v>40</v>
      </c>
      <c r="C460" t="s">
        <v>25</v>
      </c>
      <c r="D460" t="s">
        <v>30</v>
      </c>
      <c r="E460" t="s">
        <v>22</v>
      </c>
      <c r="F460">
        <f>IF(Table2[[#This Row],[Attrition]]="Yes", 1, 0)</f>
        <v>0</v>
      </c>
      <c r="G460" t="s">
        <v>21</v>
      </c>
      <c r="H460" t="s">
        <v>17</v>
      </c>
      <c r="I460">
        <v>28</v>
      </c>
      <c r="J460">
        <v>3</v>
      </c>
      <c r="K460" t="s">
        <v>27</v>
      </c>
      <c r="L460">
        <v>3</v>
      </c>
      <c r="M460">
        <v>1</v>
      </c>
      <c r="N460" s="3">
        <v>10932</v>
      </c>
      <c r="O460" s="3" t="str">
        <f>IF(Table2[[#This Row],[MonthlyIncome]]&lt;=5000, "$1001 - $5000", IF(Table2[[#This Row],[MonthlyIncome]]&lt;=9000, "$5001 - $9000", IF(Table2[[#This Row],[MonthlyIncome]]&lt;=13000, "$9001 - $13000", IF(Table2[[#This Row],[MonthlyIncome]]&lt;=17000, "$13001 - $17000", IF(Table2[[#This Row],[MonthlyIncome]]&lt;=21000, "$17001 - $21000")))))</f>
        <v>$9001 - $13000</v>
      </c>
      <c r="P460">
        <v>3</v>
      </c>
      <c r="Q460">
        <v>3</v>
      </c>
      <c r="R460">
        <v>1</v>
      </c>
      <c r="S4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61" spans="1:19" ht="14.25" x14ac:dyDescent="0.2">
      <c r="A461">
        <v>59625279</v>
      </c>
      <c r="B461">
        <v>41</v>
      </c>
      <c r="C461" t="s">
        <v>20</v>
      </c>
      <c r="D461" t="s">
        <v>19</v>
      </c>
      <c r="E461" t="s">
        <v>22</v>
      </c>
      <c r="F461">
        <f>IF(Table2[[#This Row],[Attrition]]="Yes", 1, 0)</f>
        <v>0</v>
      </c>
      <c r="G461" t="s">
        <v>32</v>
      </c>
      <c r="H461" t="s">
        <v>23</v>
      </c>
      <c r="I461">
        <v>2</v>
      </c>
      <c r="J461">
        <v>4</v>
      </c>
      <c r="K461" t="s">
        <v>27</v>
      </c>
      <c r="L461">
        <v>1</v>
      </c>
      <c r="M461">
        <v>3</v>
      </c>
      <c r="N461" s="3">
        <v>6811</v>
      </c>
      <c r="O461" s="3" t="str">
        <f>IF(Table2[[#This Row],[MonthlyIncome]]&lt;=5000, "$1001 - $5000", IF(Table2[[#This Row],[MonthlyIncome]]&lt;=9000, "$5001 - $9000", IF(Table2[[#This Row],[MonthlyIncome]]&lt;=13000, "$9001 - $13000", IF(Table2[[#This Row],[MonthlyIncome]]&lt;=17000, "$13001 - $17000", IF(Table2[[#This Row],[MonthlyIncome]]&lt;=21000, "$17001 - $21000")))))</f>
        <v>$5001 - $9000</v>
      </c>
      <c r="P461">
        <v>2</v>
      </c>
      <c r="Q461">
        <v>3</v>
      </c>
      <c r="R461">
        <v>8</v>
      </c>
      <c r="S4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62" spans="1:19" ht="14.25" x14ac:dyDescent="0.2">
      <c r="A462">
        <v>37277705</v>
      </c>
      <c r="B462">
        <v>26</v>
      </c>
      <c r="C462" t="s">
        <v>25</v>
      </c>
      <c r="D462" t="s">
        <v>30</v>
      </c>
      <c r="E462" t="s">
        <v>22</v>
      </c>
      <c r="F462">
        <f>IF(Table2[[#This Row],[Attrition]]="Yes", 1, 0)</f>
        <v>0</v>
      </c>
      <c r="G462" t="s">
        <v>21</v>
      </c>
      <c r="H462" t="s">
        <v>17</v>
      </c>
      <c r="I462">
        <v>29</v>
      </c>
      <c r="J462">
        <v>2</v>
      </c>
      <c r="K462" t="s">
        <v>29</v>
      </c>
      <c r="L462">
        <v>1</v>
      </c>
      <c r="M462">
        <v>3</v>
      </c>
      <c r="N462" s="3">
        <v>4306</v>
      </c>
      <c r="O462" s="3" t="str">
        <f>IF(Table2[[#This Row],[MonthlyIncome]]&lt;=5000, "$1001 - $5000", IF(Table2[[#This Row],[MonthlyIncome]]&lt;=9000, "$5001 - $9000", IF(Table2[[#This Row],[MonthlyIncome]]&lt;=13000, "$9001 - $13000", IF(Table2[[#This Row],[MonthlyIncome]]&lt;=17000, "$13001 - $17000", IF(Table2[[#This Row],[MonthlyIncome]]&lt;=21000, "$17001 - $21000")))))</f>
        <v>$1001 - $5000</v>
      </c>
      <c r="P462">
        <v>5</v>
      </c>
      <c r="Q462">
        <v>3</v>
      </c>
      <c r="R462">
        <v>0</v>
      </c>
      <c r="S4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63" spans="1:19" ht="14.25" x14ac:dyDescent="0.2">
      <c r="A463">
        <v>18347414</v>
      </c>
      <c r="B463">
        <v>35</v>
      </c>
      <c r="C463" t="s">
        <v>20</v>
      </c>
      <c r="D463" t="s">
        <v>19</v>
      </c>
      <c r="E463" t="s">
        <v>22</v>
      </c>
      <c r="F463">
        <f>IF(Table2[[#This Row],[Attrition]]="Yes", 1, 0)</f>
        <v>0</v>
      </c>
      <c r="G463" t="s">
        <v>21</v>
      </c>
      <c r="H463" t="s">
        <v>17</v>
      </c>
      <c r="I463">
        <v>1</v>
      </c>
      <c r="J463">
        <v>3</v>
      </c>
      <c r="K463" t="s">
        <v>29</v>
      </c>
      <c r="L463">
        <v>1</v>
      </c>
      <c r="M463">
        <v>3</v>
      </c>
      <c r="N463" s="3">
        <v>4859</v>
      </c>
      <c r="O463" s="3" t="str">
        <f>IF(Table2[[#This Row],[MonthlyIncome]]&lt;=5000, "$1001 - $5000", IF(Table2[[#This Row],[MonthlyIncome]]&lt;=9000, "$5001 - $9000", IF(Table2[[#This Row],[MonthlyIncome]]&lt;=13000, "$9001 - $13000", IF(Table2[[#This Row],[MonthlyIncome]]&lt;=17000, "$13001 - $17000", IF(Table2[[#This Row],[MonthlyIncome]]&lt;=21000, "$17001 - $21000")))))</f>
        <v>$1001 - $5000</v>
      </c>
      <c r="P463">
        <v>1</v>
      </c>
      <c r="Q463">
        <v>3</v>
      </c>
      <c r="R463">
        <v>5</v>
      </c>
      <c r="S4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64" spans="1:19" ht="14.25" x14ac:dyDescent="0.2">
      <c r="A464">
        <v>38263065</v>
      </c>
      <c r="B464">
        <v>34</v>
      </c>
      <c r="C464" t="s">
        <v>25</v>
      </c>
      <c r="D464" t="s">
        <v>19</v>
      </c>
      <c r="E464" t="s">
        <v>22</v>
      </c>
      <c r="F464">
        <f>IF(Table2[[#This Row],[Attrition]]="Yes", 1, 0)</f>
        <v>0</v>
      </c>
      <c r="G464" t="s">
        <v>21</v>
      </c>
      <c r="H464" t="s">
        <v>17</v>
      </c>
      <c r="I464">
        <v>21</v>
      </c>
      <c r="J464">
        <v>4</v>
      </c>
      <c r="K464" t="s">
        <v>18</v>
      </c>
      <c r="L464">
        <v>4</v>
      </c>
      <c r="M464">
        <v>4</v>
      </c>
      <c r="N464" s="3">
        <v>5337</v>
      </c>
      <c r="O464" s="3" t="str">
        <f>IF(Table2[[#This Row],[MonthlyIncome]]&lt;=5000, "$1001 - $5000", IF(Table2[[#This Row],[MonthlyIncome]]&lt;=9000, "$5001 - $9000", IF(Table2[[#This Row],[MonthlyIncome]]&lt;=13000, "$9001 - $13000", IF(Table2[[#This Row],[MonthlyIncome]]&lt;=17000, "$13001 - $17000", IF(Table2[[#This Row],[MonthlyIncome]]&lt;=21000, "$17001 - $21000")))))</f>
        <v>$5001 - $9000</v>
      </c>
      <c r="P464">
        <v>1</v>
      </c>
      <c r="Q464">
        <v>3</v>
      </c>
      <c r="R464">
        <v>10</v>
      </c>
      <c r="S4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65" spans="1:19" ht="14.25" x14ac:dyDescent="0.2">
      <c r="A465">
        <v>89158640</v>
      </c>
      <c r="B465">
        <v>26</v>
      </c>
      <c r="C465" t="s">
        <v>25</v>
      </c>
      <c r="D465" t="s">
        <v>19</v>
      </c>
      <c r="E465" t="s">
        <v>16</v>
      </c>
      <c r="F465">
        <f>IF(Table2[[#This Row],[Attrition]]="Yes", 1, 0)</f>
        <v>1</v>
      </c>
      <c r="G465" t="s">
        <v>28</v>
      </c>
      <c r="H465" t="s">
        <v>23</v>
      </c>
      <c r="I465">
        <v>24</v>
      </c>
      <c r="J465">
        <v>3</v>
      </c>
      <c r="K465" t="s">
        <v>37</v>
      </c>
      <c r="L465">
        <v>3</v>
      </c>
      <c r="M465">
        <v>4</v>
      </c>
      <c r="N465" s="3">
        <v>2340</v>
      </c>
      <c r="O465" s="3" t="str">
        <f>IF(Table2[[#This Row],[MonthlyIncome]]&lt;=5000, "$1001 - $5000", IF(Table2[[#This Row],[MonthlyIncome]]&lt;=9000, "$5001 - $9000", IF(Table2[[#This Row],[MonthlyIncome]]&lt;=13000, "$9001 - $13000", IF(Table2[[#This Row],[MonthlyIncome]]&lt;=17000, "$13001 - $17000", IF(Table2[[#This Row],[MonthlyIncome]]&lt;=21000, "$17001 - $21000")))))</f>
        <v>$1001 - $5000</v>
      </c>
      <c r="P465">
        <v>1</v>
      </c>
      <c r="Q465">
        <v>1</v>
      </c>
      <c r="R465">
        <v>1</v>
      </c>
      <c r="S4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66" spans="1:19" ht="14.25" x14ac:dyDescent="0.2">
      <c r="A466">
        <v>88131906</v>
      </c>
      <c r="B466">
        <v>37</v>
      </c>
      <c r="C466" t="s">
        <v>20</v>
      </c>
      <c r="D466" t="s">
        <v>19</v>
      </c>
      <c r="E466" t="s">
        <v>22</v>
      </c>
      <c r="F466">
        <f>IF(Table2[[#This Row],[Attrition]]="Yes", 1, 0)</f>
        <v>0</v>
      </c>
      <c r="G466" t="s">
        <v>31</v>
      </c>
      <c r="H466" t="s">
        <v>23</v>
      </c>
      <c r="I466">
        <v>1</v>
      </c>
      <c r="J466">
        <v>3</v>
      </c>
      <c r="K466" t="s">
        <v>37</v>
      </c>
      <c r="L466">
        <v>2</v>
      </c>
      <c r="M466">
        <v>4</v>
      </c>
      <c r="N466" s="3">
        <v>7491</v>
      </c>
      <c r="O466" s="3" t="str">
        <f>IF(Table2[[#This Row],[MonthlyIncome]]&lt;=5000, "$1001 - $5000", IF(Table2[[#This Row],[MonthlyIncome]]&lt;=9000, "$5001 - $9000", IF(Table2[[#This Row],[MonthlyIncome]]&lt;=13000, "$9001 - $13000", IF(Table2[[#This Row],[MonthlyIncome]]&lt;=17000, "$13001 - $17000", IF(Table2[[#This Row],[MonthlyIncome]]&lt;=21000, "$17001 - $21000")))))</f>
        <v>$5001 - $9000</v>
      </c>
      <c r="P466">
        <v>4</v>
      </c>
      <c r="Q466">
        <v>4</v>
      </c>
      <c r="R466">
        <v>6</v>
      </c>
      <c r="S4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67" spans="1:19" ht="14.25" x14ac:dyDescent="0.2">
      <c r="A467">
        <v>25407470</v>
      </c>
      <c r="B467">
        <v>46</v>
      </c>
      <c r="C467" t="s">
        <v>20</v>
      </c>
      <c r="D467" t="s">
        <v>24</v>
      </c>
      <c r="E467" t="s">
        <v>22</v>
      </c>
      <c r="F467">
        <f>IF(Table2[[#This Row],[Attrition]]="Yes", 1, 0)</f>
        <v>0</v>
      </c>
      <c r="G467" t="s">
        <v>32</v>
      </c>
      <c r="H467" t="s">
        <v>23</v>
      </c>
      <c r="I467">
        <v>18</v>
      </c>
      <c r="J467">
        <v>1</v>
      </c>
      <c r="K467" t="s">
        <v>29</v>
      </c>
      <c r="L467">
        <v>1</v>
      </c>
      <c r="M467">
        <v>3</v>
      </c>
      <c r="N467" s="3">
        <v>10527</v>
      </c>
      <c r="O467" s="3" t="str">
        <f>IF(Table2[[#This Row],[MonthlyIncome]]&lt;=5000, "$1001 - $5000", IF(Table2[[#This Row],[MonthlyIncome]]&lt;=9000, "$5001 - $9000", IF(Table2[[#This Row],[MonthlyIncome]]&lt;=13000, "$9001 - $13000", IF(Table2[[#This Row],[MonthlyIncome]]&lt;=17000, "$13001 - $17000", IF(Table2[[#This Row],[MonthlyIncome]]&lt;=21000, "$17001 - $21000")))))</f>
        <v>$9001 - $13000</v>
      </c>
      <c r="P467">
        <v>5</v>
      </c>
      <c r="Q467">
        <v>2</v>
      </c>
      <c r="R467">
        <v>2</v>
      </c>
      <c r="S4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68" spans="1:19" ht="14.25" x14ac:dyDescent="0.2">
      <c r="A468">
        <v>49531515</v>
      </c>
      <c r="B468">
        <v>41</v>
      </c>
      <c r="C468" t="s">
        <v>20</v>
      </c>
      <c r="D468" t="s">
        <v>24</v>
      </c>
      <c r="E468" t="s">
        <v>22</v>
      </c>
      <c r="F468">
        <f>IF(Table2[[#This Row],[Attrition]]="Yes", 1, 0)</f>
        <v>0</v>
      </c>
      <c r="G468" t="s">
        <v>33</v>
      </c>
      <c r="H468" t="s">
        <v>17</v>
      </c>
      <c r="I468">
        <v>2</v>
      </c>
      <c r="J468">
        <v>5</v>
      </c>
      <c r="K468" t="s">
        <v>18</v>
      </c>
      <c r="L468">
        <v>2</v>
      </c>
      <c r="M468">
        <v>1</v>
      </c>
      <c r="N468" s="3">
        <v>16595</v>
      </c>
      <c r="O468" s="3" t="str">
        <f>IF(Table2[[#This Row],[MonthlyIncome]]&lt;=5000, "$1001 - $5000", IF(Table2[[#This Row],[MonthlyIncome]]&lt;=9000, "$5001 - $9000", IF(Table2[[#This Row],[MonthlyIncome]]&lt;=13000, "$9001 - $13000", IF(Table2[[#This Row],[MonthlyIncome]]&lt;=17000, "$13001 - $17000", IF(Table2[[#This Row],[MonthlyIncome]]&lt;=21000, "$17001 - $21000")))))</f>
        <v>$13001 - $17000</v>
      </c>
      <c r="P468">
        <v>7</v>
      </c>
      <c r="Q468">
        <v>3</v>
      </c>
      <c r="R468">
        <v>18</v>
      </c>
      <c r="S4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469" spans="1:19" ht="14.25" x14ac:dyDescent="0.2">
      <c r="A469">
        <v>16350498</v>
      </c>
      <c r="B469">
        <v>37</v>
      </c>
      <c r="C469" t="s">
        <v>25</v>
      </c>
      <c r="D469" t="s">
        <v>30</v>
      </c>
      <c r="E469" t="s">
        <v>22</v>
      </c>
      <c r="F469">
        <f>IF(Table2[[#This Row],[Attrition]]="Yes", 1, 0)</f>
        <v>0</v>
      </c>
      <c r="G469" t="s">
        <v>21</v>
      </c>
      <c r="H469" t="s">
        <v>17</v>
      </c>
      <c r="I469">
        <v>9</v>
      </c>
      <c r="J469">
        <v>4</v>
      </c>
      <c r="K469" t="s">
        <v>29</v>
      </c>
      <c r="L469">
        <v>1</v>
      </c>
      <c r="M469">
        <v>2</v>
      </c>
      <c r="N469" s="3">
        <v>8834</v>
      </c>
      <c r="O469" s="3" t="str">
        <f>IF(Table2[[#This Row],[MonthlyIncome]]&lt;=5000, "$1001 - $5000", IF(Table2[[#This Row],[MonthlyIncome]]&lt;=9000, "$5001 - $9000", IF(Table2[[#This Row],[MonthlyIncome]]&lt;=13000, "$9001 - $13000", IF(Table2[[#This Row],[MonthlyIncome]]&lt;=17000, "$13001 - $17000", IF(Table2[[#This Row],[MonthlyIncome]]&lt;=21000, "$17001 - $21000")))))</f>
        <v>$5001 - $9000</v>
      </c>
      <c r="P469">
        <v>1</v>
      </c>
      <c r="Q469">
        <v>3</v>
      </c>
      <c r="R469">
        <v>9</v>
      </c>
      <c r="S4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70" spans="1:19" ht="14.25" x14ac:dyDescent="0.2">
      <c r="A470">
        <v>38601517</v>
      </c>
      <c r="B470">
        <v>52</v>
      </c>
      <c r="C470" t="s">
        <v>25</v>
      </c>
      <c r="D470" t="s">
        <v>30</v>
      </c>
      <c r="E470" t="s">
        <v>22</v>
      </c>
      <c r="F470">
        <f>IF(Table2[[#This Row],[Attrition]]="Yes", 1, 0)</f>
        <v>0</v>
      </c>
      <c r="G470" t="s">
        <v>26</v>
      </c>
      <c r="H470" t="s">
        <v>23</v>
      </c>
      <c r="I470">
        <v>6</v>
      </c>
      <c r="J470">
        <v>2</v>
      </c>
      <c r="K470" t="s">
        <v>37</v>
      </c>
      <c r="L470">
        <v>4</v>
      </c>
      <c r="M470">
        <v>1</v>
      </c>
      <c r="N470" s="3">
        <v>5577</v>
      </c>
      <c r="O470" s="3" t="str">
        <f>IF(Table2[[#This Row],[MonthlyIncome]]&lt;=5000, "$1001 - $5000", IF(Table2[[#This Row],[MonthlyIncome]]&lt;=9000, "$5001 - $9000", IF(Table2[[#This Row],[MonthlyIncome]]&lt;=13000, "$9001 - $13000", IF(Table2[[#This Row],[MonthlyIncome]]&lt;=17000, "$13001 - $17000", IF(Table2[[#This Row],[MonthlyIncome]]&lt;=21000, "$17001 - $21000")))))</f>
        <v>$5001 - $9000</v>
      </c>
      <c r="P470">
        <v>3</v>
      </c>
      <c r="Q470">
        <v>3</v>
      </c>
      <c r="R470">
        <v>10</v>
      </c>
      <c r="S4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71" spans="1:19" ht="14.25" x14ac:dyDescent="0.2">
      <c r="A471">
        <v>14445339</v>
      </c>
      <c r="B471">
        <v>32</v>
      </c>
      <c r="C471" t="s">
        <v>25</v>
      </c>
      <c r="D471" t="s">
        <v>24</v>
      </c>
      <c r="E471" t="s">
        <v>16</v>
      </c>
      <c r="F471">
        <f>IF(Table2[[#This Row],[Attrition]]="Yes", 1, 0)</f>
        <v>1</v>
      </c>
      <c r="G471" t="s">
        <v>21</v>
      </c>
      <c r="H471" t="s">
        <v>17</v>
      </c>
      <c r="I471">
        <v>11</v>
      </c>
      <c r="J471">
        <v>4</v>
      </c>
      <c r="K471" t="s">
        <v>27</v>
      </c>
      <c r="L471">
        <v>4</v>
      </c>
      <c r="M471">
        <v>3</v>
      </c>
      <c r="N471" s="3">
        <v>4707</v>
      </c>
      <c r="O471" s="3" t="str">
        <f>IF(Table2[[#This Row],[MonthlyIncome]]&lt;=5000, "$1001 - $5000", IF(Table2[[#This Row],[MonthlyIncome]]&lt;=9000, "$5001 - $9000", IF(Table2[[#This Row],[MonthlyIncome]]&lt;=13000, "$9001 - $13000", IF(Table2[[#This Row],[MonthlyIncome]]&lt;=17000, "$13001 - $17000", IF(Table2[[#This Row],[MonthlyIncome]]&lt;=21000, "$17001 - $21000")))))</f>
        <v>$1001 - $5000</v>
      </c>
      <c r="P471">
        <v>8</v>
      </c>
      <c r="Q471">
        <v>3</v>
      </c>
      <c r="R471">
        <v>4</v>
      </c>
      <c r="S4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72" spans="1:19" ht="14.25" x14ac:dyDescent="0.2">
      <c r="A472">
        <v>71272642</v>
      </c>
      <c r="B472">
        <v>24</v>
      </c>
      <c r="C472" t="s">
        <v>25</v>
      </c>
      <c r="D472" t="s">
        <v>24</v>
      </c>
      <c r="E472" t="s">
        <v>22</v>
      </c>
      <c r="F472">
        <f>IF(Table2[[#This Row],[Attrition]]="Yes", 1, 0)</f>
        <v>0</v>
      </c>
      <c r="G472" t="s">
        <v>34</v>
      </c>
      <c r="H472" t="s">
        <v>17</v>
      </c>
      <c r="I472">
        <v>24</v>
      </c>
      <c r="J472">
        <v>3</v>
      </c>
      <c r="K472" t="s">
        <v>29</v>
      </c>
      <c r="L472">
        <v>4</v>
      </c>
      <c r="M472">
        <v>4</v>
      </c>
      <c r="N472" s="3">
        <v>2400</v>
      </c>
      <c r="O472" s="3" t="str">
        <f>IF(Table2[[#This Row],[MonthlyIncome]]&lt;=5000, "$1001 - $5000", IF(Table2[[#This Row],[MonthlyIncome]]&lt;=9000, "$5001 - $9000", IF(Table2[[#This Row],[MonthlyIncome]]&lt;=13000, "$9001 - $13000", IF(Table2[[#This Row],[MonthlyIncome]]&lt;=17000, "$13001 - $17000", IF(Table2[[#This Row],[MonthlyIncome]]&lt;=21000, "$17001 - $21000")))))</f>
        <v>$1001 - $5000</v>
      </c>
      <c r="P472">
        <v>0</v>
      </c>
      <c r="Q472">
        <v>3</v>
      </c>
      <c r="R472">
        <v>2</v>
      </c>
      <c r="S4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73" spans="1:19" ht="14.25" x14ac:dyDescent="0.2">
      <c r="A473">
        <v>43950675</v>
      </c>
      <c r="B473">
        <v>38</v>
      </c>
      <c r="C473" t="s">
        <v>20</v>
      </c>
      <c r="D473" t="s">
        <v>24</v>
      </c>
      <c r="E473" t="s">
        <v>22</v>
      </c>
      <c r="F473">
        <f>IF(Table2[[#This Row],[Attrition]]="Yes", 1, 0)</f>
        <v>0</v>
      </c>
      <c r="G473" t="s">
        <v>32</v>
      </c>
      <c r="H473" t="s">
        <v>23</v>
      </c>
      <c r="I473">
        <v>10</v>
      </c>
      <c r="J473">
        <v>3</v>
      </c>
      <c r="K473" t="s">
        <v>29</v>
      </c>
      <c r="L473">
        <v>3</v>
      </c>
      <c r="M473">
        <v>3</v>
      </c>
      <c r="N473" s="3">
        <v>9824</v>
      </c>
      <c r="O473" s="3" t="str">
        <f>IF(Table2[[#This Row],[MonthlyIncome]]&lt;=5000, "$1001 - $5000", IF(Table2[[#This Row],[MonthlyIncome]]&lt;=9000, "$5001 - $9000", IF(Table2[[#This Row],[MonthlyIncome]]&lt;=13000, "$9001 - $13000", IF(Table2[[#This Row],[MonthlyIncome]]&lt;=17000, "$13001 - $17000", IF(Table2[[#This Row],[MonthlyIncome]]&lt;=21000, "$17001 - $21000")))))</f>
        <v>$9001 - $13000</v>
      </c>
      <c r="P473">
        <v>3</v>
      </c>
      <c r="Q473">
        <v>3</v>
      </c>
      <c r="R473">
        <v>1</v>
      </c>
      <c r="S4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74" spans="1:19" ht="14.25" x14ac:dyDescent="0.2">
      <c r="A474">
        <v>60150241</v>
      </c>
      <c r="B474">
        <v>37</v>
      </c>
      <c r="C474" t="s">
        <v>20</v>
      </c>
      <c r="D474" t="s">
        <v>24</v>
      </c>
      <c r="E474" t="s">
        <v>22</v>
      </c>
      <c r="F474">
        <f>IF(Table2[[#This Row],[Attrition]]="Yes", 1, 0)</f>
        <v>0</v>
      </c>
      <c r="G474" t="s">
        <v>31</v>
      </c>
      <c r="H474" t="s">
        <v>23</v>
      </c>
      <c r="I474">
        <v>1</v>
      </c>
      <c r="J474">
        <v>4</v>
      </c>
      <c r="K474" t="s">
        <v>18</v>
      </c>
      <c r="L474">
        <v>2</v>
      </c>
      <c r="M474">
        <v>2</v>
      </c>
      <c r="N474" s="3">
        <v>6447</v>
      </c>
      <c r="O474" s="3" t="str">
        <f>IF(Table2[[#This Row],[MonthlyIncome]]&lt;=5000, "$1001 - $5000", IF(Table2[[#This Row],[MonthlyIncome]]&lt;=9000, "$5001 - $9000", IF(Table2[[#This Row],[MonthlyIncome]]&lt;=13000, "$9001 - $13000", IF(Table2[[#This Row],[MonthlyIncome]]&lt;=17000, "$13001 - $17000", IF(Table2[[#This Row],[MonthlyIncome]]&lt;=21000, "$17001 - $21000")))))</f>
        <v>$5001 - $9000</v>
      </c>
      <c r="P474">
        <v>6</v>
      </c>
      <c r="Q474">
        <v>2</v>
      </c>
      <c r="R474">
        <v>6</v>
      </c>
      <c r="S4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75" spans="1:19" ht="14.25" x14ac:dyDescent="0.2">
      <c r="A475">
        <v>76378890</v>
      </c>
      <c r="B475">
        <v>49</v>
      </c>
      <c r="C475" t="s">
        <v>25</v>
      </c>
      <c r="D475" t="s">
        <v>30</v>
      </c>
      <c r="E475" t="s">
        <v>22</v>
      </c>
      <c r="F475">
        <f>IF(Table2[[#This Row],[Attrition]]="Yes", 1, 0)</f>
        <v>0</v>
      </c>
      <c r="G475" t="s">
        <v>35</v>
      </c>
      <c r="H475" t="s">
        <v>23</v>
      </c>
      <c r="I475">
        <v>18</v>
      </c>
      <c r="J475">
        <v>4</v>
      </c>
      <c r="K475" t="s">
        <v>18</v>
      </c>
      <c r="L475">
        <v>4</v>
      </c>
      <c r="M475">
        <v>3</v>
      </c>
      <c r="N475" s="3">
        <v>19502</v>
      </c>
      <c r="O475" s="3" t="str">
        <f>IF(Table2[[#This Row],[MonthlyIncome]]&lt;=5000, "$1001 - $5000", IF(Table2[[#This Row],[MonthlyIncome]]&lt;=9000, "$5001 - $9000", IF(Table2[[#This Row],[MonthlyIncome]]&lt;=13000, "$9001 - $13000", IF(Table2[[#This Row],[MonthlyIncome]]&lt;=17000, "$13001 - $17000", IF(Table2[[#This Row],[MonthlyIncome]]&lt;=21000, "$17001 - $21000")))))</f>
        <v>$17001 - $21000</v>
      </c>
      <c r="P475">
        <v>1</v>
      </c>
      <c r="Q475">
        <v>3</v>
      </c>
      <c r="R475">
        <v>31</v>
      </c>
      <c r="S4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30 - 35 Years</v>
      </c>
    </row>
    <row r="476" spans="1:19" ht="14.25" x14ac:dyDescent="0.2">
      <c r="A476">
        <v>53698380</v>
      </c>
      <c r="B476">
        <v>24</v>
      </c>
      <c r="C476" t="s">
        <v>25</v>
      </c>
      <c r="D476" t="s">
        <v>24</v>
      </c>
      <c r="E476" t="s">
        <v>22</v>
      </c>
      <c r="F476">
        <f>IF(Table2[[#This Row],[Attrition]]="Yes", 1, 0)</f>
        <v>0</v>
      </c>
      <c r="G476" t="s">
        <v>26</v>
      </c>
      <c r="H476" t="s">
        <v>23</v>
      </c>
      <c r="I476">
        <v>23</v>
      </c>
      <c r="J476">
        <v>3</v>
      </c>
      <c r="K476" t="s">
        <v>29</v>
      </c>
      <c r="L476">
        <v>2</v>
      </c>
      <c r="M476">
        <v>4</v>
      </c>
      <c r="N476" s="3">
        <v>2725</v>
      </c>
      <c r="O476" s="3" t="str">
        <f>IF(Table2[[#This Row],[MonthlyIncome]]&lt;=5000, "$1001 - $5000", IF(Table2[[#This Row],[MonthlyIncome]]&lt;=9000, "$5001 - $9000", IF(Table2[[#This Row],[MonthlyIncome]]&lt;=13000, "$9001 - $13000", IF(Table2[[#This Row],[MonthlyIncome]]&lt;=17000, "$13001 - $17000", IF(Table2[[#This Row],[MonthlyIncome]]&lt;=21000, "$17001 - $21000")))))</f>
        <v>$1001 - $5000</v>
      </c>
      <c r="P476">
        <v>1</v>
      </c>
      <c r="Q476">
        <v>3</v>
      </c>
      <c r="R476">
        <v>6</v>
      </c>
      <c r="S4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77" spans="1:19" ht="14.25" x14ac:dyDescent="0.2">
      <c r="A477">
        <v>22798677</v>
      </c>
      <c r="B477">
        <v>26</v>
      </c>
      <c r="C477" t="s">
        <v>25</v>
      </c>
      <c r="D477" t="s">
        <v>24</v>
      </c>
      <c r="E477" t="s">
        <v>22</v>
      </c>
      <c r="F477">
        <f>IF(Table2[[#This Row],[Attrition]]="Yes", 1, 0)</f>
        <v>0</v>
      </c>
      <c r="G477" t="s">
        <v>21</v>
      </c>
      <c r="H477" t="s">
        <v>17</v>
      </c>
      <c r="I477">
        <v>28</v>
      </c>
      <c r="J477">
        <v>2</v>
      </c>
      <c r="K477" t="s">
        <v>36</v>
      </c>
      <c r="L477">
        <v>1</v>
      </c>
      <c r="M477">
        <v>2</v>
      </c>
      <c r="N477" s="3">
        <v>6272</v>
      </c>
      <c r="O477" s="3" t="str">
        <f>IF(Table2[[#This Row],[MonthlyIncome]]&lt;=5000, "$1001 - $5000", IF(Table2[[#This Row],[MonthlyIncome]]&lt;=9000, "$5001 - $9000", IF(Table2[[#This Row],[MonthlyIncome]]&lt;=13000, "$9001 - $13000", IF(Table2[[#This Row],[MonthlyIncome]]&lt;=17000, "$13001 - $17000", IF(Table2[[#This Row],[MonthlyIncome]]&lt;=21000, "$17001 - $21000")))))</f>
        <v>$5001 - $9000</v>
      </c>
      <c r="P477">
        <v>1</v>
      </c>
      <c r="Q477">
        <v>4</v>
      </c>
      <c r="R477">
        <v>5</v>
      </c>
      <c r="S4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78" spans="1:19" ht="14.25" x14ac:dyDescent="0.2">
      <c r="A478">
        <v>14123044</v>
      </c>
      <c r="B478">
        <v>24</v>
      </c>
      <c r="C478" t="s">
        <v>25</v>
      </c>
      <c r="D478" t="s">
        <v>24</v>
      </c>
      <c r="E478" t="s">
        <v>22</v>
      </c>
      <c r="F478">
        <f>IF(Table2[[#This Row],[Attrition]]="Yes", 1, 0)</f>
        <v>0</v>
      </c>
      <c r="G478" t="s">
        <v>28</v>
      </c>
      <c r="H478" t="s">
        <v>23</v>
      </c>
      <c r="I478">
        <v>17</v>
      </c>
      <c r="J478">
        <v>2</v>
      </c>
      <c r="K478" t="s">
        <v>27</v>
      </c>
      <c r="L478">
        <v>4</v>
      </c>
      <c r="M478">
        <v>2</v>
      </c>
      <c r="N478" s="3">
        <v>2127</v>
      </c>
      <c r="O478" s="3" t="str">
        <f>IF(Table2[[#This Row],[MonthlyIncome]]&lt;=5000, "$1001 - $5000", IF(Table2[[#This Row],[MonthlyIncome]]&lt;=9000, "$5001 - $9000", IF(Table2[[#This Row],[MonthlyIncome]]&lt;=13000, "$9001 - $13000", IF(Table2[[#This Row],[MonthlyIncome]]&lt;=17000, "$13001 - $17000", IF(Table2[[#This Row],[MonthlyIncome]]&lt;=21000, "$17001 - $21000")))))</f>
        <v>$1001 - $5000</v>
      </c>
      <c r="P478">
        <v>1</v>
      </c>
      <c r="Q478">
        <v>3</v>
      </c>
      <c r="R478">
        <v>1</v>
      </c>
      <c r="S4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79" spans="1:19" ht="14.25" x14ac:dyDescent="0.2">
      <c r="A479">
        <v>80013519</v>
      </c>
      <c r="B479">
        <v>50</v>
      </c>
      <c r="C479" t="s">
        <v>25</v>
      </c>
      <c r="D479" t="s">
        <v>24</v>
      </c>
      <c r="E479" t="s">
        <v>22</v>
      </c>
      <c r="F479">
        <f>IF(Table2[[#This Row],[Attrition]]="Yes", 1, 0)</f>
        <v>0</v>
      </c>
      <c r="G479" t="s">
        <v>33</v>
      </c>
      <c r="H479" t="s">
        <v>38</v>
      </c>
      <c r="I479">
        <v>3</v>
      </c>
      <c r="J479">
        <v>3</v>
      </c>
      <c r="K479" t="s">
        <v>29</v>
      </c>
      <c r="L479">
        <v>1</v>
      </c>
      <c r="M479">
        <v>2</v>
      </c>
      <c r="N479" s="3">
        <v>18200</v>
      </c>
      <c r="O479" s="3" t="str">
        <f>IF(Table2[[#This Row],[MonthlyIncome]]&lt;=5000, "$1001 - $5000", IF(Table2[[#This Row],[MonthlyIncome]]&lt;=9000, "$5001 - $9000", IF(Table2[[#This Row],[MonthlyIncome]]&lt;=13000, "$9001 - $13000", IF(Table2[[#This Row],[MonthlyIncome]]&lt;=17000, "$13001 - $17000", IF(Table2[[#This Row],[MonthlyIncome]]&lt;=21000, "$17001 - $21000")))))</f>
        <v>$17001 - $21000</v>
      </c>
      <c r="P479">
        <v>1</v>
      </c>
      <c r="Q479">
        <v>3</v>
      </c>
      <c r="R479">
        <v>32</v>
      </c>
      <c r="S4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30 - 35 Years</v>
      </c>
    </row>
    <row r="480" spans="1:19" ht="14.25" x14ac:dyDescent="0.2">
      <c r="A480">
        <v>82781755</v>
      </c>
      <c r="B480">
        <v>25</v>
      </c>
      <c r="C480" t="s">
        <v>25</v>
      </c>
      <c r="D480" t="s">
        <v>24</v>
      </c>
      <c r="E480" t="s">
        <v>22</v>
      </c>
      <c r="F480">
        <f>IF(Table2[[#This Row],[Attrition]]="Yes", 1, 0)</f>
        <v>0</v>
      </c>
      <c r="G480" t="s">
        <v>34</v>
      </c>
      <c r="H480" t="s">
        <v>17</v>
      </c>
      <c r="I480">
        <v>13</v>
      </c>
      <c r="J480">
        <v>1</v>
      </c>
      <c r="K480" t="s">
        <v>29</v>
      </c>
      <c r="L480">
        <v>2</v>
      </c>
      <c r="M480">
        <v>3</v>
      </c>
      <c r="N480" s="3">
        <v>2096</v>
      </c>
      <c r="O480" s="3" t="str">
        <f>IF(Table2[[#This Row],[MonthlyIncome]]&lt;=5000, "$1001 - $5000", IF(Table2[[#This Row],[MonthlyIncome]]&lt;=9000, "$5001 - $9000", IF(Table2[[#This Row],[MonthlyIncome]]&lt;=13000, "$9001 - $13000", IF(Table2[[#This Row],[MonthlyIncome]]&lt;=17000, "$13001 - $17000", IF(Table2[[#This Row],[MonthlyIncome]]&lt;=21000, "$17001 - $21000")))))</f>
        <v>$1001 - $5000</v>
      </c>
      <c r="P480">
        <v>1</v>
      </c>
      <c r="Q480">
        <v>3</v>
      </c>
      <c r="R480">
        <v>7</v>
      </c>
      <c r="S4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81" spans="1:19" ht="14.25" x14ac:dyDescent="0.2">
      <c r="A481">
        <v>38639246</v>
      </c>
      <c r="B481">
        <v>24</v>
      </c>
      <c r="C481" t="s">
        <v>20</v>
      </c>
      <c r="D481" t="s">
        <v>24</v>
      </c>
      <c r="E481" t="s">
        <v>16</v>
      </c>
      <c r="F481">
        <f>IF(Table2[[#This Row],[Attrition]]="Yes", 1, 0)</f>
        <v>1</v>
      </c>
      <c r="G481" t="s">
        <v>28</v>
      </c>
      <c r="H481" t="s">
        <v>23</v>
      </c>
      <c r="I481">
        <v>7</v>
      </c>
      <c r="J481">
        <v>3</v>
      </c>
      <c r="K481" t="s">
        <v>18</v>
      </c>
      <c r="L481">
        <v>1</v>
      </c>
      <c r="M481">
        <v>3</v>
      </c>
      <c r="N481" s="3">
        <v>2886</v>
      </c>
      <c r="O481" s="3" t="str">
        <f>IF(Table2[[#This Row],[MonthlyIncome]]&lt;=5000, "$1001 - $5000", IF(Table2[[#This Row],[MonthlyIncome]]&lt;=9000, "$5001 - $9000", IF(Table2[[#This Row],[MonthlyIncome]]&lt;=13000, "$9001 - $13000", IF(Table2[[#This Row],[MonthlyIncome]]&lt;=17000, "$13001 - $17000", IF(Table2[[#This Row],[MonthlyIncome]]&lt;=21000, "$17001 - $21000")))))</f>
        <v>$1001 - $5000</v>
      </c>
      <c r="P481">
        <v>1</v>
      </c>
      <c r="Q481">
        <v>3</v>
      </c>
      <c r="R481">
        <v>6</v>
      </c>
      <c r="S4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82" spans="1:19" ht="14.25" x14ac:dyDescent="0.2">
      <c r="A482">
        <v>20771290</v>
      </c>
      <c r="B482">
        <v>30</v>
      </c>
      <c r="C482" t="s">
        <v>25</v>
      </c>
      <c r="D482" t="s">
        <v>24</v>
      </c>
      <c r="E482" t="s">
        <v>16</v>
      </c>
      <c r="F482">
        <f>IF(Table2[[#This Row],[Attrition]]="Yes", 1, 0)</f>
        <v>1</v>
      </c>
      <c r="G482" t="s">
        <v>34</v>
      </c>
      <c r="H482" t="s">
        <v>17</v>
      </c>
      <c r="I482">
        <v>12</v>
      </c>
      <c r="J482">
        <v>4</v>
      </c>
      <c r="K482" t="s">
        <v>18</v>
      </c>
      <c r="L482">
        <v>2</v>
      </c>
      <c r="M482">
        <v>1</v>
      </c>
      <c r="N482" s="3">
        <v>2033</v>
      </c>
      <c r="O482" s="3" t="str">
        <f>IF(Table2[[#This Row],[MonthlyIncome]]&lt;=5000, "$1001 - $5000", IF(Table2[[#This Row],[MonthlyIncome]]&lt;=9000, "$5001 - $9000", IF(Table2[[#This Row],[MonthlyIncome]]&lt;=13000, "$9001 - $13000", IF(Table2[[#This Row],[MonthlyIncome]]&lt;=17000, "$13001 - $17000", IF(Table2[[#This Row],[MonthlyIncome]]&lt;=21000, "$17001 - $21000")))))</f>
        <v>$1001 - $5000</v>
      </c>
      <c r="P482">
        <v>1</v>
      </c>
      <c r="Q482">
        <v>4</v>
      </c>
      <c r="R482">
        <v>1</v>
      </c>
      <c r="S4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83" spans="1:19" ht="14.25" x14ac:dyDescent="0.2">
      <c r="A483">
        <v>39708392</v>
      </c>
      <c r="B483">
        <v>34</v>
      </c>
      <c r="C483" t="s">
        <v>25</v>
      </c>
      <c r="D483" t="s">
        <v>24</v>
      </c>
      <c r="E483" t="s">
        <v>22</v>
      </c>
      <c r="F483">
        <f>IF(Table2[[#This Row],[Attrition]]="Yes", 1, 0)</f>
        <v>0</v>
      </c>
      <c r="G483" t="s">
        <v>26</v>
      </c>
      <c r="H483" t="s">
        <v>23</v>
      </c>
      <c r="I483">
        <v>1</v>
      </c>
      <c r="J483">
        <v>2</v>
      </c>
      <c r="K483" t="s">
        <v>18</v>
      </c>
      <c r="L483">
        <v>2</v>
      </c>
      <c r="M483">
        <v>4</v>
      </c>
      <c r="N483" s="3">
        <v>3622</v>
      </c>
      <c r="O483" s="3" t="str">
        <f>IF(Table2[[#This Row],[MonthlyIncome]]&lt;=5000, "$1001 - $5000", IF(Table2[[#This Row],[MonthlyIncome]]&lt;=9000, "$5001 - $9000", IF(Table2[[#This Row],[MonthlyIncome]]&lt;=13000, "$9001 - $13000", IF(Table2[[#This Row],[MonthlyIncome]]&lt;=17000, "$13001 - $17000", IF(Table2[[#This Row],[MonthlyIncome]]&lt;=21000, "$17001 - $21000")))))</f>
        <v>$1001 - $5000</v>
      </c>
      <c r="P483">
        <v>1</v>
      </c>
      <c r="Q483">
        <v>3</v>
      </c>
      <c r="R483">
        <v>6</v>
      </c>
      <c r="S4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84" spans="1:19" ht="14.25" x14ac:dyDescent="0.2">
      <c r="A484">
        <v>50975515</v>
      </c>
      <c r="B484">
        <v>31</v>
      </c>
      <c r="C484" t="s">
        <v>25</v>
      </c>
      <c r="D484" t="s">
        <v>30</v>
      </c>
      <c r="E484" t="s">
        <v>16</v>
      </c>
      <c r="F484">
        <f>IF(Table2[[#This Row],[Attrition]]="Yes", 1, 0)</f>
        <v>1</v>
      </c>
      <c r="G484" t="s">
        <v>21</v>
      </c>
      <c r="H484" t="s">
        <v>17</v>
      </c>
      <c r="I484">
        <v>13</v>
      </c>
      <c r="J484">
        <v>4</v>
      </c>
      <c r="K484" t="s">
        <v>29</v>
      </c>
      <c r="L484">
        <v>2</v>
      </c>
      <c r="M484">
        <v>1</v>
      </c>
      <c r="N484" s="3">
        <v>4233</v>
      </c>
      <c r="O484" s="3" t="str">
        <f>IF(Table2[[#This Row],[MonthlyIncome]]&lt;=5000, "$1001 - $5000", IF(Table2[[#This Row],[MonthlyIncome]]&lt;=9000, "$5001 - $9000", IF(Table2[[#This Row],[MonthlyIncome]]&lt;=13000, "$9001 - $13000", IF(Table2[[#This Row],[MonthlyIncome]]&lt;=17000, "$13001 - $17000", IF(Table2[[#This Row],[MonthlyIncome]]&lt;=21000, "$17001 - $21000")))))</f>
        <v>$1001 - $5000</v>
      </c>
      <c r="P484">
        <v>2</v>
      </c>
      <c r="Q484">
        <v>1</v>
      </c>
      <c r="R484">
        <v>3</v>
      </c>
      <c r="S4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85" spans="1:19" ht="14.25" x14ac:dyDescent="0.2">
      <c r="A485">
        <v>61782351</v>
      </c>
      <c r="B485">
        <v>35</v>
      </c>
      <c r="C485" t="s">
        <v>25</v>
      </c>
      <c r="D485" t="s">
        <v>19</v>
      </c>
      <c r="E485" t="s">
        <v>22</v>
      </c>
      <c r="F485">
        <f>IF(Table2[[#This Row],[Attrition]]="Yes", 1, 0)</f>
        <v>0</v>
      </c>
      <c r="G485" t="s">
        <v>28</v>
      </c>
      <c r="H485" t="s">
        <v>23</v>
      </c>
      <c r="I485">
        <v>25</v>
      </c>
      <c r="J485">
        <v>2</v>
      </c>
      <c r="K485" t="s">
        <v>27</v>
      </c>
      <c r="L485">
        <v>1</v>
      </c>
      <c r="M485">
        <v>4</v>
      </c>
      <c r="N485" s="3">
        <v>3681</v>
      </c>
      <c r="O485" s="3" t="str">
        <f>IF(Table2[[#This Row],[MonthlyIncome]]&lt;=5000, "$1001 - $5000", IF(Table2[[#This Row],[MonthlyIncome]]&lt;=9000, "$5001 - $9000", IF(Table2[[#This Row],[MonthlyIncome]]&lt;=13000, "$9001 - $13000", IF(Table2[[#This Row],[MonthlyIncome]]&lt;=17000, "$13001 - $17000", IF(Table2[[#This Row],[MonthlyIncome]]&lt;=21000, "$17001 - $21000")))))</f>
        <v>$1001 - $5000</v>
      </c>
      <c r="P485">
        <v>4</v>
      </c>
      <c r="Q485">
        <v>3</v>
      </c>
      <c r="R485">
        <v>3</v>
      </c>
      <c r="S4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86" spans="1:19" ht="14.25" x14ac:dyDescent="0.2">
      <c r="A486">
        <v>61684572</v>
      </c>
      <c r="B486">
        <v>31</v>
      </c>
      <c r="C486" t="s">
        <v>25</v>
      </c>
      <c r="D486" t="s">
        <v>30</v>
      </c>
      <c r="E486" t="s">
        <v>22</v>
      </c>
      <c r="F486">
        <f>IF(Table2[[#This Row],[Attrition]]="Yes", 1, 0)</f>
        <v>0</v>
      </c>
      <c r="G486" t="s">
        <v>21</v>
      </c>
      <c r="H486" t="s">
        <v>17</v>
      </c>
      <c r="I486">
        <v>6</v>
      </c>
      <c r="J486">
        <v>4</v>
      </c>
      <c r="K486" t="s">
        <v>29</v>
      </c>
      <c r="L486">
        <v>1</v>
      </c>
      <c r="M486">
        <v>4</v>
      </c>
      <c r="N486" s="3">
        <v>5460</v>
      </c>
      <c r="O486" s="3" t="str">
        <f>IF(Table2[[#This Row],[MonthlyIncome]]&lt;=5000, "$1001 - $5000", IF(Table2[[#This Row],[MonthlyIncome]]&lt;=9000, "$5001 - $9000", IF(Table2[[#This Row],[MonthlyIncome]]&lt;=13000, "$9001 - $13000", IF(Table2[[#This Row],[MonthlyIncome]]&lt;=17000, "$13001 - $17000", IF(Table2[[#This Row],[MonthlyIncome]]&lt;=21000, "$17001 - $21000")))))</f>
        <v>$5001 - $9000</v>
      </c>
      <c r="P486">
        <v>4</v>
      </c>
      <c r="Q486">
        <v>4</v>
      </c>
      <c r="R486">
        <v>7</v>
      </c>
      <c r="S4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87" spans="1:19" ht="14.25" x14ac:dyDescent="0.2">
      <c r="A487">
        <v>57731037</v>
      </c>
      <c r="B487">
        <v>27</v>
      </c>
      <c r="C487" t="s">
        <v>20</v>
      </c>
      <c r="D487" t="s">
        <v>30</v>
      </c>
      <c r="E487" t="s">
        <v>22</v>
      </c>
      <c r="F487">
        <f>IF(Table2[[#This Row],[Attrition]]="Yes", 1, 0)</f>
        <v>0</v>
      </c>
      <c r="G487" t="s">
        <v>26</v>
      </c>
      <c r="H487" t="s">
        <v>23</v>
      </c>
      <c r="I487">
        <v>6</v>
      </c>
      <c r="J487">
        <v>4</v>
      </c>
      <c r="K487" t="s">
        <v>29</v>
      </c>
      <c r="L487">
        <v>1</v>
      </c>
      <c r="M487">
        <v>3</v>
      </c>
      <c r="N487" s="3">
        <v>2187</v>
      </c>
      <c r="O487" s="3" t="str">
        <f>IF(Table2[[#This Row],[MonthlyIncome]]&lt;=5000, "$1001 - $5000", IF(Table2[[#This Row],[MonthlyIncome]]&lt;=9000, "$5001 - $9000", IF(Table2[[#This Row],[MonthlyIncome]]&lt;=13000, "$9001 - $13000", IF(Table2[[#This Row],[MonthlyIncome]]&lt;=17000, "$13001 - $17000", IF(Table2[[#This Row],[MonthlyIncome]]&lt;=21000, "$17001 - $21000")))))</f>
        <v>$1001 - $5000</v>
      </c>
      <c r="P487">
        <v>0</v>
      </c>
      <c r="Q487">
        <v>2</v>
      </c>
      <c r="R487">
        <v>5</v>
      </c>
      <c r="S4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88" spans="1:19" ht="14.25" x14ac:dyDescent="0.2">
      <c r="A488">
        <v>62301376</v>
      </c>
      <c r="B488">
        <v>37</v>
      </c>
      <c r="C488" t="s">
        <v>25</v>
      </c>
      <c r="D488" t="s">
        <v>24</v>
      </c>
      <c r="E488" t="s">
        <v>22</v>
      </c>
      <c r="F488">
        <f>IF(Table2[[#This Row],[Attrition]]="Yes", 1, 0)</f>
        <v>0</v>
      </c>
      <c r="G488" t="s">
        <v>21</v>
      </c>
      <c r="H488" t="s">
        <v>17</v>
      </c>
      <c r="I488">
        <v>2</v>
      </c>
      <c r="J488">
        <v>3</v>
      </c>
      <c r="K488" t="s">
        <v>36</v>
      </c>
      <c r="L488">
        <v>4</v>
      </c>
      <c r="M488">
        <v>3</v>
      </c>
      <c r="N488" s="3">
        <v>9602</v>
      </c>
      <c r="O488" s="3" t="str">
        <f>IF(Table2[[#This Row],[MonthlyIncome]]&lt;=5000, "$1001 - $5000", IF(Table2[[#This Row],[MonthlyIncome]]&lt;=9000, "$5001 - $9000", IF(Table2[[#This Row],[MonthlyIncome]]&lt;=13000, "$9001 - $13000", IF(Table2[[#This Row],[MonthlyIncome]]&lt;=17000, "$13001 - $17000", IF(Table2[[#This Row],[MonthlyIncome]]&lt;=21000, "$17001 - $21000")))))</f>
        <v>$9001 - $13000</v>
      </c>
      <c r="P488">
        <v>4</v>
      </c>
      <c r="Q488">
        <v>2</v>
      </c>
      <c r="R488">
        <v>3</v>
      </c>
      <c r="S4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89" spans="1:19" ht="14.25" x14ac:dyDescent="0.2">
      <c r="A489">
        <v>24336662</v>
      </c>
      <c r="B489">
        <v>20</v>
      </c>
      <c r="C489" t="s">
        <v>20</v>
      </c>
      <c r="D489" t="s">
        <v>19</v>
      </c>
      <c r="E489" t="s">
        <v>22</v>
      </c>
      <c r="F489">
        <f>IF(Table2[[#This Row],[Attrition]]="Yes", 1, 0)</f>
        <v>0</v>
      </c>
      <c r="G489" t="s">
        <v>26</v>
      </c>
      <c r="H489" t="s">
        <v>23</v>
      </c>
      <c r="I489">
        <v>1</v>
      </c>
      <c r="J489">
        <v>3</v>
      </c>
      <c r="K489" t="s">
        <v>18</v>
      </c>
      <c r="L489">
        <v>4</v>
      </c>
      <c r="M489">
        <v>2</v>
      </c>
      <c r="N489" s="3">
        <v>2836</v>
      </c>
      <c r="O489" s="3" t="str">
        <f>IF(Table2[[#This Row],[MonthlyIncome]]&lt;=5000, "$1001 - $5000", IF(Table2[[#This Row],[MonthlyIncome]]&lt;=9000, "$5001 - $9000", IF(Table2[[#This Row],[MonthlyIncome]]&lt;=13000, "$9001 - $13000", IF(Table2[[#This Row],[MonthlyIncome]]&lt;=17000, "$13001 - $17000", IF(Table2[[#This Row],[MonthlyIncome]]&lt;=21000, "$17001 - $21000")))))</f>
        <v>$1001 - $5000</v>
      </c>
      <c r="P489">
        <v>1</v>
      </c>
      <c r="Q489">
        <v>4</v>
      </c>
      <c r="R489">
        <v>1</v>
      </c>
      <c r="S4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90" spans="1:19" ht="14.25" x14ac:dyDescent="0.2">
      <c r="A490">
        <v>75834948</v>
      </c>
      <c r="B490">
        <v>42</v>
      </c>
      <c r="C490" t="s">
        <v>20</v>
      </c>
      <c r="D490" t="s">
        <v>24</v>
      </c>
      <c r="E490" t="s">
        <v>22</v>
      </c>
      <c r="F490">
        <f>IF(Table2[[#This Row],[Attrition]]="Yes", 1, 0)</f>
        <v>0</v>
      </c>
      <c r="G490" t="s">
        <v>32</v>
      </c>
      <c r="H490" t="s">
        <v>23</v>
      </c>
      <c r="I490">
        <v>2</v>
      </c>
      <c r="J490">
        <v>4</v>
      </c>
      <c r="K490" t="s">
        <v>18</v>
      </c>
      <c r="L490">
        <v>3</v>
      </c>
      <c r="M490">
        <v>4</v>
      </c>
      <c r="N490" s="3">
        <v>4089</v>
      </c>
      <c r="O490" s="3" t="str">
        <f>IF(Table2[[#This Row],[MonthlyIncome]]&lt;=5000, "$1001 - $5000", IF(Table2[[#This Row],[MonthlyIncome]]&lt;=9000, "$5001 - $9000", IF(Table2[[#This Row],[MonthlyIncome]]&lt;=13000, "$9001 - $13000", IF(Table2[[#This Row],[MonthlyIncome]]&lt;=17000, "$13001 - $17000", IF(Table2[[#This Row],[MonthlyIncome]]&lt;=21000, "$17001 - $21000")))))</f>
        <v>$1001 - $5000</v>
      </c>
      <c r="P490">
        <v>1</v>
      </c>
      <c r="Q490">
        <v>3</v>
      </c>
      <c r="R490">
        <v>10</v>
      </c>
      <c r="S4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491" spans="1:19" ht="14.25" x14ac:dyDescent="0.2">
      <c r="A491">
        <v>58255060</v>
      </c>
      <c r="B491">
        <v>43</v>
      </c>
      <c r="C491" t="s">
        <v>25</v>
      </c>
      <c r="D491" t="s">
        <v>30</v>
      </c>
      <c r="E491" t="s">
        <v>22</v>
      </c>
      <c r="F491">
        <f>IF(Table2[[#This Row],[Attrition]]="Yes", 1, 0)</f>
        <v>0</v>
      </c>
      <c r="G491" t="s">
        <v>35</v>
      </c>
      <c r="H491" t="s">
        <v>23</v>
      </c>
      <c r="I491">
        <v>6</v>
      </c>
      <c r="J491">
        <v>4</v>
      </c>
      <c r="K491" t="s">
        <v>27</v>
      </c>
      <c r="L491">
        <v>2</v>
      </c>
      <c r="M491">
        <v>4</v>
      </c>
      <c r="N491" s="3">
        <v>16627</v>
      </c>
      <c r="O491" s="3" t="str">
        <f>IF(Table2[[#This Row],[MonthlyIncome]]&lt;=5000, "$1001 - $5000", IF(Table2[[#This Row],[MonthlyIncome]]&lt;=9000, "$5001 - $9000", IF(Table2[[#This Row],[MonthlyIncome]]&lt;=13000, "$9001 - $13000", IF(Table2[[#This Row],[MonthlyIncome]]&lt;=17000, "$13001 - $17000", IF(Table2[[#This Row],[MonthlyIncome]]&lt;=21000, "$17001 - $21000")))))</f>
        <v>$13001 - $17000</v>
      </c>
      <c r="P491">
        <v>4</v>
      </c>
      <c r="Q491">
        <v>2</v>
      </c>
      <c r="R491">
        <v>1</v>
      </c>
      <c r="S4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92" spans="1:19" ht="14.25" x14ac:dyDescent="0.2">
      <c r="A492">
        <v>38022677</v>
      </c>
      <c r="B492">
        <v>38</v>
      </c>
      <c r="C492" t="s">
        <v>20</v>
      </c>
      <c r="D492" t="s">
        <v>19</v>
      </c>
      <c r="E492" t="s">
        <v>22</v>
      </c>
      <c r="F492">
        <f>IF(Table2[[#This Row],[Attrition]]="Yes", 1, 0)</f>
        <v>0</v>
      </c>
      <c r="G492" t="s">
        <v>26</v>
      </c>
      <c r="H492" t="s">
        <v>23</v>
      </c>
      <c r="I492">
        <v>1</v>
      </c>
      <c r="J492">
        <v>1</v>
      </c>
      <c r="K492" t="s">
        <v>18</v>
      </c>
      <c r="L492">
        <v>3</v>
      </c>
      <c r="M492">
        <v>1</v>
      </c>
      <c r="N492" s="3">
        <v>2619</v>
      </c>
      <c r="O492" s="3" t="str">
        <f>IF(Table2[[#This Row],[MonthlyIncome]]&lt;=5000, "$1001 - $5000", IF(Table2[[#This Row],[MonthlyIncome]]&lt;=9000, "$5001 - $9000", IF(Table2[[#This Row],[MonthlyIncome]]&lt;=13000, "$9001 - $13000", IF(Table2[[#This Row],[MonthlyIncome]]&lt;=17000, "$13001 - $17000", IF(Table2[[#This Row],[MonthlyIncome]]&lt;=21000, "$17001 - $21000")))))</f>
        <v>$1001 - $5000</v>
      </c>
      <c r="P492">
        <v>3</v>
      </c>
      <c r="Q492">
        <v>2</v>
      </c>
      <c r="R492">
        <v>0</v>
      </c>
      <c r="S4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93" spans="1:19" ht="14.25" x14ac:dyDescent="0.2">
      <c r="A493">
        <v>79236972</v>
      </c>
      <c r="B493">
        <v>43</v>
      </c>
      <c r="C493" t="s">
        <v>25</v>
      </c>
      <c r="D493" t="s">
        <v>30</v>
      </c>
      <c r="E493" t="s">
        <v>22</v>
      </c>
      <c r="F493">
        <f>IF(Table2[[#This Row],[Attrition]]="Yes", 1, 0)</f>
        <v>0</v>
      </c>
      <c r="G493" t="s">
        <v>28</v>
      </c>
      <c r="H493" t="s">
        <v>23</v>
      </c>
      <c r="I493">
        <v>9</v>
      </c>
      <c r="J493">
        <v>5</v>
      </c>
      <c r="K493" t="s">
        <v>29</v>
      </c>
      <c r="L493">
        <v>4</v>
      </c>
      <c r="M493">
        <v>3</v>
      </c>
      <c r="N493" s="3">
        <v>5679</v>
      </c>
      <c r="O493" s="3" t="str">
        <f>IF(Table2[[#This Row],[MonthlyIncome]]&lt;=5000, "$1001 - $5000", IF(Table2[[#This Row],[MonthlyIncome]]&lt;=9000, "$5001 - $9000", IF(Table2[[#This Row],[MonthlyIncome]]&lt;=13000, "$9001 - $13000", IF(Table2[[#This Row],[MonthlyIncome]]&lt;=17000, "$13001 - $17000", IF(Table2[[#This Row],[MonthlyIncome]]&lt;=21000, "$17001 - $21000")))))</f>
        <v>$5001 - $9000</v>
      </c>
      <c r="P493">
        <v>3</v>
      </c>
      <c r="Q493">
        <v>3</v>
      </c>
      <c r="R493">
        <v>8</v>
      </c>
      <c r="S4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94" spans="1:19" ht="14.25" x14ac:dyDescent="0.2">
      <c r="A494">
        <v>63944695</v>
      </c>
      <c r="B494">
        <v>48</v>
      </c>
      <c r="C494" t="s">
        <v>20</v>
      </c>
      <c r="D494" t="s">
        <v>24</v>
      </c>
      <c r="E494" t="s">
        <v>22</v>
      </c>
      <c r="F494">
        <f>IF(Table2[[#This Row],[Attrition]]="Yes", 1, 0)</f>
        <v>0</v>
      </c>
      <c r="G494" t="s">
        <v>33</v>
      </c>
      <c r="H494" t="s">
        <v>23</v>
      </c>
      <c r="I494">
        <v>1</v>
      </c>
      <c r="J494">
        <v>4</v>
      </c>
      <c r="K494" t="s">
        <v>18</v>
      </c>
      <c r="L494">
        <v>4</v>
      </c>
      <c r="M494">
        <v>1</v>
      </c>
      <c r="N494" s="3">
        <v>15402</v>
      </c>
      <c r="O494" s="3" t="str">
        <f>IF(Table2[[#This Row],[MonthlyIncome]]&lt;=5000, "$1001 - $5000", IF(Table2[[#This Row],[MonthlyIncome]]&lt;=9000, "$5001 - $9000", IF(Table2[[#This Row],[MonthlyIncome]]&lt;=13000, "$9001 - $13000", IF(Table2[[#This Row],[MonthlyIncome]]&lt;=17000, "$13001 - $17000", IF(Table2[[#This Row],[MonthlyIncome]]&lt;=21000, "$17001 - $21000")))))</f>
        <v>$13001 - $17000</v>
      </c>
      <c r="P494">
        <v>7</v>
      </c>
      <c r="Q494">
        <v>1</v>
      </c>
      <c r="R494">
        <v>3</v>
      </c>
      <c r="S4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95" spans="1:19" ht="14.25" x14ac:dyDescent="0.2">
      <c r="A495">
        <v>42084837</v>
      </c>
      <c r="B495">
        <v>44</v>
      </c>
      <c r="C495" t="s">
        <v>20</v>
      </c>
      <c r="D495" t="s">
        <v>19</v>
      </c>
      <c r="E495" t="s">
        <v>22</v>
      </c>
      <c r="F495">
        <f>IF(Table2[[#This Row],[Attrition]]="Yes", 1, 0)</f>
        <v>0</v>
      </c>
      <c r="G495" t="s">
        <v>38</v>
      </c>
      <c r="H495" t="s">
        <v>38</v>
      </c>
      <c r="I495">
        <v>1</v>
      </c>
      <c r="J495">
        <v>4</v>
      </c>
      <c r="K495" t="s">
        <v>18</v>
      </c>
      <c r="L495">
        <v>1</v>
      </c>
      <c r="M495">
        <v>3</v>
      </c>
      <c r="N495" s="3">
        <v>5985</v>
      </c>
      <c r="O495" s="3" t="str">
        <f>IF(Table2[[#This Row],[MonthlyIncome]]&lt;=5000, "$1001 - $5000", IF(Table2[[#This Row],[MonthlyIncome]]&lt;=9000, "$5001 - $9000", IF(Table2[[#This Row],[MonthlyIncome]]&lt;=13000, "$9001 - $13000", IF(Table2[[#This Row],[MonthlyIncome]]&lt;=17000, "$13001 - $17000", IF(Table2[[#This Row],[MonthlyIncome]]&lt;=21000, "$17001 - $21000")))))</f>
        <v>$5001 - $9000</v>
      </c>
      <c r="P495">
        <v>4</v>
      </c>
      <c r="Q495">
        <v>4</v>
      </c>
      <c r="R495">
        <v>2</v>
      </c>
      <c r="S4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96" spans="1:19" ht="14.25" x14ac:dyDescent="0.2">
      <c r="A496">
        <v>19184702</v>
      </c>
      <c r="B496">
        <v>34</v>
      </c>
      <c r="C496" t="s">
        <v>20</v>
      </c>
      <c r="D496" t="s">
        <v>30</v>
      </c>
      <c r="E496" t="s">
        <v>22</v>
      </c>
      <c r="F496">
        <f>IF(Table2[[#This Row],[Attrition]]="Yes", 1, 0)</f>
        <v>0</v>
      </c>
      <c r="G496" t="s">
        <v>34</v>
      </c>
      <c r="H496" t="s">
        <v>17</v>
      </c>
      <c r="I496">
        <v>14</v>
      </c>
      <c r="J496">
        <v>3</v>
      </c>
      <c r="K496" t="s">
        <v>37</v>
      </c>
      <c r="L496">
        <v>3</v>
      </c>
      <c r="M496">
        <v>3</v>
      </c>
      <c r="N496" s="3">
        <v>2579</v>
      </c>
      <c r="O496" s="3" t="str">
        <f>IF(Table2[[#This Row],[MonthlyIncome]]&lt;=5000, "$1001 - $5000", IF(Table2[[#This Row],[MonthlyIncome]]&lt;=9000, "$5001 - $9000", IF(Table2[[#This Row],[MonthlyIncome]]&lt;=13000, "$9001 - $13000", IF(Table2[[#This Row],[MonthlyIncome]]&lt;=17000, "$13001 - $17000", IF(Table2[[#This Row],[MonthlyIncome]]&lt;=21000, "$17001 - $21000")))))</f>
        <v>$1001 - $5000</v>
      </c>
      <c r="P496">
        <v>1</v>
      </c>
      <c r="Q496">
        <v>3</v>
      </c>
      <c r="R496">
        <v>8</v>
      </c>
      <c r="S4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497" spans="1:19" ht="14.25" x14ac:dyDescent="0.2">
      <c r="A497">
        <v>17360927</v>
      </c>
      <c r="B497">
        <v>27</v>
      </c>
      <c r="C497" t="s">
        <v>25</v>
      </c>
      <c r="D497" t="s">
        <v>30</v>
      </c>
      <c r="E497" t="s">
        <v>16</v>
      </c>
      <c r="F497">
        <f>IF(Table2[[#This Row],[Attrition]]="Yes", 1, 0)</f>
        <v>1</v>
      </c>
      <c r="G497" t="s">
        <v>34</v>
      </c>
      <c r="H497" t="s">
        <v>17</v>
      </c>
      <c r="I497">
        <v>2</v>
      </c>
      <c r="J497">
        <v>1</v>
      </c>
      <c r="K497" t="s">
        <v>36</v>
      </c>
      <c r="L497">
        <v>3</v>
      </c>
      <c r="M497">
        <v>1</v>
      </c>
      <c r="N497" s="3">
        <v>3041</v>
      </c>
      <c r="O497" s="3" t="str">
        <f>IF(Table2[[#This Row],[MonthlyIncome]]&lt;=5000, "$1001 - $5000", IF(Table2[[#This Row],[MonthlyIncome]]&lt;=9000, "$5001 - $9000", IF(Table2[[#This Row],[MonthlyIncome]]&lt;=13000, "$9001 - $13000", IF(Table2[[#This Row],[MonthlyIncome]]&lt;=17000, "$13001 - $17000", IF(Table2[[#This Row],[MonthlyIncome]]&lt;=21000, "$17001 - $21000")))))</f>
        <v>$1001 - $5000</v>
      </c>
      <c r="P497">
        <v>0</v>
      </c>
      <c r="Q497">
        <v>3</v>
      </c>
      <c r="R497">
        <v>4</v>
      </c>
      <c r="S4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98" spans="1:19" ht="14.25" x14ac:dyDescent="0.2">
      <c r="A498">
        <v>22614507</v>
      </c>
      <c r="B498">
        <v>21</v>
      </c>
      <c r="C498" t="s">
        <v>25</v>
      </c>
      <c r="D498" t="s">
        <v>19</v>
      </c>
      <c r="E498" t="s">
        <v>22</v>
      </c>
      <c r="F498">
        <f>IF(Table2[[#This Row],[Attrition]]="Yes", 1, 0)</f>
        <v>0</v>
      </c>
      <c r="G498" t="s">
        <v>34</v>
      </c>
      <c r="H498" t="s">
        <v>17</v>
      </c>
      <c r="I498">
        <v>22</v>
      </c>
      <c r="J498">
        <v>1</v>
      </c>
      <c r="K498" t="s">
        <v>37</v>
      </c>
      <c r="L498">
        <v>3</v>
      </c>
      <c r="M498">
        <v>3</v>
      </c>
      <c r="N498" s="3">
        <v>3447</v>
      </c>
      <c r="O498" s="3" t="str">
        <f>IF(Table2[[#This Row],[MonthlyIncome]]&lt;=5000, "$1001 - $5000", IF(Table2[[#This Row],[MonthlyIncome]]&lt;=9000, "$5001 - $9000", IF(Table2[[#This Row],[MonthlyIncome]]&lt;=13000, "$9001 - $13000", IF(Table2[[#This Row],[MonthlyIncome]]&lt;=17000, "$13001 - $17000", IF(Table2[[#This Row],[MonthlyIncome]]&lt;=21000, "$17001 - $21000")))))</f>
        <v>$1001 - $5000</v>
      </c>
      <c r="P498">
        <v>1</v>
      </c>
      <c r="Q498">
        <v>3</v>
      </c>
      <c r="R498">
        <v>3</v>
      </c>
      <c r="S4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499" spans="1:19" ht="14.25" x14ac:dyDescent="0.2">
      <c r="A499">
        <v>28436319</v>
      </c>
      <c r="B499">
        <v>44</v>
      </c>
      <c r="C499" t="s">
        <v>25</v>
      </c>
      <c r="D499" t="s">
        <v>24</v>
      </c>
      <c r="E499" t="s">
        <v>22</v>
      </c>
      <c r="F499">
        <f>IF(Table2[[#This Row],[Attrition]]="Yes", 1, 0)</f>
        <v>0</v>
      </c>
      <c r="G499" t="s">
        <v>33</v>
      </c>
      <c r="H499" t="s">
        <v>23</v>
      </c>
      <c r="I499">
        <v>3</v>
      </c>
      <c r="J499">
        <v>4</v>
      </c>
      <c r="K499" t="s">
        <v>27</v>
      </c>
      <c r="L499">
        <v>4</v>
      </c>
      <c r="M499">
        <v>4</v>
      </c>
      <c r="N499" s="3">
        <v>19513</v>
      </c>
      <c r="O499" s="3" t="str">
        <f>IF(Table2[[#This Row],[MonthlyIncome]]&lt;=5000, "$1001 - $5000", IF(Table2[[#This Row],[MonthlyIncome]]&lt;=9000, "$5001 - $9000", IF(Table2[[#This Row],[MonthlyIncome]]&lt;=13000, "$9001 - $13000", IF(Table2[[#This Row],[MonthlyIncome]]&lt;=17000, "$13001 - $17000", IF(Table2[[#This Row],[MonthlyIncome]]&lt;=21000, "$17001 - $21000")))))</f>
        <v>$17001 - $21000</v>
      </c>
      <c r="P499">
        <v>4</v>
      </c>
      <c r="Q499">
        <v>4</v>
      </c>
      <c r="R499">
        <v>2</v>
      </c>
      <c r="S4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00" spans="1:19" ht="14.25" x14ac:dyDescent="0.2">
      <c r="A500">
        <v>49471040</v>
      </c>
      <c r="B500">
        <v>22</v>
      </c>
      <c r="C500" t="s">
        <v>25</v>
      </c>
      <c r="D500" t="s">
        <v>24</v>
      </c>
      <c r="E500" t="s">
        <v>22</v>
      </c>
      <c r="F500">
        <f>IF(Table2[[#This Row],[Attrition]]="Yes", 1, 0)</f>
        <v>0</v>
      </c>
      <c r="G500" t="s">
        <v>26</v>
      </c>
      <c r="H500" t="s">
        <v>23</v>
      </c>
      <c r="I500">
        <v>6</v>
      </c>
      <c r="J500">
        <v>1</v>
      </c>
      <c r="K500" t="s">
        <v>29</v>
      </c>
      <c r="L500">
        <v>1</v>
      </c>
      <c r="M500">
        <v>3</v>
      </c>
      <c r="N500" s="3">
        <v>2773</v>
      </c>
      <c r="O500" s="3" t="str">
        <f>IF(Table2[[#This Row],[MonthlyIncome]]&lt;=5000, "$1001 - $5000", IF(Table2[[#This Row],[MonthlyIncome]]&lt;=9000, "$5001 - $9000", IF(Table2[[#This Row],[MonthlyIncome]]&lt;=13000, "$9001 - $13000", IF(Table2[[#This Row],[MonthlyIncome]]&lt;=17000, "$13001 - $17000", IF(Table2[[#This Row],[MonthlyIncome]]&lt;=21000, "$17001 - $21000")))))</f>
        <v>$1001 - $5000</v>
      </c>
      <c r="P500">
        <v>0</v>
      </c>
      <c r="Q500">
        <v>3</v>
      </c>
      <c r="R500">
        <v>2</v>
      </c>
      <c r="S5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01" spans="1:19" ht="14.25" x14ac:dyDescent="0.2">
      <c r="A501">
        <v>24219172</v>
      </c>
      <c r="B501">
        <v>33</v>
      </c>
      <c r="C501" t="s">
        <v>25</v>
      </c>
      <c r="D501" t="s">
        <v>30</v>
      </c>
      <c r="E501" t="s">
        <v>22</v>
      </c>
      <c r="F501">
        <f>IF(Table2[[#This Row],[Attrition]]="Yes", 1, 0)</f>
        <v>0</v>
      </c>
      <c r="G501" t="s">
        <v>21</v>
      </c>
      <c r="H501" t="s">
        <v>17</v>
      </c>
      <c r="I501">
        <v>8</v>
      </c>
      <c r="J501">
        <v>4</v>
      </c>
      <c r="K501" t="s">
        <v>36</v>
      </c>
      <c r="L501">
        <v>3</v>
      </c>
      <c r="M501">
        <v>3</v>
      </c>
      <c r="N501" s="3">
        <v>7104</v>
      </c>
      <c r="O501" s="3" t="str">
        <f>IF(Table2[[#This Row],[MonthlyIncome]]&lt;=5000, "$1001 - $5000", IF(Table2[[#This Row],[MonthlyIncome]]&lt;=9000, "$5001 - $9000", IF(Table2[[#This Row],[MonthlyIncome]]&lt;=13000, "$9001 - $13000", IF(Table2[[#This Row],[MonthlyIncome]]&lt;=17000, "$13001 - $17000", IF(Table2[[#This Row],[MonthlyIncome]]&lt;=21000, "$17001 - $21000")))))</f>
        <v>$5001 - $9000</v>
      </c>
      <c r="P501">
        <v>0</v>
      </c>
      <c r="Q501">
        <v>3</v>
      </c>
      <c r="R501">
        <v>5</v>
      </c>
      <c r="S5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02" spans="1:19" ht="14.25" x14ac:dyDescent="0.2">
      <c r="A502">
        <v>83512638</v>
      </c>
      <c r="B502">
        <v>32</v>
      </c>
      <c r="C502" t="s">
        <v>20</v>
      </c>
      <c r="D502" t="s">
        <v>24</v>
      </c>
      <c r="E502" t="s">
        <v>22</v>
      </c>
      <c r="F502">
        <f>IF(Table2[[#This Row],[Attrition]]="Yes", 1, 0)</f>
        <v>0</v>
      </c>
      <c r="G502" t="s">
        <v>26</v>
      </c>
      <c r="H502" t="s">
        <v>23</v>
      </c>
      <c r="I502">
        <v>9</v>
      </c>
      <c r="J502">
        <v>4</v>
      </c>
      <c r="K502" t="s">
        <v>18</v>
      </c>
      <c r="L502">
        <v>1</v>
      </c>
      <c r="M502">
        <v>4</v>
      </c>
      <c r="N502" s="3">
        <v>6322</v>
      </c>
      <c r="O502" s="3" t="str">
        <f>IF(Table2[[#This Row],[MonthlyIncome]]&lt;=5000, "$1001 - $5000", IF(Table2[[#This Row],[MonthlyIncome]]&lt;=9000, "$5001 - $9000", IF(Table2[[#This Row],[MonthlyIncome]]&lt;=13000, "$9001 - $13000", IF(Table2[[#This Row],[MonthlyIncome]]&lt;=17000, "$13001 - $17000", IF(Table2[[#This Row],[MonthlyIncome]]&lt;=21000, "$17001 - $21000")))))</f>
        <v>$5001 - $9000</v>
      </c>
      <c r="P502">
        <v>1</v>
      </c>
      <c r="Q502">
        <v>2</v>
      </c>
      <c r="R502">
        <v>6</v>
      </c>
      <c r="S5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03" spans="1:19" ht="14.25" x14ac:dyDescent="0.2">
      <c r="A503">
        <v>82625208</v>
      </c>
      <c r="B503">
        <v>30</v>
      </c>
      <c r="C503" t="s">
        <v>20</v>
      </c>
      <c r="D503" t="s">
        <v>30</v>
      </c>
      <c r="E503" t="s">
        <v>22</v>
      </c>
      <c r="F503">
        <f>IF(Table2[[#This Row],[Attrition]]="Yes", 1, 0)</f>
        <v>0</v>
      </c>
      <c r="G503" t="s">
        <v>26</v>
      </c>
      <c r="H503" t="s">
        <v>23</v>
      </c>
      <c r="I503">
        <v>3</v>
      </c>
      <c r="J503">
        <v>3</v>
      </c>
      <c r="K503" t="s">
        <v>29</v>
      </c>
      <c r="L503">
        <v>3</v>
      </c>
      <c r="M503">
        <v>3</v>
      </c>
      <c r="N503" s="3">
        <v>2083</v>
      </c>
      <c r="O503" s="3" t="str">
        <f>IF(Table2[[#This Row],[MonthlyIncome]]&lt;=5000, "$1001 - $5000", IF(Table2[[#This Row],[MonthlyIncome]]&lt;=9000, "$5001 - $9000", IF(Table2[[#This Row],[MonthlyIncome]]&lt;=13000, "$9001 - $13000", IF(Table2[[#This Row],[MonthlyIncome]]&lt;=17000, "$13001 - $17000", IF(Table2[[#This Row],[MonthlyIncome]]&lt;=21000, "$17001 - $21000")))))</f>
        <v>$1001 - $5000</v>
      </c>
      <c r="P503">
        <v>1</v>
      </c>
      <c r="Q503">
        <v>3</v>
      </c>
      <c r="R503">
        <v>1</v>
      </c>
      <c r="S5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04" spans="1:19" ht="14.25" x14ac:dyDescent="0.2">
      <c r="A504">
        <v>82369431</v>
      </c>
      <c r="B504">
        <v>53</v>
      </c>
      <c r="C504" t="s">
        <v>20</v>
      </c>
      <c r="D504" t="s">
        <v>19</v>
      </c>
      <c r="E504" t="s">
        <v>22</v>
      </c>
      <c r="F504">
        <f>IF(Table2[[#This Row],[Attrition]]="Yes", 1, 0)</f>
        <v>0</v>
      </c>
      <c r="G504" t="s">
        <v>21</v>
      </c>
      <c r="H504" t="s">
        <v>17</v>
      </c>
      <c r="I504">
        <v>1</v>
      </c>
      <c r="J504">
        <v>1</v>
      </c>
      <c r="K504" t="s">
        <v>29</v>
      </c>
      <c r="L504">
        <v>4</v>
      </c>
      <c r="M504">
        <v>1</v>
      </c>
      <c r="N504" s="3">
        <v>8381</v>
      </c>
      <c r="O504" s="3" t="str">
        <f>IF(Table2[[#This Row],[MonthlyIncome]]&lt;=5000, "$1001 - $5000", IF(Table2[[#This Row],[MonthlyIncome]]&lt;=9000, "$5001 - $9000", IF(Table2[[#This Row],[MonthlyIncome]]&lt;=13000, "$9001 - $13000", IF(Table2[[#This Row],[MonthlyIncome]]&lt;=17000, "$13001 - $17000", IF(Table2[[#This Row],[MonthlyIncome]]&lt;=21000, "$17001 - $21000")))))</f>
        <v>$5001 - $9000</v>
      </c>
      <c r="P504">
        <v>7</v>
      </c>
      <c r="Q504">
        <v>4</v>
      </c>
      <c r="R504">
        <v>14</v>
      </c>
      <c r="S5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505" spans="1:19" ht="14.25" x14ac:dyDescent="0.2">
      <c r="A505">
        <v>63751974</v>
      </c>
      <c r="B505">
        <v>34</v>
      </c>
      <c r="C505" t="s">
        <v>25</v>
      </c>
      <c r="D505" t="s">
        <v>24</v>
      </c>
      <c r="E505" t="s">
        <v>22</v>
      </c>
      <c r="F505">
        <f>IF(Table2[[#This Row],[Attrition]]="Yes", 1, 0)</f>
        <v>0</v>
      </c>
      <c r="G505" t="s">
        <v>26</v>
      </c>
      <c r="H505" t="s">
        <v>23</v>
      </c>
      <c r="I505">
        <v>1</v>
      </c>
      <c r="J505">
        <v>5</v>
      </c>
      <c r="K505" t="s">
        <v>18</v>
      </c>
      <c r="L505">
        <v>2</v>
      </c>
      <c r="M505">
        <v>4</v>
      </c>
      <c r="N505" s="3">
        <v>2691</v>
      </c>
      <c r="O505" s="3" t="str">
        <f>IF(Table2[[#This Row],[MonthlyIncome]]&lt;=5000, "$1001 - $5000", IF(Table2[[#This Row],[MonthlyIncome]]&lt;=9000, "$5001 - $9000", IF(Table2[[#This Row],[MonthlyIncome]]&lt;=13000, "$9001 - $13000", IF(Table2[[#This Row],[MonthlyIncome]]&lt;=17000, "$13001 - $17000", IF(Table2[[#This Row],[MonthlyIncome]]&lt;=21000, "$17001 - $21000")))))</f>
        <v>$1001 - $5000</v>
      </c>
      <c r="P505">
        <v>1</v>
      </c>
      <c r="Q505">
        <v>2</v>
      </c>
      <c r="R505">
        <v>10</v>
      </c>
      <c r="S5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506" spans="1:19" ht="14.25" x14ac:dyDescent="0.2">
      <c r="A506">
        <v>56700864</v>
      </c>
      <c r="B506">
        <v>45</v>
      </c>
      <c r="C506" t="s">
        <v>20</v>
      </c>
      <c r="D506" t="s">
        <v>24</v>
      </c>
      <c r="E506" t="s">
        <v>16</v>
      </c>
      <c r="F506">
        <f>IF(Table2[[#This Row],[Attrition]]="Yes", 1, 0)</f>
        <v>1</v>
      </c>
      <c r="G506" t="s">
        <v>21</v>
      </c>
      <c r="H506" t="s">
        <v>17</v>
      </c>
      <c r="I506">
        <v>26</v>
      </c>
      <c r="J506">
        <v>4</v>
      </c>
      <c r="K506" t="s">
        <v>18</v>
      </c>
      <c r="L506">
        <v>1</v>
      </c>
      <c r="M506">
        <v>1</v>
      </c>
      <c r="N506" s="3">
        <v>4286</v>
      </c>
      <c r="O506" s="3" t="str">
        <f>IF(Table2[[#This Row],[MonthlyIncome]]&lt;=5000, "$1001 - $5000", IF(Table2[[#This Row],[MonthlyIncome]]&lt;=9000, "$5001 - $9000", IF(Table2[[#This Row],[MonthlyIncome]]&lt;=13000, "$9001 - $13000", IF(Table2[[#This Row],[MonthlyIncome]]&lt;=17000, "$13001 - $17000", IF(Table2[[#This Row],[MonthlyIncome]]&lt;=21000, "$17001 - $21000")))))</f>
        <v>$1001 - $5000</v>
      </c>
      <c r="P506">
        <v>2</v>
      </c>
      <c r="Q506">
        <v>3</v>
      </c>
      <c r="R506">
        <v>1</v>
      </c>
      <c r="S5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07" spans="1:19" ht="14.25" x14ac:dyDescent="0.2">
      <c r="A507">
        <v>15322892</v>
      </c>
      <c r="B507">
        <v>26</v>
      </c>
      <c r="C507" t="s">
        <v>20</v>
      </c>
      <c r="D507" t="s">
        <v>24</v>
      </c>
      <c r="E507" t="s">
        <v>22</v>
      </c>
      <c r="F507">
        <f>IF(Table2[[#This Row],[Attrition]]="Yes", 1, 0)</f>
        <v>0</v>
      </c>
      <c r="G507" t="s">
        <v>28</v>
      </c>
      <c r="H507" t="s">
        <v>23</v>
      </c>
      <c r="I507">
        <v>6</v>
      </c>
      <c r="J507">
        <v>3</v>
      </c>
      <c r="K507" t="s">
        <v>18</v>
      </c>
      <c r="L507">
        <v>3</v>
      </c>
      <c r="M507">
        <v>4</v>
      </c>
      <c r="N507" s="3">
        <v>2659</v>
      </c>
      <c r="O507" s="3" t="str">
        <f>IF(Table2[[#This Row],[MonthlyIncome]]&lt;=5000, "$1001 - $5000", IF(Table2[[#This Row],[MonthlyIncome]]&lt;=9000, "$5001 - $9000", IF(Table2[[#This Row],[MonthlyIncome]]&lt;=13000, "$9001 - $13000", IF(Table2[[#This Row],[MonthlyIncome]]&lt;=17000, "$13001 - $17000", IF(Table2[[#This Row],[MonthlyIncome]]&lt;=21000, "$17001 - $21000")))))</f>
        <v>$1001 - $5000</v>
      </c>
      <c r="P507">
        <v>1</v>
      </c>
      <c r="Q507">
        <v>3</v>
      </c>
      <c r="R507">
        <v>3</v>
      </c>
      <c r="S5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08" spans="1:19" ht="14.25" x14ac:dyDescent="0.2">
      <c r="A508">
        <v>71171331</v>
      </c>
      <c r="B508">
        <v>37</v>
      </c>
      <c r="C508" t="s">
        <v>25</v>
      </c>
      <c r="D508" t="s">
        <v>24</v>
      </c>
      <c r="E508" t="s">
        <v>22</v>
      </c>
      <c r="F508">
        <f>IF(Table2[[#This Row],[Attrition]]="Yes", 1, 0)</f>
        <v>0</v>
      </c>
      <c r="G508" t="s">
        <v>31</v>
      </c>
      <c r="H508" t="s">
        <v>23</v>
      </c>
      <c r="I508">
        <v>3</v>
      </c>
      <c r="J508">
        <v>3</v>
      </c>
      <c r="K508" t="s">
        <v>27</v>
      </c>
      <c r="L508">
        <v>3</v>
      </c>
      <c r="M508">
        <v>3</v>
      </c>
      <c r="N508" s="3">
        <v>9434</v>
      </c>
      <c r="O508" s="3" t="str">
        <f>IF(Table2[[#This Row],[MonthlyIncome]]&lt;=5000, "$1001 - $5000", IF(Table2[[#This Row],[MonthlyIncome]]&lt;=9000, "$5001 - $9000", IF(Table2[[#This Row],[MonthlyIncome]]&lt;=13000, "$9001 - $13000", IF(Table2[[#This Row],[MonthlyIncome]]&lt;=17000, "$13001 - $17000", IF(Table2[[#This Row],[MonthlyIncome]]&lt;=21000, "$17001 - $21000")))))</f>
        <v>$9001 - $13000</v>
      </c>
      <c r="P508">
        <v>1</v>
      </c>
      <c r="Q508">
        <v>3</v>
      </c>
      <c r="R508">
        <v>10</v>
      </c>
      <c r="S5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509" spans="1:19" ht="14.25" x14ac:dyDescent="0.2">
      <c r="A509">
        <v>36763716</v>
      </c>
      <c r="B509">
        <v>29</v>
      </c>
      <c r="C509" t="s">
        <v>20</v>
      </c>
      <c r="D509" t="s">
        <v>24</v>
      </c>
      <c r="E509" t="s">
        <v>22</v>
      </c>
      <c r="F509">
        <f>IF(Table2[[#This Row],[Attrition]]="Yes", 1, 0)</f>
        <v>0</v>
      </c>
      <c r="G509" t="s">
        <v>21</v>
      </c>
      <c r="H509" t="s">
        <v>17</v>
      </c>
      <c r="I509">
        <v>3</v>
      </c>
      <c r="J509">
        <v>2</v>
      </c>
      <c r="K509" t="s">
        <v>29</v>
      </c>
      <c r="L509">
        <v>2</v>
      </c>
      <c r="M509">
        <v>3</v>
      </c>
      <c r="N509" s="3">
        <v>5561</v>
      </c>
      <c r="O509" s="3" t="str">
        <f>IF(Table2[[#This Row],[MonthlyIncome]]&lt;=5000, "$1001 - $5000", IF(Table2[[#This Row],[MonthlyIncome]]&lt;=9000, "$5001 - $9000", IF(Table2[[#This Row],[MonthlyIncome]]&lt;=13000, "$9001 - $13000", IF(Table2[[#This Row],[MonthlyIncome]]&lt;=17000, "$13001 - $17000", IF(Table2[[#This Row],[MonthlyIncome]]&lt;=21000, "$17001 - $21000")))))</f>
        <v>$5001 - $9000</v>
      </c>
      <c r="P509">
        <v>1</v>
      </c>
      <c r="Q509">
        <v>2</v>
      </c>
      <c r="R509">
        <v>6</v>
      </c>
      <c r="S5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10" spans="1:19" ht="14.25" x14ac:dyDescent="0.2">
      <c r="A510">
        <v>77009306</v>
      </c>
      <c r="B510">
        <v>35</v>
      </c>
      <c r="C510" t="s">
        <v>25</v>
      </c>
      <c r="D510" t="s">
        <v>19</v>
      </c>
      <c r="E510" t="s">
        <v>22</v>
      </c>
      <c r="F510">
        <f>IF(Table2[[#This Row],[Attrition]]="Yes", 1, 0)</f>
        <v>0</v>
      </c>
      <c r="G510" t="s">
        <v>26</v>
      </c>
      <c r="H510" t="s">
        <v>23</v>
      </c>
      <c r="I510">
        <v>6</v>
      </c>
      <c r="J510">
        <v>4</v>
      </c>
      <c r="K510" t="s">
        <v>18</v>
      </c>
      <c r="L510">
        <v>2</v>
      </c>
      <c r="M510">
        <v>4</v>
      </c>
      <c r="N510" s="3">
        <v>6646</v>
      </c>
      <c r="O510" s="3" t="str">
        <f>IF(Table2[[#This Row],[MonthlyIncome]]&lt;=5000, "$1001 - $5000", IF(Table2[[#This Row],[MonthlyIncome]]&lt;=9000, "$5001 - $9000", IF(Table2[[#This Row],[MonthlyIncome]]&lt;=13000, "$9001 - $13000", IF(Table2[[#This Row],[MonthlyIncome]]&lt;=17000, "$13001 - $17000", IF(Table2[[#This Row],[MonthlyIncome]]&lt;=21000, "$17001 - $21000")))))</f>
        <v>$5001 - $9000</v>
      </c>
      <c r="P510">
        <v>1</v>
      </c>
      <c r="Q510">
        <v>3</v>
      </c>
      <c r="R510">
        <v>17</v>
      </c>
      <c r="S5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511" spans="1:19" ht="14.25" x14ac:dyDescent="0.2">
      <c r="A511">
        <v>53161445</v>
      </c>
      <c r="B511">
        <v>33</v>
      </c>
      <c r="C511" t="s">
        <v>25</v>
      </c>
      <c r="D511" t="s">
        <v>30</v>
      </c>
      <c r="E511" t="s">
        <v>22</v>
      </c>
      <c r="F511">
        <f>IF(Table2[[#This Row],[Attrition]]="Yes", 1, 0)</f>
        <v>0</v>
      </c>
      <c r="G511" t="s">
        <v>32</v>
      </c>
      <c r="H511" t="s">
        <v>23</v>
      </c>
      <c r="I511">
        <v>6</v>
      </c>
      <c r="J511">
        <v>3</v>
      </c>
      <c r="K511" t="s">
        <v>18</v>
      </c>
      <c r="L511">
        <v>3</v>
      </c>
      <c r="M511">
        <v>4</v>
      </c>
      <c r="N511" s="3">
        <v>7725</v>
      </c>
      <c r="O511" s="3" t="str">
        <f>IF(Table2[[#This Row],[MonthlyIncome]]&lt;=5000, "$1001 - $5000", IF(Table2[[#This Row],[MonthlyIncome]]&lt;=9000, "$5001 - $9000", IF(Table2[[#This Row],[MonthlyIncome]]&lt;=13000, "$9001 - $13000", IF(Table2[[#This Row],[MonthlyIncome]]&lt;=17000, "$13001 - $17000", IF(Table2[[#This Row],[MonthlyIncome]]&lt;=21000, "$17001 - $21000")))))</f>
        <v>$5001 - $9000</v>
      </c>
      <c r="P511">
        <v>3</v>
      </c>
      <c r="Q511">
        <v>1</v>
      </c>
      <c r="R511">
        <v>13</v>
      </c>
      <c r="S5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512" spans="1:19" ht="14.25" x14ac:dyDescent="0.2">
      <c r="A512">
        <v>12911051</v>
      </c>
      <c r="B512">
        <v>54</v>
      </c>
      <c r="C512" t="s">
        <v>25</v>
      </c>
      <c r="D512" t="s">
        <v>24</v>
      </c>
      <c r="E512" t="s">
        <v>22</v>
      </c>
      <c r="F512">
        <f>IF(Table2[[#This Row],[Attrition]]="Yes", 1, 0)</f>
        <v>0</v>
      </c>
      <c r="G512" t="s">
        <v>38</v>
      </c>
      <c r="H512" t="s">
        <v>38</v>
      </c>
      <c r="I512">
        <v>19</v>
      </c>
      <c r="J512">
        <v>4</v>
      </c>
      <c r="K512" t="s">
        <v>29</v>
      </c>
      <c r="L512">
        <v>3</v>
      </c>
      <c r="M512">
        <v>2</v>
      </c>
      <c r="N512" s="3">
        <v>10725</v>
      </c>
      <c r="O512" s="3" t="str">
        <f>IF(Table2[[#This Row],[MonthlyIncome]]&lt;=5000, "$1001 - $5000", IF(Table2[[#This Row],[MonthlyIncome]]&lt;=9000, "$5001 - $9000", IF(Table2[[#This Row],[MonthlyIncome]]&lt;=13000, "$9001 - $13000", IF(Table2[[#This Row],[MonthlyIncome]]&lt;=17000, "$13001 - $17000", IF(Table2[[#This Row],[MonthlyIncome]]&lt;=21000, "$17001 - $21000")))))</f>
        <v>$9001 - $13000</v>
      </c>
      <c r="P512">
        <v>2</v>
      </c>
      <c r="Q512">
        <v>4</v>
      </c>
      <c r="R512">
        <v>9</v>
      </c>
      <c r="S5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13" spans="1:19" ht="14.25" x14ac:dyDescent="0.2">
      <c r="A513">
        <v>35230395</v>
      </c>
      <c r="B513">
        <v>36</v>
      </c>
      <c r="C513" t="s">
        <v>25</v>
      </c>
      <c r="D513" t="s">
        <v>30</v>
      </c>
      <c r="E513" t="s">
        <v>22</v>
      </c>
      <c r="F513">
        <f>IF(Table2[[#This Row],[Attrition]]="Yes", 1, 0)</f>
        <v>0</v>
      </c>
      <c r="G513" t="s">
        <v>31</v>
      </c>
      <c r="H513" t="s">
        <v>23</v>
      </c>
      <c r="I513">
        <v>9</v>
      </c>
      <c r="J513">
        <v>2</v>
      </c>
      <c r="K513" t="s">
        <v>29</v>
      </c>
      <c r="L513">
        <v>2</v>
      </c>
      <c r="M513">
        <v>2</v>
      </c>
      <c r="N513" s="3">
        <v>8847</v>
      </c>
      <c r="O513" s="3" t="str">
        <f>IF(Table2[[#This Row],[MonthlyIncome]]&lt;=5000, "$1001 - $5000", IF(Table2[[#This Row],[MonthlyIncome]]&lt;=9000, "$5001 - $9000", IF(Table2[[#This Row],[MonthlyIncome]]&lt;=13000, "$9001 - $13000", IF(Table2[[#This Row],[MonthlyIncome]]&lt;=17000, "$13001 - $17000", IF(Table2[[#This Row],[MonthlyIncome]]&lt;=21000, "$17001 - $21000")))))</f>
        <v>$5001 - $9000</v>
      </c>
      <c r="P513">
        <v>2</v>
      </c>
      <c r="Q513">
        <v>3</v>
      </c>
      <c r="R513">
        <v>3</v>
      </c>
      <c r="S5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14" spans="1:19" ht="14.25" x14ac:dyDescent="0.2">
      <c r="A514">
        <v>61030181</v>
      </c>
      <c r="B514">
        <v>27</v>
      </c>
      <c r="C514" t="s">
        <v>25</v>
      </c>
      <c r="D514" t="s">
        <v>19</v>
      </c>
      <c r="E514" t="s">
        <v>22</v>
      </c>
      <c r="F514">
        <f>IF(Table2[[#This Row],[Attrition]]="Yes", 1, 0)</f>
        <v>0</v>
      </c>
      <c r="G514" t="s">
        <v>26</v>
      </c>
      <c r="H514" t="s">
        <v>23</v>
      </c>
      <c r="I514">
        <v>3</v>
      </c>
      <c r="J514">
        <v>4</v>
      </c>
      <c r="K514" t="s">
        <v>29</v>
      </c>
      <c r="L514">
        <v>1</v>
      </c>
      <c r="M514">
        <v>4</v>
      </c>
      <c r="N514" s="3">
        <v>2045</v>
      </c>
      <c r="O514" s="3" t="str">
        <f>IF(Table2[[#This Row],[MonthlyIncome]]&lt;=5000, "$1001 - $5000", IF(Table2[[#This Row],[MonthlyIncome]]&lt;=9000, "$5001 - $9000", IF(Table2[[#This Row],[MonthlyIncome]]&lt;=13000, "$9001 - $13000", IF(Table2[[#This Row],[MonthlyIncome]]&lt;=17000, "$13001 - $17000", IF(Table2[[#This Row],[MonthlyIncome]]&lt;=21000, "$17001 - $21000")))))</f>
        <v>$1001 - $5000</v>
      </c>
      <c r="P514">
        <v>0</v>
      </c>
      <c r="Q514">
        <v>3</v>
      </c>
      <c r="R514">
        <v>4</v>
      </c>
      <c r="S5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15" spans="1:19" ht="14.25" x14ac:dyDescent="0.2">
      <c r="A515">
        <v>76933938</v>
      </c>
      <c r="B515">
        <v>20</v>
      </c>
      <c r="C515" t="s">
        <v>25</v>
      </c>
      <c r="D515" t="s">
        <v>19</v>
      </c>
      <c r="E515" t="s">
        <v>16</v>
      </c>
      <c r="F515">
        <f>IF(Table2[[#This Row],[Attrition]]="Yes", 1, 0)</f>
        <v>1</v>
      </c>
      <c r="G515" t="s">
        <v>26</v>
      </c>
      <c r="H515" t="s">
        <v>23</v>
      </c>
      <c r="I515">
        <v>10</v>
      </c>
      <c r="J515">
        <v>1</v>
      </c>
      <c r="K515" t="s">
        <v>29</v>
      </c>
      <c r="L515">
        <v>4</v>
      </c>
      <c r="M515">
        <v>3</v>
      </c>
      <c r="N515" s="3">
        <v>1009</v>
      </c>
      <c r="O515" s="3" t="str">
        <f>IF(Table2[[#This Row],[MonthlyIncome]]&lt;=5000, "$1001 - $5000", IF(Table2[[#This Row],[MonthlyIncome]]&lt;=9000, "$5001 - $9000", IF(Table2[[#This Row],[MonthlyIncome]]&lt;=13000, "$9001 - $13000", IF(Table2[[#This Row],[MonthlyIncome]]&lt;=17000, "$13001 - $17000", IF(Table2[[#This Row],[MonthlyIncome]]&lt;=21000, "$17001 - $21000")))))</f>
        <v>$1001 - $5000</v>
      </c>
      <c r="P515">
        <v>1</v>
      </c>
      <c r="Q515">
        <v>3</v>
      </c>
      <c r="R515">
        <v>1</v>
      </c>
      <c r="S5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16" spans="1:19" ht="14.25" x14ac:dyDescent="0.2">
      <c r="A516">
        <v>23967690</v>
      </c>
      <c r="B516">
        <v>33</v>
      </c>
      <c r="C516" t="s">
        <v>25</v>
      </c>
      <c r="D516" t="s">
        <v>19</v>
      </c>
      <c r="E516" t="s">
        <v>16</v>
      </c>
      <c r="F516">
        <f>IF(Table2[[#This Row],[Attrition]]="Yes", 1, 0)</f>
        <v>1</v>
      </c>
      <c r="G516" t="s">
        <v>26</v>
      </c>
      <c r="H516" t="s">
        <v>23</v>
      </c>
      <c r="I516">
        <v>3</v>
      </c>
      <c r="J516">
        <v>3</v>
      </c>
      <c r="K516" t="s">
        <v>18</v>
      </c>
      <c r="L516">
        <v>1</v>
      </c>
      <c r="M516">
        <v>1</v>
      </c>
      <c r="N516" s="3">
        <v>3348</v>
      </c>
      <c r="O516" s="3" t="str">
        <f>IF(Table2[[#This Row],[MonthlyIncome]]&lt;=5000, "$1001 - $5000", IF(Table2[[#This Row],[MonthlyIncome]]&lt;=9000, "$5001 - $9000", IF(Table2[[#This Row],[MonthlyIncome]]&lt;=13000, "$9001 - $13000", IF(Table2[[#This Row],[MonthlyIncome]]&lt;=17000, "$13001 - $17000", IF(Table2[[#This Row],[MonthlyIncome]]&lt;=21000, "$17001 - $21000")))))</f>
        <v>$1001 - $5000</v>
      </c>
      <c r="P516">
        <v>1</v>
      </c>
      <c r="Q516">
        <v>3</v>
      </c>
      <c r="R516">
        <v>10</v>
      </c>
      <c r="S5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517" spans="1:19" ht="14.25" x14ac:dyDescent="0.2">
      <c r="A517">
        <v>14068938</v>
      </c>
      <c r="B517">
        <v>35</v>
      </c>
      <c r="C517" t="s">
        <v>25</v>
      </c>
      <c r="D517" t="s">
        <v>24</v>
      </c>
      <c r="E517" t="s">
        <v>22</v>
      </c>
      <c r="F517">
        <f>IF(Table2[[#This Row],[Attrition]]="Yes", 1, 0)</f>
        <v>0</v>
      </c>
      <c r="G517" t="s">
        <v>28</v>
      </c>
      <c r="H517" t="s">
        <v>23</v>
      </c>
      <c r="I517">
        <v>3</v>
      </c>
      <c r="J517">
        <v>3</v>
      </c>
      <c r="K517" t="s">
        <v>18</v>
      </c>
      <c r="L517">
        <v>3</v>
      </c>
      <c r="M517">
        <v>3</v>
      </c>
      <c r="N517" s="3">
        <v>1281</v>
      </c>
      <c r="O517" s="3" t="str">
        <f>IF(Table2[[#This Row],[MonthlyIncome]]&lt;=5000, "$1001 - $5000", IF(Table2[[#This Row],[MonthlyIncome]]&lt;=9000, "$5001 - $9000", IF(Table2[[#This Row],[MonthlyIncome]]&lt;=13000, "$9001 - $13000", IF(Table2[[#This Row],[MonthlyIncome]]&lt;=17000, "$13001 - $17000", IF(Table2[[#This Row],[MonthlyIncome]]&lt;=21000, "$17001 - $21000")))))</f>
        <v>$1001 - $5000</v>
      </c>
      <c r="P517">
        <v>1</v>
      </c>
      <c r="Q517">
        <v>3</v>
      </c>
      <c r="R517">
        <v>1</v>
      </c>
      <c r="S5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18" spans="1:19" ht="14.25" x14ac:dyDescent="0.2">
      <c r="A518">
        <v>57724914</v>
      </c>
      <c r="B518">
        <v>23</v>
      </c>
      <c r="C518" t="s">
        <v>25</v>
      </c>
      <c r="D518" t="s">
        <v>24</v>
      </c>
      <c r="E518" t="s">
        <v>22</v>
      </c>
      <c r="F518">
        <f>IF(Table2[[#This Row],[Attrition]]="Yes", 1, 0)</f>
        <v>0</v>
      </c>
      <c r="G518" t="s">
        <v>26</v>
      </c>
      <c r="H518" t="s">
        <v>23</v>
      </c>
      <c r="I518">
        <v>4</v>
      </c>
      <c r="J518">
        <v>3</v>
      </c>
      <c r="K518" t="s">
        <v>29</v>
      </c>
      <c r="L518">
        <v>1</v>
      </c>
      <c r="M518">
        <v>1</v>
      </c>
      <c r="N518" s="3">
        <v>2819</v>
      </c>
      <c r="O518" s="3" t="str">
        <f>IF(Table2[[#This Row],[MonthlyIncome]]&lt;=5000, "$1001 - $5000", IF(Table2[[#This Row],[MonthlyIncome]]&lt;=9000, "$5001 - $9000", IF(Table2[[#This Row],[MonthlyIncome]]&lt;=13000, "$9001 - $13000", IF(Table2[[#This Row],[MonthlyIncome]]&lt;=17000, "$13001 - $17000", IF(Table2[[#This Row],[MonthlyIncome]]&lt;=21000, "$17001 - $21000")))))</f>
        <v>$1001 - $5000</v>
      </c>
      <c r="P518">
        <v>2</v>
      </c>
      <c r="Q518">
        <v>4</v>
      </c>
      <c r="R518">
        <v>3</v>
      </c>
      <c r="S5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19" spans="1:19" ht="14.25" x14ac:dyDescent="0.2">
      <c r="A519">
        <v>83101696</v>
      </c>
      <c r="B519">
        <v>25</v>
      </c>
      <c r="C519" t="s">
        <v>25</v>
      </c>
      <c r="D519" t="s">
        <v>24</v>
      </c>
      <c r="E519" t="s">
        <v>22</v>
      </c>
      <c r="F519">
        <f>IF(Table2[[#This Row],[Attrition]]="Yes", 1, 0)</f>
        <v>0</v>
      </c>
      <c r="G519" t="s">
        <v>21</v>
      </c>
      <c r="H519" t="s">
        <v>17</v>
      </c>
      <c r="I519">
        <v>8</v>
      </c>
      <c r="J519">
        <v>3</v>
      </c>
      <c r="K519" t="s">
        <v>18</v>
      </c>
      <c r="L519">
        <v>4</v>
      </c>
      <c r="M519">
        <v>2</v>
      </c>
      <c r="N519" s="3">
        <v>4851</v>
      </c>
      <c r="O519" s="3" t="str">
        <f>IF(Table2[[#This Row],[MonthlyIncome]]&lt;=5000, "$1001 - $5000", IF(Table2[[#This Row],[MonthlyIncome]]&lt;=9000, "$5001 - $9000", IF(Table2[[#This Row],[MonthlyIncome]]&lt;=13000, "$9001 - $13000", IF(Table2[[#This Row],[MonthlyIncome]]&lt;=17000, "$13001 - $17000", IF(Table2[[#This Row],[MonthlyIncome]]&lt;=21000, "$17001 - $21000")))))</f>
        <v>$1001 - $5000</v>
      </c>
      <c r="P519">
        <v>0</v>
      </c>
      <c r="Q519">
        <v>3</v>
      </c>
      <c r="R519">
        <v>3</v>
      </c>
      <c r="S5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20" spans="1:19" ht="14.25" x14ac:dyDescent="0.2">
      <c r="A520">
        <v>21374322</v>
      </c>
      <c r="B520">
        <v>38</v>
      </c>
      <c r="C520" t="s">
        <v>20</v>
      </c>
      <c r="D520" t="s">
        <v>19</v>
      </c>
      <c r="E520" t="s">
        <v>22</v>
      </c>
      <c r="F520">
        <f>IF(Table2[[#This Row],[Attrition]]="Yes", 1, 0)</f>
        <v>0</v>
      </c>
      <c r="G520" t="s">
        <v>21</v>
      </c>
      <c r="H520" t="s">
        <v>17</v>
      </c>
      <c r="I520">
        <v>7</v>
      </c>
      <c r="J520">
        <v>4</v>
      </c>
      <c r="K520" t="s">
        <v>36</v>
      </c>
      <c r="L520">
        <v>4</v>
      </c>
      <c r="M520">
        <v>4</v>
      </c>
      <c r="N520" s="3">
        <v>4028</v>
      </c>
      <c r="O520" s="3" t="str">
        <f>IF(Table2[[#This Row],[MonthlyIncome]]&lt;=5000, "$1001 - $5000", IF(Table2[[#This Row],[MonthlyIncome]]&lt;=9000, "$5001 - $9000", IF(Table2[[#This Row],[MonthlyIncome]]&lt;=13000, "$9001 - $13000", IF(Table2[[#This Row],[MonthlyIncome]]&lt;=17000, "$13001 - $17000", IF(Table2[[#This Row],[MonthlyIncome]]&lt;=21000, "$17001 - $21000")))))</f>
        <v>$1001 - $5000</v>
      </c>
      <c r="P520">
        <v>0</v>
      </c>
      <c r="Q520">
        <v>3</v>
      </c>
      <c r="R520">
        <v>7</v>
      </c>
      <c r="S5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21" spans="1:19" ht="14.25" x14ac:dyDescent="0.2">
      <c r="A521">
        <v>25992581</v>
      </c>
      <c r="B521">
        <v>29</v>
      </c>
      <c r="C521" t="s">
        <v>25</v>
      </c>
      <c r="D521" t="s">
        <v>30</v>
      </c>
      <c r="E521" t="s">
        <v>22</v>
      </c>
      <c r="F521">
        <f>IF(Table2[[#This Row],[Attrition]]="Yes", 1, 0)</f>
        <v>0</v>
      </c>
      <c r="G521" t="s">
        <v>26</v>
      </c>
      <c r="H521" t="s">
        <v>23</v>
      </c>
      <c r="I521">
        <v>1</v>
      </c>
      <c r="J521">
        <v>4</v>
      </c>
      <c r="K521" t="s">
        <v>18</v>
      </c>
      <c r="L521">
        <v>2</v>
      </c>
      <c r="M521">
        <v>4</v>
      </c>
      <c r="N521" s="3">
        <v>2720</v>
      </c>
      <c r="O521" s="3" t="str">
        <f>IF(Table2[[#This Row],[MonthlyIncome]]&lt;=5000, "$1001 - $5000", IF(Table2[[#This Row],[MonthlyIncome]]&lt;=9000, "$5001 - $9000", IF(Table2[[#This Row],[MonthlyIncome]]&lt;=13000, "$9001 - $13000", IF(Table2[[#This Row],[MonthlyIncome]]&lt;=17000, "$13001 - $17000", IF(Table2[[#This Row],[MonthlyIncome]]&lt;=21000, "$17001 - $21000")))))</f>
        <v>$1001 - $5000</v>
      </c>
      <c r="P521">
        <v>1</v>
      </c>
      <c r="Q521">
        <v>3</v>
      </c>
      <c r="R521">
        <v>10</v>
      </c>
      <c r="S5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522" spans="1:19" ht="14.25" x14ac:dyDescent="0.2">
      <c r="A522">
        <v>31222042</v>
      </c>
      <c r="B522">
        <v>48</v>
      </c>
      <c r="C522" t="s">
        <v>25</v>
      </c>
      <c r="D522" t="s">
        <v>24</v>
      </c>
      <c r="E522" t="s">
        <v>22</v>
      </c>
      <c r="F522">
        <f>IF(Table2[[#This Row],[Attrition]]="Yes", 1, 0)</f>
        <v>0</v>
      </c>
      <c r="G522" t="s">
        <v>21</v>
      </c>
      <c r="H522" t="s">
        <v>17</v>
      </c>
      <c r="I522">
        <v>2</v>
      </c>
      <c r="J522">
        <v>1</v>
      </c>
      <c r="K522" t="s">
        <v>36</v>
      </c>
      <c r="L522">
        <v>2</v>
      </c>
      <c r="M522">
        <v>2</v>
      </c>
      <c r="N522" s="3">
        <v>8120</v>
      </c>
      <c r="O522" s="3" t="str">
        <f>IF(Table2[[#This Row],[MonthlyIncome]]&lt;=5000, "$1001 - $5000", IF(Table2[[#This Row],[MonthlyIncome]]&lt;=9000, "$5001 - $9000", IF(Table2[[#This Row],[MonthlyIncome]]&lt;=13000, "$9001 - $13000", IF(Table2[[#This Row],[MonthlyIncome]]&lt;=17000, "$13001 - $17000", IF(Table2[[#This Row],[MonthlyIncome]]&lt;=21000, "$17001 - $21000")))))</f>
        <v>$5001 - $9000</v>
      </c>
      <c r="P522">
        <v>3</v>
      </c>
      <c r="Q522">
        <v>3</v>
      </c>
      <c r="R522">
        <v>2</v>
      </c>
      <c r="S5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23" spans="1:19" ht="14.25" x14ac:dyDescent="0.2">
      <c r="A523">
        <v>72355243</v>
      </c>
      <c r="B523">
        <v>27</v>
      </c>
      <c r="C523" t="s">
        <v>20</v>
      </c>
      <c r="D523" t="s">
        <v>30</v>
      </c>
      <c r="E523" t="s">
        <v>22</v>
      </c>
      <c r="F523">
        <f>IF(Table2[[#This Row],[Attrition]]="Yes", 1, 0)</f>
        <v>0</v>
      </c>
      <c r="G523" t="s">
        <v>21</v>
      </c>
      <c r="H523" t="s">
        <v>17</v>
      </c>
      <c r="I523">
        <v>3</v>
      </c>
      <c r="J523">
        <v>1</v>
      </c>
      <c r="K523" t="s">
        <v>29</v>
      </c>
      <c r="L523">
        <v>4</v>
      </c>
      <c r="M523">
        <v>4</v>
      </c>
      <c r="N523" s="3">
        <v>4647</v>
      </c>
      <c r="O523" s="3" t="str">
        <f>IF(Table2[[#This Row],[MonthlyIncome]]&lt;=5000, "$1001 - $5000", IF(Table2[[#This Row],[MonthlyIncome]]&lt;=9000, "$5001 - $9000", IF(Table2[[#This Row],[MonthlyIncome]]&lt;=13000, "$9001 - $13000", IF(Table2[[#This Row],[MonthlyIncome]]&lt;=17000, "$13001 - $17000", IF(Table2[[#This Row],[MonthlyIncome]]&lt;=21000, "$17001 - $21000")))))</f>
        <v>$1001 - $5000</v>
      </c>
      <c r="P523">
        <v>1</v>
      </c>
      <c r="Q523">
        <v>3</v>
      </c>
      <c r="R523">
        <v>6</v>
      </c>
      <c r="S5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24" spans="1:19" ht="14.25" x14ac:dyDescent="0.2">
      <c r="A524">
        <v>67316667</v>
      </c>
      <c r="B524">
        <v>37</v>
      </c>
      <c r="C524" t="s">
        <v>25</v>
      </c>
      <c r="D524" t="s">
        <v>19</v>
      </c>
      <c r="E524" t="s">
        <v>22</v>
      </c>
      <c r="F524">
        <f>IF(Table2[[#This Row],[Attrition]]="Yes", 1, 0)</f>
        <v>0</v>
      </c>
      <c r="G524" t="s">
        <v>26</v>
      </c>
      <c r="H524" t="s">
        <v>23</v>
      </c>
      <c r="I524">
        <v>10</v>
      </c>
      <c r="J524">
        <v>2</v>
      </c>
      <c r="K524" t="s">
        <v>18</v>
      </c>
      <c r="L524">
        <v>4</v>
      </c>
      <c r="M524">
        <v>4</v>
      </c>
      <c r="N524" s="3">
        <v>4680</v>
      </c>
      <c r="O524" s="3" t="str">
        <f>IF(Table2[[#This Row],[MonthlyIncome]]&lt;=5000, "$1001 - $5000", IF(Table2[[#This Row],[MonthlyIncome]]&lt;=9000, "$5001 - $9000", IF(Table2[[#This Row],[MonthlyIncome]]&lt;=13000, "$9001 - $13000", IF(Table2[[#This Row],[MonthlyIncome]]&lt;=17000, "$13001 - $17000", IF(Table2[[#This Row],[MonthlyIncome]]&lt;=21000, "$17001 - $21000")))))</f>
        <v>$1001 - $5000</v>
      </c>
      <c r="P524">
        <v>3</v>
      </c>
      <c r="Q524">
        <v>3</v>
      </c>
      <c r="R524">
        <v>1</v>
      </c>
      <c r="S5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25" spans="1:19" ht="14.25" x14ac:dyDescent="0.2">
      <c r="A525">
        <v>87780502</v>
      </c>
      <c r="B525">
        <v>50</v>
      </c>
      <c r="C525" t="s">
        <v>25</v>
      </c>
      <c r="D525" t="s">
        <v>24</v>
      </c>
      <c r="E525" t="s">
        <v>22</v>
      </c>
      <c r="F525">
        <f>IF(Table2[[#This Row],[Attrition]]="Yes", 1, 0)</f>
        <v>0</v>
      </c>
      <c r="G525" t="s">
        <v>28</v>
      </c>
      <c r="H525" t="s">
        <v>23</v>
      </c>
      <c r="I525">
        <v>28</v>
      </c>
      <c r="J525">
        <v>1</v>
      </c>
      <c r="K525" t="s">
        <v>29</v>
      </c>
      <c r="L525">
        <v>4</v>
      </c>
      <c r="M525">
        <v>3</v>
      </c>
      <c r="N525" s="3">
        <v>3221</v>
      </c>
      <c r="O525" s="3" t="str">
        <f>IF(Table2[[#This Row],[MonthlyIncome]]&lt;=5000, "$1001 - $5000", IF(Table2[[#This Row],[MonthlyIncome]]&lt;=9000, "$5001 - $9000", IF(Table2[[#This Row],[MonthlyIncome]]&lt;=13000, "$9001 - $13000", IF(Table2[[#This Row],[MonthlyIncome]]&lt;=17000, "$13001 - $17000", IF(Table2[[#This Row],[MonthlyIncome]]&lt;=21000, "$17001 - $21000")))))</f>
        <v>$1001 - $5000</v>
      </c>
      <c r="P525">
        <v>1</v>
      </c>
      <c r="Q525">
        <v>3</v>
      </c>
      <c r="R525">
        <v>20</v>
      </c>
      <c r="S5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526" spans="1:19" ht="14.25" x14ac:dyDescent="0.2">
      <c r="A526">
        <v>22973101</v>
      </c>
      <c r="B526">
        <v>34</v>
      </c>
      <c r="C526" t="s">
        <v>20</v>
      </c>
      <c r="D526" t="s">
        <v>19</v>
      </c>
      <c r="E526" t="s">
        <v>22</v>
      </c>
      <c r="F526">
        <f>IF(Table2[[#This Row],[Attrition]]="Yes", 1, 0)</f>
        <v>0</v>
      </c>
      <c r="G526" t="s">
        <v>32</v>
      </c>
      <c r="H526" t="s">
        <v>23</v>
      </c>
      <c r="I526">
        <v>9</v>
      </c>
      <c r="J526">
        <v>3</v>
      </c>
      <c r="K526" t="s">
        <v>29</v>
      </c>
      <c r="L526">
        <v>4</v>
      </c>
      <c r="M526">
        <v>2</v>
      </c>
      <c r="N526" s="3">
        <v>8621</v>
      </c>
      <c r="O526" s="3" t="str">
        <f>IF(Table2[[#This Row],[MonthlyIncome]]&lt;=5000, "$1001 - $5000", IF(Table2[[#This Row],[MonthlyIncome]]&lt;=9000, "$5001 - $9000", IF(Table2[[#This Row],[MonthlyIncome]]&lt;=13000, "$9001 - $13000", IF(Table2[[#This Row],[MonthlyIncome]]&lt;=17000, "$13001 - $17000", IF(Table2[[#This Row],[MonthlyIncome]]&lt;=21000, "$17001 - $21000")))))</f>
        <v>$5001 - $9000</v>
      </c>
      <c r="P526">
        <v>1</v>
      </c>
      <c r="Q526">
        <v>4</v>
      </c>
      <c r="R526">
        <v>8</v>
      </c>
      <c r="S5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27" spans="1:19" ht="14.25" x14ac:dyDescent="0.2">
      <c r="A527">
        <v>58325866</v>
      </c>
      <c r="B527">
        <v>24</v>
      </c>
      <c r="C527" t="s">
        <v>20</v>
      </c>
      <c r="D527" t="s">
        <v>19</v>
      </c>
      <c r="E527" t="s">
        <v>16</v>
      </c>
      <c r="F527">
        <f>IF(Table2[[#This Row],[Attrition]]="Yes", 1, 0)</f>
        <v>1</v>
      </c>
      <c r="G527" t="s">
        <v>21</v>
      </c>
      <c r="H527" t="s">
        <v>17</v>
      </c>
      <c r="I527">
        <v>3</v>
      </c>
      <c r="J527">
        <v>2</v>
      </c>
      <c r="K527" t="s">
        <v>18</v>
      </c>
      <c r="L527">
        <v>1</v>
      </c>
      <c r="M527">
        <v>3</v>
      </c>
      <c r="N527" s="3">
        <v>4577</v>
      </c>
      <c r="O527" s="3" t="str">
        <f>IF(Table2[[#This Row],[MonthlyIncome]]&lt;=5000, "$1001 - $5000", IF(Table2[[#This Row],[MonthlyIncome]]&lt;=9000, "$5001 - $9000", IF(Table2[[#This Row],[MonthlyIncome]]&lt;=13000, "$9001 - $13000", IF(Table2[[#This Row],[MonthlyIncome]]&lt;=17000, "$13001 - $17000", IF(Table2[[#This Row],[MonthlyIncome]]&lt;=21000, "$17001 - $21000")))))</f>
        <v>$1001 - $5000</v>
      </c>
      <c r="P527">
        <v>9</v>
      </c>
      <c r="Q527">
        <v>3</v>
      </c>
      <c r="R527">
        <v>2</v>
      </c>
      <c r="S5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28" spans="1:19" ht="14.25" x14ac:dyDescent="0.2">
      <c r="A528">
        <v>52266040</v>
      </c>
      <c r="B528">
        <v>39</v>
      </c>
      <c r="C528" t="s">
        <v>20</v>
      </c>
      <c r="D528" t="s">
        <v>19</v>
      </c>
      <c r="E528" t="s">
        <v>22</v>
      </c>
      <c r="F528">
        <f>IF(Table2[[#This Row],[Attrition]]="Yes", 1, 0)</f>
        <v>0</v>
      </c>
      <c r="G528" t="s">
        <v>32</v>
      </c>
      <c r="H528" t="s">
        <v>23</v>
      </c>
      <c r="I528">
        <v>2</v>
      </c>
      <c r="J528">
        <v>4</v>
      </c>
      <c r="K528" t="s">
        <v>37</v>
      </c>
      <c r="L528">
        <v>4</v>
      </c>
      <c r="M528">
        <v>3</v>
      </c>
      <c r="N528" s="3">
        <v>4553</v>
      </c>
      <c r="O528" s="3" t="str">
        <f>IF(Table2[[#This Row],[MonthlyIncome]]&lt;=5000, "$1001 - $5000", IF(Table2[[#This Row],[MonthlyIncome]]&lt;=9000, "$5001 - $9000", IF(Table2[[#This Row],[MonthlyIncome]]&lt;=13000, "$9001 - $13000", IF(Table2[[#This Row],[MonthlyIncome]]&lt;=17000, "$13001 - $17000", IF(Table2[[#This Row],[MonthlyIncome]]&lt;=21000, "$17001 - $21000")))))</f>
        <v>$1001 - $5000</v>
      </c>
      <c r="P528">
        <v>1</v>
      </c>
      <c r="Q528">
        <v>3</v>
      </c>
      <c r="R528">
        <v>20</v>
      </c>
      <c r="S5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529" spans="1:19" ht="14.25" x14ac:dyDescent="0.2">
      <c r="A529">
        <v>56797812</v>
      </c>
      <c r="B529">
        <v>32</v>
      </c>
      <c r="C529" t="s">
        <v>25</v>
      </c>
      <c r="D529" t="s">
        <v>19</v>
      </c>
      <c r="E529" t="s">
        <v>22</v>
      </c>
      <c r="F529">
        <f>IF(Table2[[#This Row],[Attrition]]="Yes", 1, 0)</f>
        <v>0</v>
      </c>
      <c r="G529" t="s">
        <v>21</v>
      </c>
      <c r="H529" t="s">
        <v>17</v>
      </c>
      <c r="I529">
        <v>10</v>
      </c>
      <c r="J529">
        <v>3</v>
      </c>
      <c r="K529" t="s">
        <v>36</v>
      </c>
      <c r="L529">
        <v>4</v>
      </c>
      <c r="M529">
        <v>4</v>
      </c>
      <c r="N529" s="3">
        <v>5396</v>
      </c>
      <c r="O529" s="3" t="str">
        <f>IF(Table2[[#This Row],[MonthlyIncome]]&lt;=5000, "$1001 - $5000", IF(Table2[[#This Row],[MonthlyIncome]]&lt;=9000, "$5001 - $9000", IF(Table2[[#This Row],[MonthlyIncome]]&lt;=13000, "$9001 - $13000", IF(Table2[[#This Row],[MonthlyIncome]]&lt;=17000, "$13001 - $17000", IF(Table2[[#This Row],[MonthlyIncome]]&lt;=21000, "$17001 - $21000")))))</f>
        <v>$5001 - $9000</v>
      </c>
      <c r="P529">
        <v>1</v>
      </c>
      <c r="Q529">
        <v>2</v>
      </c>
      <c r="R529">
        <v>10</v>
      </c>
      <c r="S5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530" spans="1:19" ht="14.25" x14ac:dyDescent="0.2">
      <c r="A530">
        <v>58732940</v>
      </c>
      <c r="B530">
        <v>50</v>
      </c>
      <c r="C530" t="s">
        <v>25</v>
      </c>
      <c r="D530" t="s">
        <v>24</v>
      </c>
      <c r="E530" t="s">
        <v>16</v>
      </c>
      <c r="F530">
        <f>IF(Table2[[#This Row],[Attrition]]="Yes", 1, 0)</f>
        <v>1</v>
      </c>
      <c r="G530" t="s">
        <v>21</v>
      </c>
      <c r="H530" t="s">
        <v>17</v>
      </c>
      <c r="I530">
        <v>8</v>
      </c>
      <c r="J530">
        <v>2</v>
      </c>
      <c r="K530" t="s">
        <v>37</v>
      </c>
      <c r="L530">
        <v>2</v>
      </c>
      <c r="M530">
        <v>3</v>
      </c>
      <c r="N530" s="3">
        <v>6796</v>
      </c>
      <c r="O530" s="3" t="str">
        <f>IF(Table2[[#This Row],[MonthlyIncome]]&lt;=5000, "$1001 - $5000", IF(Table2[[#This Row],[MonthlyIncome]]&lt;=9000, "$5001 - $9000", IF(Table2[[#This Row],[MonthlyIncome]]&lt;=13000, "$9001 - $13000", IF(Table2[[#This Row],[MonthlyIncome]]&lt;=17000, "$13001 - $17000", IF(Table2[[#This Row],[MonthlyIncome]]&lt;=21000, "$17001 - $21000")))))</f>
        <v>$5001 - $9000</v>
      </c>
      <c r="P530">
        <v>3</v>
      </c>
      <c r="Q530">
        <v>3</v>
      </c>
      <c r="R530">
        <v>4</v>
      </c>
      <c r="S5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31" spans="1:19" ht="14.25" x14ac:dyDescent="0.2">
      <c r="A531">
        <v>77928216</v>
      </c>
      <c r="B531">
        <v>38</v>
      </c>
      <c r="C531" t="s">
        <v>20</v>
      </c>
      <c r="D531" t="s">
        <v>19</v>
      </c>
      <c r="E531" t="s">
        <v>22</v>
      </c>
      <c r="F531">
        <f>IF(Table2[[#This Row],[Attrition]]="Yes", 1, 0)</f>
        <v>0</v>
      </c>
      <c r="G531" t="s">
        <v>32</v>
      </c>
      <c r="H531" t="s">
        <v>23</v>
      </c>
      <c r="I531">
        <v>1</v>
      </c>
      <c r="J531">
        <v>4</v>
      </c>
      <c r="K531" t="s">
        <v>18</v>
      </c>
      <c r="L531">
        <v>2</v>
      </c>
      <c r="M531">
        <v>4</v>
      </c>
      <c r="N531" s="3">
        <v>7625</v>
      </c>
      <c r="O531" s="3" t="str">
        <f>IF(Table2[[#This Row],[MonthlyIncome]]&lt;=5000, "$1001 - $5000", IF(Table2[[#This Row],[MonthlyIncome]]&lt;=9000, "$5001 - $9000", IF(Table2[[#This Row],[MonthlyIncome]]&lt;=13000, "$9001 - $13000", IF(Table2[[#This Row],[MonthlyIncome]]&lt;=17000, "$13001 - $17000", IF(Table2[[#This Row],[MonthlyIncome]]&lt;=21000, "$17001 - $21000")))))</f>
        <v>$5001 - $9000</v>
      </c>
      <c r="P531">
        <v>0</v>
      </c>
      <c r="Q531">
        <v>2</v>
      </c>
      <c r="R531">
        <v>9</v>
      </c>
      <c r="S5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32" spans="1:19" ht="14.25" x14ac:dyDescent="0.2">
      <c r="A532">
        <v>23771302</v>
      </c>
      <c r="B532">
        <v>27</v>
      </c>
      <c r="C532" t="s">
        <v>20</v>
      </c>
      <c r="D532" t="s">
        <v>24</v>
      </c>
      <c r="E532" t="s">
        <v>22</v>
      </c>
      <c r="F532">
        <f>IF(Table2[[#This Row],[Attrition]]="Yes", 1, 0)</f>
        <v>0</v>
      </c>
      <c r="G532" t="s">
        <v>31</v>
      </c>
      <c r="H532" t="s">
        <v>23</v>
      </c>
      <c r="I532">
        <v>1</v>
      </c>
      <c r="J532">
        <v>2</v>
      </c>
      <c r="K532" t="s">
        <v>18</v>
      </c>
      <c r="L532">
        <v>3</v>
      </c>
      <c r="M532">
        <v>1</v>
      </c>
      <c r="N532" s="3">
        <v>7412</v>
      </c>
      <c r="O532" s="3" t="str">
        <f>IF(Table2[[#This Row],[MonthlyIncome]]&lt;=5000, "$1001 - $5000", IF(Table2[[#This Row],[MonthlyIncome]]&lt;=9000, "$5001 - $9000", IF(Table2[[#This Row],[MonthlyIncome]]&lt;=13000, "$9001 - $13000", IF(Table2[[#This Row],[MonthlyIncome]]&lt;=17000, "$13001 - $17000", IF(Table2[[#This Row],[MonthlyIncome]]&lt;=21000, "$17001 - $21000")))))</f>
        <v>$5001 - $9000</v>
      </c>
      <c r="P532">
        <v>1</v>
      </c>
      <c r="Q532">
        <v>3</v>
      </c>
      <c r="R532">
        <v>9</v>
      </c>
      <c r="S5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33" spans="1:19" ht="14.25" x14ac:dyDescent="0.2">
      <c r="A533">
        <v>68175667</v>
      </c>
      <c r="B533">
        <v>32</v>
      </c>
      <c r="C533" t="s">
        <v>20</v>
      </c>
      <c r="D533" t="s">
        <v>19</v>
      </c>
      <c r="E533" t="s">
        <v>22</v>
      </c>
      <c r="F533">
        <f>IF(Table2[[#This Row],[Attrition]]="Yes", 1, 0)</f>
        <v>0</v>
      </c>
      <c r="G533" t="s">
        <v>35</v>
      </c>
      <c r="H533" t="s">
        <v>23</v>
      </c>
      <c r="I533">
        <v>3</v>
      </c>
      <c r="J533">
        <v>2</v>
      </c>
      <c r="K533" t="s">
        <v>18</v>
      </c>
      <c r="L533">
        <v>3</v>
      </c>
      <c r="M533">
        <v>4</v>
      </c>
      <c r="N533" s="3">
        <v>11159</v>
      </c>
      <c r="O533" s="3" t="str">
        <f>IF(Table2[[#This Row],[MonthlyIncome]]&lt;=5000, "$1001 - $5000", IF(Table2[[#This Row],[MonthlyIncome]]&lt;=9000, "$5001 - $9000", IF(Table2[[#This Row],[MonthlyIncome]]&lt;=13000, "$9001 - $13000", IF(Table2[[#This Row],[MonthlyIncome]]&lt;=17000, "$13001 - $17000", IF(Table2[[#This Row],[MonthlyIncome]]&lt;=21000, "$17001 - $21000")))))</f>
        <v>$9001 - $13000</v>
      </c>
      <c r="P533">
        <v>3</v>
      </c>
      <c r="Q533">
        <v>3</v>
      </c>
      <c r="R533">
        <v>7</v>
      </c>
      <c r="S5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34" spans="1:19" ht="14.25" x14ac:dyDescent="0.2">
      <c r="A534">
        <v>63203790</v>
      </c>
      <c r="B534">
        <v>47</v>
      </c>
      <c r="C534" t="s">
        <v>25</v>
      </c>
      <c r="D534" t="s">
        <v>19</v>
      </c>
      <c r="E534" t="s">
        <v>22</v>
      </c>
      <c r="F534">
        <f>IF(Table2[[#This Row],[Attrition]]="Yes", 1, 0)</f>
        <v>0</v>
      </c>
      <c r="G534" t="s">
        <v>21</v>
      </c>
      <c r="H534" t="s">
        <v>17</v>
      </c>
      <c r="I534">
        <v>14</v>
      </c>
      <c r="J534">
        <v>4</v>
      </c>
      <c r="K534" t="s">
        <v>36</v>
      </c>
      <c r="L534">
        <v>4</v>
      </c>
      <c r="M534">
        <v>1</v>
      </c>
      <c r="N534" s="3">
        <v>4960</v>
      </c>
      <c r="O534" s="3" t="str">
        <f>IF(Table2[[#This Row],[MonthlyIncome]]&lt;=5000, "$1001 - $5000", IF(Table2[[#This Row],[MonthlyIncome]]&lt;=9000, "$5001 - $9000", IF(Table2[[#This Row],[MonthlyIncome]]&lt;=13000, "$9001 - $13000", IF(Table2[[#This Row],[MonthlyIncome]]&lt;=17000, "$13001 - $17000", IF(Table2[[#This Row],[MonthlyIncome]]&lt;=21000, "$17001 - $21000")))))</f>
        <v>$1001 - $5000</v>
      </c>
      <c r="P534">
        <v>2</v>
      </c>
      <c r="Q534">
        <v>3</v>
      </c>
      <c r="R534">
        <v>7</v>
      </c>
      <c r="S5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35" spans="1:19" ht="14.25" x14ac:dyDescent="0.2">
      <c r="A535">
        <v>86741670</v>
      </c>
      <c r="B535">
        <v>40</v>
      </c>
      <c r="C535" t="s">
        <v>25</v>
      </c>
      <c r="D535" t="s">
        <v>24</v>
      </c>
      <c r="E535" t="s">
        <v>22</v>
      </c>
      <c r="F535">
        <f>IF(Table2[[#This Row],[Attrition]]="Yes", 1, 0)</f>
        <v>0</v>
      </c>
      <c r="G535" t="s">
        <v>21</v>
      </c>
      <c r="H535" t="s">
        <v>17</v>
      </c>
      <c r="I535">
        <v>5</v>
      </c>
      <c r="J535">
        <v>4</v>
      </c>
      <c r="K535" t="s">
        <v>18</v>
      </c>
      <c r="L535">
        <v>4</v>
      </c>
      <c r="M535">
        <v>1</v>
      </c>
      <c r="N535" s="3">
        <v>10475</v>
      </c>
      <c r="O535" s="3" t="str">
        <f>IF(Table2[[#This Row],[MonthlyIncome]]&lt;=5000, "$1001 - $5000", IF(Table2[[#This Row],[MonthlyIncome]]&lt;=9000, "$5001 - $9000", IF(Table2[[#This Row],[MonthlyIncome]]&lt;=13000, "$9001 - $13000", IF(Table2[[#This Row],[MonthlyIncome]]&lt;=17000, "$13001 - $17000", IF(Table2[[#This Row],[MonthlyIncome]]&lt;=21000, "$17001 - $21000")))))</f>
        <v>$9001 - $13000</v>
      </c>
      <c r="P535">
        <v>5</v>
      </c>
      <c r="Q535">
        <v>3</v>
      </c>
      <c r="R535">
        <v>18</v>
      </c>
      <c r="S5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536" spans="1:19" ht="14.25" x14ac:dyDescent="0.2">
      <c r="A536">
        <v>25320255</v>
      </c>
      <c r="B536">
        <v>53</v>
      </c>
      <c r="C536" t="s">
        <v>25</v>
      </c>
      <c r="D536" t="s">
        <v>24</v>
      </c>
      <c r="E536" t="s">
        <v>22</v>
      </c>
      <c r="F536">
        <f>IF(Table2[[#This Row],[Attrition]]="Yes", 1, 0)</f>
        <v>0</v>
      </c>
      <c r="G536" t="s">
        <v>35</v>
      </c>
      <c r="H536" t="s">
        <v>23</v>
      </c>
      <c r="I536">
        <v>7</v>
      </c>
      <c r="J536">
        <v>3</v>
      </c>
      <c r="K536" t="s">
        <v>18</v>
      </c>
      <c r="L536">
        <v>3</v>
      </c>
      <c r="M536">
        <v>3</v>
      </c>
      <c r="N536" s="3">
        <v>14814</v>
      </c>
      <c r="O536" s="3" t="str">
        <f>IF(Table2[[#This Row],[MonthlyIncome]]&lt;=5000, "$1001 - $5000", IF(Table2[[#This Row],[MonthlyIncome]]&lt;=9000, "$5001 - $9000", IF(Table2[[#This Row],[MonthlyIncome]]&lt;=13000, "$9001 - $13000", IF(Table2[[#This Row],[MonthlyIncome]]&lt;=17000, "$13001 - $17000", IF(Table2[[#This Row],[MonthlyIncome]]&lt;=21000, "$17001 - $21000")))))</f>
        <v>$13001 - $17000</v>
      </c>
      <c r="P536">
        <v>3</v>
      </c>
      <c r="Q536">
        <v>3</v>
      </c>
      <c r="R536">
        <v>5</v>
      </c>
      <c r="S5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37" spans="1:19" ht="14.25" x14ac:dyDescent="0.2">
      <c r="A537">
        <v>54856703</v>
      </c>
      <c r="B537">
        <v>41</v>
      </c>
      <c r="C537" t="s">
        <v>25</v>
      </c>
      <c r="D537" t="s">
        <v>30</v>
      </c>
      <c r="E537" t="s">
        <v>22</v>
      </c>
      <c r="F537">
        <f>IF(Table2[[#This Row],[Attrition]]="Yes", 1, 0)</f>
        <v>0</v>
      </c>
      <c r="G537" t="s">
        <v>33</v>
      </c>
      <c r="H537" t="s">
        <v>38</v>
      </c>
      <c r="I537">
        <v>10</v>
      </c>
      <c r="J537">
        <v>4</v>
      </c>
      <c r="K537" t="s">
        <v>38</v>
      </c>
      <c r="L537">
        <v>2</v>
      </c>
      <c r="M537">
        <v>4</v>
      </c>
      <c r="N537" s="3">
        <v>19141</v>
      </c>
      <c r="O537" s="3" t="str">
        <f>IF(Table2[[#This Row],[MonthlyIncome]]&lt;=5000, "$1001 - $5000", IF(Table2[[#This Row],[MonthlyIncome]]&lt;=9000, "$5001 - $9000", IF(Table2[[#This Row],[MonthlyIncome]]&lt;=13000, "$9001 - $13000", IF(Table2[[#This Row],[MonthlyIncome]]&lt;=17000, "$13001 - $17000", IF(Table2[[#This Row],[MonthlyIncome]]&lt;=21000, "$17001 - $21000")))))</f>
        <v>$17001 - $21000</v>
      </c>
      <c r="P537">
        <v>3</v>
      </c>
      <c r="Q537">
        <v>2</v>
      </c>
      <c r="R537">
        <v>21</v>
      </c>
      <c r="S5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538" spans="1:19" ht="14.25" x14ac:dyDescent="0.2">
      <c r="A538">
        <v>19010365</v>
      </c>
      <c r="B538">
        <v>60</v>
      </c>
      <c r="C538" t="s">
        <v>25</v>
      </c>
      <c r="D538" t="s">
        <v>19</v>
      </c>
      <c r="E538" t="s">
        <v>22</v>
      </c>
      <c r="F538">
        <f>IF(Table2[[#This Row],[Attrition]]="Yes", 1, 0)</f>
        <v>0</v>
      </c>
      <c r="G538" t="s">
        <v>21</v>
      </c>
      <c r="H538" t="s">
        <v>17</v>
      </c>
      <c r="I538">
        <v>16</v>
      </c>
      <c r="J538">
        <v>4</v>
      </c>
      <c r="K538" t="s">
        <v>36</v>
      </c>
      <c r="L538">
        <v>1</v>
      </c>
      <c r="M538">
        <v>1</v>
      </c>
      <c r="N538" s="3">
        <v>5405</v>
      </c>
      <c r="O538" s="3" t="str">
        <f>IF(Table2[[#This Row],[MonthlyIncome]]&lt;=5000, "$1001 - $5000", IF(Table2[[#This Row],[MonthlyIncome]]&lt;=9000, "$5001 - $9000", IF(Table2[[#This Row],[MonthlyIncome]]&lt;=13000, "$9001 - $13000", IF(Table2[[#This Row],[MonthlyIncome]]&lt;=17000, "$13001 - $17000", IF(Table2[[#This Row],[MonthlyIncome]]&lt;=21000, "$17001 - $21000")))))</f>
        <v>$5001 - $9000</v>
      </c>
      <c r="P538">
        <v>8</v>
      </c>
      <c r="Q538">
        <v>3</v>
      </c>
      <c r="R538">
        <v>2</v>
      </c>
      <c r="S5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39" spans="1:19" ht="14.25" x14ac:dyDescent="0.2">
      <c r="A539">
        <v>26193000</v>
      </c>
      <c r="B539">
        <v>27</v>
      </c>
      <c r="C539" t="s">
        <v>25</v>
      </c>
      <c r="D539" t="s">
        <v>30</v>
      </c>
      <c r="E539" t="s">
        <v>22</v>
      </c>
      <c r="F539">
        <f>IF(Table2[[#This Row],[Attrition]]="Yes", 1, 0)</f>
        <v>0</v>
      </c>
      <c r="G539" t="s">
        <v>31</v>
      </c>
      <c r="H539" t="s">
        <v>23</v>
      </c>
      <c r="I539">
        <v>10</v>
      </c>
      <c r="J539">
        <v>2</v>
      </c>
      <c r="K539" t="s">
        <v>18</v>
      </c>
      <c r="L539">
        <v>4</v>
      </c>
      <c r="M539">
        <v>1</v>
      </c>
      <c r="N539" s="3">
        <v>8793</v>
      </c>
      <c r="O539" s="3" t="str">
        <f>IF(Table2[[#This Row],[MonthlyIncome]]&lt;=5000, "$1001 - $5000", IF(Table2[[#This Row],[MonthlyIncome]]&lt;=9000, "$5001 - $9000", IF(Table2[[#This Row],[MonthlyIncome]]&lt;=13000, "$9001 - $13000", IF(Table2[[#This Row],[MonthlyIncome]]&lt;=17000, "$13001 - $17000", IF(Table2[[#This Row],[MonthlyIncome]]&lt;=21000, "$17001 - $21000")))))</f>
        <v>$5001 - $9000</v>
      </c>
      <c r="P539">
        <v>1</v>
      </c>
      <c r="Q539">
        <v>2</v>
      </c>
      <c r="R539">
        <v>9</v>
      </c>
      <c r="S5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40" spans="1:19" ht="14.25" x14ac:dyDescent="0.2">
      <c r="A540">
        <v>53541505</v>
      </c>
      <c r="B540">
        <v>41</v>
      </c>
      <c r="C540" t="s">
        <v>25</v>
      </c>
      <c r="D540" t="s">
        <v>24</v>
      </c>
      <c r="E540" t="s">
        <v>22</v>
      </c>
      <c r="F540">
        <f>IF(Table2[[#This Row],[Attrition]]="Yes", 1, 0)</f>
        <v>0</v>
      </c>
      <c r="G540" t="s">
        <v>33</v>
      </c>
      <c r="H540" t="s">
        <v>38</v>
      </c>
      <c r="I540">
        <v>1</v>
      </c>
      <c r="J540">
        <v>3</v>
      </c>
      <c r="K540" t="s">
        <v>38</v>
      </c>
      <c r="L540">
        <v>4</v>
      </c>
      <c r="M540">
        <v>3</v>
      </c>
      <c r="N540" s="3">
        <v>19189</v>
      </c>
      <c r="O540" s="3" t="str">
        <f>IF(Table2[[#This Row],[MonthlyIncome]]&lt;=5000, "$1001 - $5000", IF(Table2[[#This Row],[MonthlyIncome]]&lt;=9000, "$5001 - $9000", IF(Table2[[#This Row],[MonthlyIncome]]&lt;=13000, "$9001 - $13000", IF(Table2[[#This Row],[MonthlyIncome]]&lt;=17000, "$13001 - $17000", IF(Table2[[#This Row],[MonthlyIncome]]&lt;=21000, "$17001 - $21000")))))</f>
        <v>$17001 - $21000</v>
      </c>
      <c r="P540">
        <v>1</v>
      </c>
      <c r="Q540">
        <v>3</v>
      </c>
      <c r="R540">
        <v>22</v>
      </c>
      <c r="S5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541" spans="1:19" ht="14.25" x14ac:dyDescent="0.2">
      <c r="A541">
        <v>66120413</v>
      </c>
      <c r="B541">
        <v>50</v>
      </c>
      <c r="C541" t="s">
        <v>25</v>
      </c>
      <c r="D541" t="s">
        <v>24</v>
      </c>
      <c r="E541" t="s">
        <v>22</v>
      </c>
      <c r="F541">
        <f>IF(Table2[[#This Row],[Attrition]]="Yes", 1, 0)</f>
        <v>0</v>
      </c>
      <c r="G541" t="s">
        <v>34</v>
      </c>
      <c r="H541" t="s">
        <v>17</v>
      </c>
      <c r="I541">
        <v>8</v>
      </c>
      <c r="J541">
        <v>4</v>
      </c>
      <c r="K541" t="s">
        <v>36</v>
      </c>
      <c r="L541">
        <v>4</v>
      </c>
      <c r="M541">
        <v>2</v>
      </c>
      <c r="N541" s="3">
        <v>3875</v>
      </c>
      <c r="O541" s="3" t="str">
        <f>IF(Table2[[#This Row],[MonthlyIncome]]&lt;=5000, "$1001 - $5000", IF(Table2[[#This Row],[MonthlyIncome]]&lt;=9000, "$5001 - $9000", IF(Table2[[#This Row],[MonthlyIncome]]&lt;=13000, "$9001 - $13000", IF(Table2[[#This Row],[MonthlyIncome]]&lt;=17000, "$13001 - $17000", IF(Table2[[#This Row],[MonthlyIncome]]&lt;=21000, "$17001 - $21000")))))</f>
        <v>$1001 - $5000</v>
      </c>
      <c r="P541">
        <v>7</v>
      </c>
      <c r="Q541">
        <v>3</v>
      </c>
      <c r="R541">
        <v>2</v>
      </c>
      <c r="S5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42" spans="1:19" ht="14.25" x14ac:dyDescent="0.2">
      <c r="A542">
        <v>28287579</v>
      </c>
      <c r="B542">
        <v>28</v>
      </c>
      <c r="C542" t="s">
        <v>20</v>
      </c>
      <c r="D542" t="s">
        <v>19</v>
      </c>
      <c r="E542" t="s">
        <v>16</v>
      </c>
      <c r="F542">
        <f>IF(Table2[[#This Row],[Attrition]]="Yes", 1, 0)</f>
        <v>1</v>
      </c>
      <c r="G542" t="s">
        <v>26</v>
      </c>
      <c r="H542" t="s">
        <v>23</v>
      </c>
      <c r="I542">
        <v>1</v>
      </c>
      <c r="J542">
        <v>2</v>
      </c>
      <c r="K542" t="s">
        <v>18</v>
      </c>
      <c r="L542">
        <v>1</v>
      </c>
      <c r="M542">
        <v>2</v>
      </c>
      <c r="N542" s="3">
        <v>2216</v>
      </c>
      <c r="O542" s="3" t="str">
        <f>IF(Table2[[#This Row],[MonthlyIncome]]&lt;=5000, "$1001 - $5000", IF(Table2[[#This Row],[MonthlyIncome]]&lt;=9000, "$5001 - $9000", IF(Table2[[#This Row],[MonthlyIncome]]&lt;=13000, "$9001 - $13000", IF(Table2[[#This Row],[MonthlyIncome]]&lt;=17000, "$13001 - $17000", IF(Table2[[#This Row],[MonthlyIncome]]&lt;=21000, "$17001 - $21000")))))</f>
        <v>$1001 - $5000</v>
      </c>
      <c r="P542">
        <v>7</v>
      </c>
      <c r="Q542">
        <v>3</v>
      </c>
      <c r="R542">
        <v>7</v>
      </c>
      <c r="S5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43" spans="1:19" ht="14.25" x14ac:dyDescent="0.2">
      <c r="A543">
        <v>16015384</v>
      </c>
      <c r="B543">
        <v>36</v>
      </c>
      <c r="C543" t="s">
        <v>20</v>
      </c>
      <c r="D543" t="s">
        <v>24</v>
      </c>
      <c r="E543" t="s">
        <v>22</v>
      </c>
      <c r="F543">
        <f>IF(Table2[[#This Row],[Attrition]]="Yes", 1, 0)</f>
        <v>0</v>
      </c>
      <c r="G543" t="s">
        <v>35</v>
      </c>
      <c r="H543" t="s">
        <v>23</v>
      </c>
      <c r="I543">
        <v>8</v>
      </c>
      <c r="J543">
        <v>3</v>
      </c>
      <c r="K543" t="s">
        <v>18</v>
      </c>
      <c r="L543">
        <v>1</v>
      </c>
      <c r="M543">
        <v>1</v>
      </c>
      <c r="N543" s="3">
        <v>11713</v>
      </c>
      <c r="O543" s="3" t="str">
        <f>IF(Table2[[#This Row],[MonthlyIncome]]&lt;=5000, "$1001 - $5000", IF(Table2[[#This Row],[MonthlyIncome]]&lt;=9000, "$5001 - $9000", IF(Table2[[#This Row],[MonthlyIncome]]&lt;=13000, "$9001 - $13000", IF(Table2[[#This Row],[MonthlyIncome]]&lt;=17000, "$13001 - $17000", IF(Table2[[#This Row],[MonthlyIncome]]&lt;=21000, "$17001 - $21000")))))</f>
        <v>$9001 - $13000</v>
      </c>
      <c r="P543">
        <v>9</v>
      </c>
      <c r="Q543">
        <v>3</v>
      </c>
      <c r="R543">
        <v>8</v>
      </c>
      <c r="S5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44" spans="1:19" ht="14.25" x14ac:dyDescent="0.2">
      <c r="A544">
        <v>47912594</v>
      </c>
      <c r="B544">
        <v>38</v>
      </c>
      <c r="C544" t="s">
        <v>20</v>
      </c>
      <c r="D544" t="s">
        <v>19</v>
      </c>
      <c r="E544" t="s">
        <v>22</v>
      </c>
      <c r="F544">
        <f>IF(Table2[[#This Row],[Attrition]]="Yes", 1, 0)</f>
        <v>0</v>
      </c>
      <c r="G544" t="s">
        <v>31</v>
      </c>
      <c r="H544" t="s">
        <v>23</v>
      </c>
      <c r="I544">
        <v>1</v>
      </c>
      <c r="J544">
        <v>3</v>
      </c>
      <c r="K544" t="s">
        <v>18</v>
      </c>
      <c r="L544">
        <v>3</v>
      </c>
      <c r="M544">
        <v>3</v>
      </c>
      <c r="N544" s="3">
        <v>7861</v>
      </c>
      <c r="O544" s="3" t="str">
        <f>IF(Table2[[#This Row],[MonthlyIncome]]&lt;=5000, "$1001 - $5000", IF(Table2[[#This Row],[MonthlyIncome]]&lt;=9000, "$5001 - $9000", IF(Table2[[#This Row],[MonthlyIncome]]&lt;=13000, "$9001 - $13000", IF(Table2[[#This Row],[MonthlyIncome]]&lt;=17000, "$13001 - $17000", IF(Table2[[#This Row],[MonthlyIncome]]&lt;=21000, "$17001 - $21000")))))</f>
        <v>$5001 - $9000</v>
      </c>
      <c r="P544">
        <v>4</v>
      </c>
      <c r="Q544">
        <v>4</v>
      </c>
      <c r="R544">
        <v>1</v>
      </c>
      <c r="S5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45" spans="1:19" ht="14.25" x14ac:dyDescent="0.2">
      <c r="A545">
        <v>13722133</v>
      </c>
      <c r="B545">
        <v>44</v>
      </c>
      <c r="C545" t="s">
        <v>25</v>
      </c>
      <c r="D545" t="s">
        <v>19</v>
      </c>
      <c r="E545" t="s">
        <v>22</v>
      </c>
      <c r="F545">
        <f>IF(Table2[[#This Row],[Attrition]]="Yes", 1, 0)</f>
        <v>0</v>
      </c>
      <c r="G545" t="s">
        <v>28</v>
      </c>
      <c r="H545" t="s">
        <v>23</v>
      </c>
      <c r="I545">
        <v>24</v>
      </c>
      <c r="J545">
        <v>3</v>
      </c>
      <c r="K545" t="s">
        <v>29</v>
      </c>
      <c r="L545">
        <v>1</v>
      </c>
      <c r="M545">
        <v>3</v>
      </c>
      <c r="N545" s="3">
        <v>3708</v>
      </c>
      <c r="O545" s="3" t="str">
        <f>IF(Table2[[#This Row],[MonthlyIncome]]&lt;=5000, "$1001 - $5000", IF(Table2[[#This Row],[MonthlyIncome]]&lt;=9000, "$5001 - $9000", IF(Table2[[#This Row],[MonthlyIncome]]&lt;=13000, "$9001 - $13000", IF(Table2[[#This Row],[MonthlyIncome]]&lt;=17000, "$13001 - $17000", IF(Table2[[#This Row],[MonthlyIncome]]&lt;=21000, "$17001 - $21000")))))</f>
        <v>$1001 - $5000</v>
      </c>
      <c r="P545">
        <v>2</v>
      </c>
      <c r="Q545">
        <v>3</v>
      </c>
      <c r="R545">
        <v>5</v>
      </c>
      <c r="S5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46" spans="1:19" ht="14.25" x14ac:dyDescent="0.2">
      <c r="A546">
        <v>13076999</v>
      </c>
      <c r="B546">
        <v>47</v>
      </c>
      <c r="C546" t="s">
        <v>20</v>
      </c>
      <c r="D546" t="s">
        <v>30</v>
      </c>
      <c r="E546" t="s">
        <v>22</v>
      </c>
      <c r="F546">
        <f>IF(Table2[[#This Row],[Attrition]]="Yes", 1, 0)</f>
        <v>0</v>
      </c>
      <c r="G546" t="s">
        <v>21</v>
      </c>
      <c r="H546" t="s">
        <v>17</v>
      </c>
      <c r="I546">
        <v>3</v>
      </c>
      <c r="J546">
        <v>3</v>
      </c>
      <c r="K546" t="s">
        <v>29</v>
      </c>
      <c r="L546">
        <v>4</v>
      </c>
      <c r="M546">
        <v>3</v>
      </c>
      <c r="N546" s="3">
        <v>13770</v>
      </c>
      <c r="O546" s="3" t="str">
        <f>IF(Table2[[#This Row],[MonthlyIncome]]&lt;=5000, "$1001 - $5000", IF(Table2[[#This Row],[MonthlyIncome]]&lt;=9000, "$5001 - $9000", IF(Table2[[#This Row],[MonthlyIncome]]&lt;=13000, "$9001 - $13000", IF(Table2[[#This Row],[MonthlyIncome]]&lt;=17000, "$13001 - $17000", IF(Table2[[#This Row],[MonthlyIncome]]&lt;=21000, "$17001 - $21000")))))</f>
        <v>$13001 - $17000</v>
      </c>
      <c r="P546">
        <v>9</v>
      </c>
      <c r="Q546">
        <v>2</v>
      </c>
      <c r="R546">
        <v>22</v>
      </c>
      <c r="S5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547" spans="1:19" ht="14.25" x14ac:dyDescent="0.2">
      <c r="A547">
        <v>47382729</v>
      </c>
      <c r="B547">
        <v>30</v>
      </c>
      <c r="C547" t="s">
        <v>25</v>
      </c>
      <c r="D547" t="s">
        <v>30</v>
      </c>
      <c r="E547" t="s">
        <v>22</v>
      </c>
      <c r="F547">
        <f>IF(Table2[[#This Row],[Attrition]]="Yes", 1, 0)</f>
        <v>0</v>
      </c>
      <c r="G547" t="s">
        <v>21</v>
      </c>
      <c r="H547" t="s">
        <v>17</v>
      </c>
      <c r="I547">
        <v>27</v>
      </c>
      <c r="J547">
        <v>5</v>
      </c>
      <c r="K547" t="s">
        <v>36</v>
      </c>
      <c r="L547">
        <v>3</v>
      </c>
      <c r="M547">
        <v>4</v>
      </c>
      <c r="N547" s="3">
        <v>5304</v>
      </c>
      <c r="O547" s="3" t="str">
        <f>IF(Table2[[#This Row],[MonthlyIncome]]&lt;=5000, "$1001 - $5000", IF(Table2[[#This Row],[MonthlyIncome]]&lt;=9000, "$5001 - $9000", IF(Table2[[#This Row],[MonthlyIncome]]&lt;=13000, "$9001 - $13000", IF(Table2[[#This Row],[MonthlyIncome]]&lt;=17000, "$13001 - $17000", IF(Table2[[#This Row],[MonthlyIncome]]&lt;=21000, "$17001 - $21000")))))</f>
        <v>$5001 - $9000</v>
      </c>
      <c r="P547">
        <v>7</v>
      </c>
      <c r="Q547">
        <v>2</v>
      </c>
      <c r="R547">
        <v>8</v>
      </c>
      <c r="S5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48" spans="1:19" ht="14.25" x14ac:dyDescent="0.2">
      <c r="A548">
        <v>80633568</v>
      </c>
      <c r="B548">
        <v>29</v>
      </c>
      <c r="C548" t="s">
        <v>25</v>
      </c>
      <c r="D548" t="s">
        <v>19</v>
      </c>
      <c r="E548" t="s">
        <v>22</v>
      </c>
      <c r="F548">
        <f>IF(Table2[[#This Row],[Attrition]]="Yes", 1, 0)</f>
        <v>0</v>
      </c>
      <c r="G548" t="s">
        <v>34</v>
      </c>
      <c r="H548" t="s">
        <v>17</v>
      </c>
      <c r="I548">
        <v>10</v>
      </c>
      <c r="J548">
        <v>3</v>
      </c>
      <c r="K548" t="s">
        <v>18</v>
      </c>
      <c r="L548">
        <v>3</v>
      </c>
      <c r="M548">
        <v>3</v>
      </c>
      <c r="N548" s="3">
        <v>2642</v>
      </c>
      <c r="O548" s="3" t="str">
        <f>IF(Table2[[#This Row],[MonthlyIncome]]&lt;=5000, "$1001 - $5000", IF(Table2[[#This Row],[MonthlyIncome]]&lt;=9000, "$5001 - $9000", IF(Table2[[#This Row],[MonthlyIncome]]&lt;=13000, "$9001 - $13000", IF(Table2[[#This Row],[MonthlyIncome]]&lt;=17000, "$13001 - $17000", IF(Table2[[#This Row],[MonthlyIncome]]&lt;=21000, "$17001 - $21000")))))</f>
        <v>$1001 - $5000</v>
      </c>
      <c r="P548">
        <v>1</v>
      </c>
      <c r="Q548">
        <v>3</v>
      </c>
      <c r="R548">
        <v>1</v>
      </c>
      <c r="S5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49" spans="1:19" ht="14.25" x14ac:dyDescent="0.2">
      <c r="A549">
        <v>74492535</v>
      </c>
      <c r="B549">
        <v>42</v>
      </c>
      <c r="C549" t="s">
        <v>25</v>
      </c>
      <c r="D549" t="s">
        <v>30</v>
      </c>
      <c r="E549" t="s">
        <v>16</v>
      </c>
      <c r="F549">
        <f>IF(Table2[[#This Row],[Attrition]]="Yes", 1, 0)</f>
        <v>1</v>
      </c>
      <c r="G549" t="s">
        <v>26</v>
      </c>
      <c r="H549" t="s">
        <v>23</v>
      </c>
      <c r="I549">
        <v>19</v>
      </c>
      <c r="J549">
        <v>3</v>
      </c>
      <c r="K549" t="s">
        <v>29</v>
      </c>
      <c r="L549">
        <v>3</v>
      </c>
      <c r="M549">
        <v>3</v>
      </c>
      <c r="N549" s="3">
        <v>2759</v>
      </c>
      <c r="O549" s="3" t="str">
        <f>IF(Table2[[#This Row],[MonthlyIncome]]&lt;=5000, "$1001 - $5000", IF(Table2[[#This Row],[MonthlyIncome]]&lt;=9000, "$5001 - $9000", IF(Table2[[#This Row],[MonthlyIncome]]&lt;=13000, "$9001 - $13000", IF(Table2[[#This Row],[MonthlyIncome]]&lt;=17000, "$13001 - $17000", IF(Table2[[#This Row],[MonthlyIncome]]&lt;=21000, "$17001 - $21000")))))</f>
        <v>$1001 - $5000</v>
      </c>
      <c r="P549">
        <v>6</v>
      </c>
      <c r="Q549">
        <v>3</v>
      </c>
      <c r="R549">
        <v>2</v>
      </c>
      <c r="S5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50" spans="1:19" ht="14.25" x14ac:dyDescent="0.2">
      <c r="A550">
        <v>27110536</v>
      </c>
      <c r="B550">
        <v>43</v>
      </c>
      <c r="C550" t="s">
        <v>25</v>
      </c>
      <c r="D550" t="s">
        <v>24</v>
      </c>
      <c r="E550" t="s">
        <v>22</v>
      </c>
      <c r="F550">
        <f>IF(Table2[[#This Row],[Attrition]]="Yes", 1, 0)</f>
        <v>0</v>
      </c>
      <c r="G550" t="s">
        <v>21</v>
      </c>
      <c r="H550" t="s">
        <v>17</v>
      </c>
      <c r="I550">
        <v>15</v>
      </c>
      <c r="J550">
        <v>3</v>
      </c>
      <c r="K550" t="s">
        <v>18</v>
      </c>
      <c r="L550">
        <v>4</v>
      </c>
      <c r="M550">
        <v>4</v>
      </c>
      <c r="N550" s="3">
        <v>6804</v>
      </c>
      <c r="O550" s="3" t="str">
        <f>IF(Table2[[#This Row],[MonthlyIncome]]&lt;=5000, "$1001 - $5000", IF(Table2[[#This Row],[MonthlyIncome]]&lt;=9000, "$5001 - $9000", IF(Table2[[#This Row],[MonthlyIncome]]&lt;=13000, "$9001 - $13000", IF(Table2[[#This Row],[MonthlyIncome]]&lt;=17000, "$13001 - $17000", IF(Table2[[#This Row],[MonthlyIncome]]&lt;=21000, "$17001 - $21000")))))</f>
        <v>$5001 - $9000</v>
      </c>
      <c r="P550">
        <v>3</v>
      </c>
      <c r="Q550">
        <v>3</v>
      </c>
      <c r="R550">
        <v>2</v>
      </c>
      <c r="S5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51" spans="1:19" ht="14.25" x14ac:dyDescent="0.2">
      <c r="A551">
        <v>34199777</v>
      </c>
      <c r="B551">
        <v>34</v>
      </c>
      <c r="C551" t="s">
        <v>20</v>
      </c>
      <c r="D551" t="s">
        <v>19</v>
      </c>
      <c r="E551" t="s">
        <v>22</v>
      </c>
      <c r="F551">
        <f>IF(Table2[[#This Row],[Attrition]]="Yes", 1, 0)</f>
        <v>0</v>
      </c>
      <c r="G551" t="s">
        <v>32</v>
      </c>
      <c r="H551" t="s">
        <v>23</v>
      </c>
      <c r="I551">
        <v>8</v>
      </c>
      <c r="J551">
        <v>2</v>
      </c>
      <c r="K551" t="s">
        <v>29</v>
      </c>
      <c r="L551">
        <v>2</v>
      </c>
      <c r="M551">
        <v>3</v>
      </c>
      <c r="N551" s="3">
        <v>6142</v>
      </c>
      <c r="O551" s="3" t="str">
        <f>IF(Table2[[#This Row],[MonthlyIncome]]&lt;=5000, "$1001 - $5000", IF(Table2[[#This Row],[MonthlyIncome]]&lt;=9000, "$5001 - $9000", IF(Table2[[#This Row],[MonthlyIncome]]&lt;=13000, "$9001 - $13000", IF(Table2[[#This Row],[MonthlyIncome]]&lt;=17000, "$13001 - $17000", IF(Table2[[#This Row],[MonthlyIncome]]&lt;=21000, "$17001 - $21000")))))</f>
        <v>$5001 - $9000</v>
      </c>
      <c r="P551">
        <v>3</v>
      </c>
      <c r="Q551">
        <v>3</v>
      </c>
      <c r="R551">
        <v>5</v>
      </c>
      <c r="S5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52" spans="1:19" ht="14.25" x14ac:dyDescent="0.2">
      <c r="A552">
        <v>72602461</v>
      </c>
      <c r="B552">
        <v>23</v>
      </c>
      <c r="C552" t="s">
        <v>25</v>
      </c>
      <c r="D552" t="s">
        <v>24</v>
      </c>
      <c r="E552" t="s">
        <v>22</v>
      </c>
      <c r="F552">
        <f>IF(Table2[[#This Row],[Attrition]]="Yes", 1, 0)</f>
        <v>0</v>
      </c>
      <c r="G552" t="s">
        <v>28</v>
      </c>
      <c r="H552" t="s">
        <v>23</v>
      </c>
      <c r="I552">
        <v>9</v>
      </c>
      <c r="J552">
        <v>1</v>
      </c>
      <c r="K552" t="s">
        <v>29</v>
      </c>
      <c r="L552">
        <v>2</v>
      </c>
      <c r="M552">
        <v>1</v>
      </c>
      <c r="N552" s="3">
        <v>2500</v>
      </c>
      <c r="O552" s="3" t="str">
        <f>IF(Table2[[#This Row],[MonthlyIncome]]&lt;=5000, "$1001 - $5000", IF(Table2[[#This Row],[MonthlyIncome]]&lt;=9000, "$5001 - $9000", IF(Table2[[#This Row],[MonthlyIncome]]&lt;=13000, "$9001 - $13000", IF(Table2[[#This Row],[MonthlyIncome]]&lt;=17000, "$13001 - $17000", IF(Table2[[#This Row],[MonthlyIncome]]&lt;=21000, "$17001 - $21000")))))</f>
        <v>$1001 - $5000</v>
      </c>
      <c r="P552">
        <v>1</v>
      </c>
      <c r="Q552">
        <v>4</v>
      </c>
      <c r="R552">
        <v>4</v>
      </c>
      <c r="S5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53" spans="1:19" ht="14.25" x14ac:dyDescent="0.2">
      <c r="A553">
        <v>78276738</v>
      </c>
      <c r="B553">
        <v>39</v>
      </c>
      <c r="C553" t="s">
        <v>20</v>
      </c>
      <c r="D553" t="s">
        <v>24</v>
      </c>
      <c r="E553" t="s">
        <v>22</v>
      </c>
      <c r="F553">
        <f>IF(Table2[[#This Row],[Attrition]]="Yes", 1, 0)</f>
        <v>0</v>
      </c>
      <c r="G553" t="s">
        <v>38</v>
      </c>
      <c r="H553" t="s">
        <v>38</v>
      </c>
      <c r="I553">
        <v>3</v>
      </c>
      <c r="J553">
        <v>3</v>
      </c>
      <c r="K553" t="s">
        <v>38</v>
      </c>
      <c r="L553">
        <v>3</v>
      </c>
      <c r="M553">
        <v>2</v>
      </c>
      <c r="N553" s="3">
        <v>6389</v>
      </c>
      <c r="O553" s="3" t="str">
        <f>IF(Table2[[#This Row],[MonthlyIncome]]&lt;=5000, "$1001 - $5000", IF(Table2[[#This Row],[MonthlyIncome]]&lt;=9000, "$5001 - $9000", IF(Table2[[#This Row],[MonthlyIncome]]&lt;=13000, "$9001 - $13000", IF(Table2[[#This Row],[MonthlyIncome]]&lt;=17000, "$13001 - $17000", IF(Table2[[#This Row],[MonthlyIncome]]&lt;=21000, "$17001 - $21000")))))</f>
        <v>$5001 - $9000</v>
      </c>
      <c r="P553">
        <v>9</v>
      </c>
      <c r="Q553">
        <v>1</v>
      </c>
      <c r="R553">
        <v>8</v>
      </c>
      <c r="S5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54" spans="1:19" ht="14.25" x14ac:dyDescent="0.2">
      <c r="A554">
        <v>58855000</v>
      </c>
      <c r="B554">
        <v>56</v>
      </c>
      <c r="C554" t="s">
        <v>25</v>
      </c>
      <c r="D554" t="s">
        <v>24</v>
      </c>
      <c r="E554" t="s">
        <v>22</v>
      </c>
      <c r="F554">
        <f>IF(Table2[[#This Row],[Attrition]]="Yes", 1, 0)</f>
        <v>0</v>
      </c>
      <c r="G554" t="s">
        <v>32</v>
      </c>
      <c r="H554" t="s">
        <v>23</v>
      </c>
      <c r="I554">
        <v>9</v>
      </c>
      <c r="J554">
        <v>3</v>
      </c>
      <c r="K554" t="s">
        <v>29</v>
      </c>
      <c r="L554">
        <v>3</v>
      </c>
      <c r="M554">
        <v>4</v>
      </c>
      <c r="N554" s="3">
        <v>11103</v>
      </c>
      <c r="O554" s="3" t="str">
        <f>IF(Table2[[#This Row],[MonthlyIncome]]&lt;=5000, "$1001 - $5000", IF(Table2[[#This Row],[MonthlyIncome]]&lt;=9000, "$5001 - $9000", IF(Table2[[#This Row],[MonthlyIncome]]&lt;=13000, "$9001 - $13000", IF(Table2[[#This Row],[MonthlyIncome]]&lt;=17000, "$13001 - $17000", IF(Table2[[#This Row],[MonthlyIncome]]&lt;=21000, "$17001 - $21000")))))</f>
        <v>$9001 - $13000</v>
      </c>
      <c r="P554">
        <v>7</v>
      </c>
      <c r="Q554">
        <v>2</v>
      </c>
      <c r="R554">
        <v>10</v>
      </c>
      <c r="S5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555" spans="1:19" ht="14.25" x14ac:dyDescent="0.2">
      <c r="A555">
        <v>23990677</v>
      </c>
      <c r="B555">
        <v>40</v>
      </c>
      <c r="C555" t="s">
        <v>20</v>
      </c>
      <c r="D555" t="s">
        <v>19</v>
      </c>
      <c r="E555" t="s">
        <v>22</v>
      </c>
      <c r="F555">
        <f>IF(Table2[[#This Row],[Attrition]]="Yes", 1, 0)</f>
        <v>0</v>
      </c>
      <c r="G555" t="s">
        <v>26</v>
      </c>
      <c r="H555" t="s">
        <v>23</v>
      </c>
      <c r="I555">
        <v>2</v>
      </c>
      <c r="J555">
        <v>1</v>
      </c>
      <c r="K555" t="s">
        <v>29</v>
      </c>
      <c r="L555">
        <v>4</v>
      </c>
      <c r="M555">
        <v>4</v>
      </c>
      <c r="N555" s="3">
        <v>2342</v>
      </c>
      <c r="O555" s="3" t="str">
        <f>IF(Table2[[#This Row],[MonthlyIncome]]&lt;=5000, "$1001 - $5000", IF(Table2[[#This Row],[MonthlyIncome]]&lt;=9000, "$5001 - $9000", IF(Table2[[#This Row],[MonthlyIncome]]&lt;=13000, "$9001 - $13000", IF(Table2[[#This Row],[MonthlyIncome]]&lt;=17000, "$13001 - $17000", IF(Table2[[#This Row],[MonthlyIncome]]&lt;=21000, "$17001 - $21000")))))</f>
        <v>$1001 - $5000</v>
      </c>
      <c r="P555">
        <v>0</v>
      </c>
      <c r="Q555">
        <v>2</v>
      </c>
      <c r="R555">
        <v>4</v>
      </c>
      <c r="S5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56" spans="1:19" ht="14.25" x14ac:dyDescent="0.2">
      <c r="A556">
        <v>35762337</v>
      </c>
      <c r="B556">
        <v>27</v>
      </c>
      <c r="C556" t="s">
        <v>20</v>
      </c>
      <c r="D556" t="s">
        <v>19</v>
      </c>
      <c r="E556" t="s">
        <v>22</v>
      </c>
      <c r="F556">
        <f>IF(Table2[[#This Row],[Attrition]]="Yes", 1, 0)</f>
        <v>0</v>
      </c>
      <c r="G556" t="s">
        <v>32</v>
      </c>
      <c r="H556" t="s">
        <v>23</v>
      </c>
      <c r="I556">
        <v>7</v>
      </c>
      <c r="J556">
        <v>3</v>
      </c>
      <c r="K556" t="s">
        <v>29</v>
      </c>
      <c r="L556">
        <v>4</v>
      </c>
      <c r="M556">
        <v>1</v>
      </c>
      <c r="N556" s="3">
        <v>6811</v>
      </c>
      <c r="O556" s="3" t="str">
        <f>IF(Table2[[#This Row],[MonthlyIncome]]&lt;=5000, "$1001 - $5000", IF(Table2[[#This Row],[MonthlyIncome]]&lt;=9000, "$5001 - $9000", IF(Table2[[#This Row],[MonthlyIncome]]&lt;=13000, "$9001 - $13000", IF(Table2[[#This Row],[MonthlyIncome]]&lt;=17000, "$13001 - $17000", IF(Table2[[#This Row],[MonthlyIncome]]&lt;=21000, "$17001 - $21000")))))</f>
        <v>$5001 - $9000</v>
      </c>
      <c r="P556">
        <v>8</v>
      </c>
      <c r="Q556">
        <v>1</v>
      </c>
      <c r="R556">
        <v>7</v>
      </c>
      <c r="S5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57" spans="1:19" ht="14.25" x14ac:dyDescent="0.2">
      <c r="A557">
        <v>49446896</v>
      </c>
      <c r="B557">
        <v>29</v>
      </c>
      <c r="C557" t="s">
        <v>25</v>
      </c>
      <c r="D557" t="s">
        <v>30</v>
      </c>
      <c r="E557" t="s">
        <v>22</v>
      </c>
      <c r="F557">
        <f>IF(Table2[[#This Row],[Attrition]]="Yes", 1, 0)</f>
        <v>0</v>
      </c>
      <c r="G557" t="s">
        <v>34</v>
      </c>
      <c r="H557" t="s">
        <v>17</v>
      </c>
      <c r="I557">
        <v>10</v>
      </c>
      <c r="J557">
        <v>3</v>
      </c>
      <c r="K557" t="s">
        <v>36</v>
      </c>
      <c r="L557">
        <v>4</v>
      </c>
      <c r="M557">
        <v>2</v>
      </c>
      <c r="N557" s="3">
        <v>2297</v>
      </c>
      <c r="O557" s="3" t="str">
        <f>IF(Table2[[#This Row],[MonthlyIncome]]&lt;=5000, "$1001 - $5000", IF(Table2[[#This Row],[MonthlyIncome]]&lt;=9000, "$5001 - $9000", IF(Table2[[#This Row],[MonthlyIncome]]&lt;=13000, "$9001 - $13000", IF(Table2[[#This Row],[MonthlyIncome]]&lt;=17000, "$13001 - $17000", IF(Table2[[#This Row],[MonthlyIncome]]&lt;=21000, "$17001 - $21000")))))</f>
        <v>$1001 - $5000</v>
      </c>
      <c r="P557">
        <v>1</v>
      </c>
      <c r="Q557">
        <v>3</v>
      </c>
      <c r="R557">
        <v>2</v>
      </c>
      <c r="S5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58" spans="1:19" ht="14.25" x14ac:dyDescent="0.2">
      <c r="A558">
        <v>82019041</v>
      </c>
      <c r="B558">
        <v>53</v>
      </c>
      <c r="C558" t="s">
        <v>25</v>
      </c>
      <c r="D558" t="s">
        <v>19</v>
      </c>
      <c r="E558" t="s">
        <v>22</v>
      </c>
      <c r="F558">
        <f>IF(Table2[[#This Row],[Attrition]]="Yes", 1, 0)</f>
        <v>0</v>
      </c>
      <c r="G558" t="s">
        <v>28</v>
      </c>
      <c r="H558" t="s">
        <v>23</v>
      </c>
      <c r="I558">
        <v>6</v>
      </c>
      <c r="J558">
        <v>3</v>
      </c>
      <c r="K558" t="s">
        <v>18</v>
      </c>
      <c r="L558">
        <v>4</v>
      </c>
      <c r="M558">
        <v>4</v>
      </c>
      <c r="N558" s="3">
        <v>2450</v>
      </c>
      <c r="O558" s="3" t="str">
        <f>IF(Table2[[#This Row],[MonthlyIncome]]&lt;=5000, "$1001 - $5000", IF(Table2[[#This Row],[MonthlyIncome]]&lt;=9000, "$5001 - $9000", IF(Table2[[#This Row],[MonthlyIncome]]&lt;=13000, "$9001 - $13000", IF(Table2[[#This Row],[MonthlyIncome]]&lt;=17000, "$13001 - $17000", IF(Table2[[#This Row],[MonthlyIncome]]&lt;=21000, "$17001 - $21000")))))</f>
        <v>$1001 - $5000</v>
      </c>
      <c r="P558">
        <v>2</v>
      </c>
      <c r="Q558">
        <v>3</v>
      </c>
      <c r="R558">
        <v>2</v>
      </c>
      <c r="S5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59" spans="1:19" ht="14.25" x14ac:dyDescent="0.2">
      <c r="A559">
        <v>55573032</v>
      </c>
      <c r="B559">
        <v>35</v>
      </c>
      <c r="C559" t="s">
        <v>20</v>
      </c>
      <c r="D559" t="s">
        <v>30</v>
      </c>
      <c r="E559" t="s">
        <v>22</v>
      </c>
      <c r="F559">
        <f>IF(Table2[[#This Row],[Attrition]]="Yes", 1, 0)</f>
        <v>0</v>
      </c>
      <c r="G559" t="s">
        <v>32</v>
      </c>
      <c r="H559" t="s">
        <v>23</v>
      </c>
      <c r="I559">
        <v>2</v>
      </c>
      <c r="J559">
        <v>4</v>
      </c>
      <c r="K559" t="s">
        <v>18</v>
      </c>
      <c r="L559">
        <v>4</v>
      </c>
      <c r="M559">
        <v>1</v>
      </c>
      <c r="N559" s="3">
        <v>5093</v>
      </c>
      <c r="O559" s="3" t="str">
        <f>IF(Table2[[#This Row],[MonthlyIncome]]&lt;=5000, "$1001 - $5000", IF(Table2[[#This Row],[MonthlyIncome]]&lt;=9000, "$5001 - $9000", IF(Table2[[#This Row],[MonthlyIncome]]&lt;=13000, "$9001 - $13000", IF(Table2[[#This Row],[MonthlyIncome]]&lt;=17000, "$13001 - $17000", IF(Table2[[#This Row],[MonthlyIncome]]&lt;=21000, "$17001 - $21000")))))</f>
        <v>$5001 - $9000</v>
      </c>
      <c r="P559">
        <v>2</v>
      </c>
      <c r="Q559">
        <v>4</v>
      </c>
      <c r="R559">
        <v>1</v>
      </c>
      <c r="S5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60" spans="1:19" ht="14.25" x14ac:dyDescent="0.2">
      <c r="A560">
        <v>57964469</v>
      </c>
      <c r="B560">
        <v>32</v>
      </c>
      <c r="C560" t="s">
        <v>25</v>
      </c>
      <c r="D560" t="s">
        <v>24</v>
      </c>
      <c r="E560" t="s">
        <v>22</v>
      </c>
      <c r="F560">
        <f>IF(Table2[[#This Row],[Attrition]]="Yes", 1, 0)</f>
        <v>0</v>
      </c>
      <c r="G560" t="s">
        <v>28</v>
      </c>
      <c r="H560" t="s">
        <v>23</v>
      </c>
      <c r="I560">
        <v>24</v>
      </c>
      <c r="J560">
        <v>4</v>
      </c>
      <c r="K560" t="s">
        <v>18</v>
      </c>
      <c r="L560">
        <v>1</v>
      </c>
      <c r="M560">
        <v>4</v>
      </c>
      <c r="N560" s="3">
        <v>5309</v>
      </c>
      <c r="O560" s="3" t="str">
        <f>IF(Table2[[#This Row],[MonthlyIncome]]&lt;=5000, "$1001 - $5000", IF(Table2[[#This Row],[MonthlyIncome]]&lt;=9000, "$5001 - $9000", IF(Table2[[#This Row],[MonthlyIncome]]&lt;=13000, "$9001 - $13000", IF(Table2[[#This Row],[MonthlyIncome]]&lt;=17000, "$13001 - $17000", IF(Table2[[#This Row],[MonthlyIncome]]&lt;=21000, "$17001 - $21000")))))</f>
        <v>$5001 - $9000</v>
      </c>
      <c r="P560">
        <v>1</v>
      </c>
      <c r="Q560">
        <v>3</v>
      </c>
      <c r="R560">
        <v>10</v>
      </c>
      <c r="S5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561" spans="1:19" ht="14.25" x14ac:dyDescent="0.2">
      <c r="A561">
        <v>45749396</v>
      </c>
      <c r="B561">
        <v>38</v>
      </c>
      <c r="C561" t="s">
        <v>25</v>
      </c>
      <c r="D561" t="s">
        <v>24</v>
      </c>
      <c r="E561" t="s">
        <v>22</v>
      </c>
      <c r="F561">
        <f>IF(Table2[[#This Row],[Attrition]]="Yes", 1, 0)</f>
        <v>0</v>
      </c>
      <c r="G561" t="s">
        <v>26</v>
      </c>
      <c r="H561" t="s">
        <v>23</v>
      </c>
      <c r="I561">
        <v>2</v>
      </c>
      <c r="J561">
        <v>5</v>
      </c>
      <c r="K561" t="s">
        <v>29</v>
      </c>
      <c r="L561">
        <v>4</v>
      </c>
      <c r="M561">
        <v>3</v>
      </c>
      <c r="N561" s="3">
        <v>3057</v>
      </c>
      <c r="O561" s="3" t="str">
        <f>IF(Table2[[#This Row],[MonthlyIncome]]&lt;=5000, "$1001 - $5000", IF(Table2[[#This Row],[MonthlyIncome]]&lt;=9000, "$5001 - $9000", IF(Table2[[#This Row],[MonthlyIncome]]&lt;=13000, "$9001 - $13000", IF(Table2[[#This Row],[MonthlyIncome]]&lt;=17000, "$13001 - $17000", IF(Table2[[#This Row],[MonthlyIncome]]&lt;=21000, "$17001 - $21000")))))</f>
        <v>$1001 - $5000</v>
      </c>
      <c r="P561">
        <v>6</v>
      </c>
      <c r="Q561">
        <v>1</v>
      </c>
      <c r="R561">
        <v>1</v>
      </c>
      <c r="S5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62" spans="1:19" ht="14.25" x14ac:dyDescent="0.2">
      <c r="A562">
        <v>13013468</v>
      </c>
      <c r="B562">
        <v>34</v>
      </c>
      <c r="C562" t="s">
        <v>20</v>
      </c>
      <c r="D562" t="s">
        <v>30</v>
      </c>
      <c r="E562" t="s">
        <v>22</v>
      </c>
      <c r="F562">
        <f>IF(Table2[[#This Row],[Attrition]]="Yes", 1, 0)</f>
        <v>0</v>
      </c>
      <c r="G562" t="s">
        <v>31</v>
      </c>
      <c r="H562" t="s">
        <v>23</v>
      </c>
      <c r="I562">
        <v>8</v>
      </c>
      <c r="J562">
        <v>5</v>
      </c>
      <c r="K562" t="s">
        <v>18</v>
      </c>
      <c r="L562">
        <v>2</v>
      </c>
      <c r="M562">
        <v>1</v>
      </c>
      <c r="N562" s="3">
        <v>5121</v>
      </c>
      <c r="O562" s="3" t="str">
        <f>IF(Table2[[#This Row],[MonthlyIncome]]&lt;=5000, "$1001 - $5000", IF(Table2[[#This Row],[MonthlyIncome]]&lt;=9000, "$5001 - $9000", IF(Table2[[#This Row],[MonthlyIncome]]&lt;=13000, "$9001 - $13000", IF(Table2[[#This Row],[MonthlyIncome]]&lt;=17000, "$13001 - $17000", IF(Table2[[#This Row],[MonthlyIncome]]&lt;=21000, "$17001 - $21000")))))</f>
        <v>$5001 - $9000</v>
      </c>
      <c r="P562">
        <v>3</v>
      </c>
      <c r="Q562">
        <v>3</v>
      </c>
      <c r="R562">
        <v>0</v>
      </c>
      <c r="S5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63" spans="1:19" ht="14.25" x14ac:dyDescent="0.2">
      <c r="A563">
        <v>32557864</v>
      </c>
      <c r="B563">
        <v>52</v>
      </c>
      <c r="C563" t="s">
        <v>25</v>
      </c>
      <c r="D563" t="s">
        <v>24</v>
      </c>
      <c r="E563" t="s">
        <v>22</v>
      </c>
      <c r="F563">
        <f>IF(Table2[[#This Row],[Attrition]]="Yes", 1, 0)</f>
        <v>0</v>
      </c>
      <c r="G563" t="s">
        <v>33</v>
      </c>
      <c r="H563" t="s">
        <v>17</v>
      </c>
      <c r="I563">
        <v>3</v>
      </c>
      <c r="J563">
        <v>4</v>
      </c>
      <c r="K563" t="s">
        <v>36</v>
      </c>
      <c r="L563">
        <v>3</v>
      </c>
      <c r="M563">
        <v>1</v>
      </c>
      <c r="N563" s="3">
        <v>16856</v>
      </c>
      <c r="O563" s="3" t="str">
        <f>IF(Table2[[#This Row],[MonthlyIncome]]&lt;=5000, "$1001 - $5000", IF(Table2[[#This Row],[MonthlyIncome]]&lt;=9000, "$5001 - $9000", IF(Table2[[#This Row],[MonthlyIncome]]&lt;=13000, "$9001 - $13000", IF(Table2[[#This Row],[MonthlyIncome]]&lt;=17000, "$13001 - $17000", IF(Table2[[#This Row],[MonthlyIncome]]&lt;=21000, "$17001 - $21000")))))</f>
        <v>$13001 - $17000</v>
      </c>
      <c r="P563">
        <v>1</v>
      </c>
      <c r="Q563">
        <v>4</v>
      </c>
      <c r="R563">
        <v>34</v>
      </c>
      <c r="S5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30 - 35 Years</v>
      </c>
    </row>
    <row r="564" spans="1:19" ht="14.25" x14ac:dyDescent="0.2">
      <c r="A564">
        <v>80055759</v>
      </c>
      <c r="B564">
        <v>33</v>
      </c>
      <c r="C564" t="s">
        <v>25</v>
      </c>
      <c r="D564" t="s">
        <v>19</v>
      </c>
      <c r="E564" t="s">
        <v>16</v>
      </c>
      <c r="F564">
        <f>IF(Table2[[#This Row],[Attrition]]="Yes", 1, 0)</f>
        <v>1</v>
      </c>
      <c r="G564" t="s">
        <v>26</v>
      </c>
      <c r="H564" t="s">
        <v>23</v>
      </c>
      <c r="I564">
        <v>1</v>
      </c>
      <c r="J564">
        <v>4</v>
      </c>
      <c r="K564" t="s">
        <v>27</v>
      </c>
      <c r="L564">
        <v>4</v>
      </c>
      <c r="M564">
        <v>4</v>
      </c>
      <c r="N564" s="3">
        <v>2686</v>
      </c>
      <c r="O564" s="3" t="str">
        <f>IF(Table2[[#This Row],[MonthlyIncome]]&lt;=5000, "$1001 - $5000", IF(Table2[[#This Row],[MonthlyIncome]]&lt;=9000, "$5001 - $9000", IF(Table2[[#This Row],[MonthlyIncome]]&lt;=13000, "$9001 - $13000", IF(Table2[[#This Row],[MonthlyIncome]]&lt;=17000, "$13001 - $17000", IF(Table2[[#This Row],[MonthlyIncome]]&lt;=21000, "$17001 - $21000")))))</f>
        <v>$1001 - $5000</v>
      </c>
      <c r="P564">
        <v>1</v>
      </c>
      <c r="Q564">
        <v>2</v>
      </c>
      <c r="R564">
        <v>10</v>
      </c>
      <c r="S5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565" spans="1:19" ht="14.25" x14ac:dyDescent="0.2">
      <c r="A565">
        <v>33596479</v>
      </c>
      <c r="B565">
        <v>25</v>
      </c>
      <c r="C565" t="s">
        <v>20</v>
      </c>
      <c r="D565" t="s">
        <v>19</v>
      </c>
      <c r="E565" t="s">
        <v>22</v>
      </c>
      <c r="F565">
        <f>IF(Table2[[#This Row],[Attrition]]="Yes", 1, 0)</f>
        <v>0</v>
      </c>
      <c r="G565" t="s">
        <v>21</v>
      </c>
      <c r="H565" t="s">
        <v>17</v>
      </c>
      <c r="I565">
        <v>26</v>
      </c>
      <c r="J565">
        <v>1</v>
      </c>
      <c r="K565" t="s">
        <v>29</v>
      </c>
      <c r="L565">
        <v>3</v>
      </c>
      <c r="M565">
        <v>4</v>
      </c>
      <c r="N565" s="3">
        <v>6180</v>
      </c>
      <c r="O565" s="3" t="str">
        <f>IF(Table2[[#This Row],[MonthlyIncome]]&lt;=5000, "$1001 - $5000", IF(Table2[[#This Row],[MonthlyIncome]]&lt;=9000, "$5001 - $9000", IF(Table2[[#This Row],[MonthlyIncome]]&lt;=13000, "$9001 - $13000", IF(Table2[[#This Row],[MonthlyIncome]]&lt;=17000, "$13001 - $17000", IF(Table2[[#This Row],[MonthlyIncome]]&lt;=21000, "$17001 - $21000")))))</f>
        <v>$5001 - $9000</v>
      </c>
      <c r="P565">
        <v>1</v>
      </c>
      <c r="Q565">
        <v>2</v>
      </c>
      <c r="R565">
        <v>6</v>
      </c>
      <c r="S5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66" spans="1:19" ht="14.25" x14ac:dyDescent="0.2">
      <c r="A566">
        <v>13032272</v>
      </c>
      <c r="B566">
        <v>45</v>
      </c>
      <c r="C566" t="s">
        <v>25</v>
      </c>
      <c r="D566" t="s">
        <v>19</v>
      </c>
      <c r="E566" t="s">
        <v>22</v>
      </c>
      <c r="F566">
        <f>IF(Table2[[#This Row],[Attrition]]="Yes", 1, 0)</f>
        <v>0</v>
      </c>
      <c r="G566" t="s">
        <v>34</v>
      </c>
      <c r="H566" t="s">
        <v>17</v>
      </c>
      <c r="I566">
        <v>2</v>
      </c>
      <c r="J566">
        <v>2</v>
      </c>
      <c r="K566" t="s">
        <v>37</v>
      </c>
      <c r="L566">
        <v>2</v>
      </c>
      <c r="M566">
        <v>3</v>
      </c>
      <c r="N566" s="3">
        <v>6632</v>
      </c>
      <c r="O566" s="3" t="str">
        <f>IF(Table2[[#This Row],[MonthlyIncome]]&lt;=5000, "$1001 - $5000", IF(Table2[[#This Row],[MonthlyIncome]]&lt;=9000, "$5001 - $9000", IF(Table2[[#This Row],[MonthlyIncome]]&lt;=13000, "$9001 - $13000", IF(Table2[[#This Row],[MonthlyIncome]]&lt;=17000, "$13001 - $17000", IF(Table2[[#This Row],[MonthlyIncome]]&lt;=21000, "$17001 - $21000")))))</f>
        <v>$5001 - $9000</v>
      </c>
      <c r="P566">
        <v>0</v>
      </c>
      <c r="Q566">
        <v>3</v>
      </c>
      <c r="R566">
        <v>8</v>
      </c>
      <c r="S5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67" spans="1:19" ht="14.25" x14ac:dyDescent="0.2">
      <c r="A567">
        <v>67540916</v>
      </c>
      <c r="B567">
        <v>23</v>
      </c>
      <c r="C567" t="s">
        <v>25</v>
      </c>
      <c r="D567" t="s">
        <v>19</v>
      </c>
      <c r="E567" t="s">
        <v>22</v>
      </c>
      <c r="F567">
        <f>IF(Table2[[#This Row],[Attrition]]="Yes", 1, 0)</f>
        <v>0</v>
      </c>
      <c r="G567" t="s">
        <v>26</v>
      </c>
      <c r="H567" t="s">
        <v>23</v>
      </c>
      <c r="I567">
        <v>10</v>
      </c>
      <c r="J567">
        <v>1</v>
      </c>
      <c r="K567" t="s">
        <v>29</v>
      </c>
      <c r="L567">
        <v>1</v>
      </c>
      <c r="M567">
        <v>3</v>
      </c>
      <c r="N567" s="3">
        <v>3505</v>
      </c>
      <c r="O567" s="3" t="str">
        <f>IF(Table2[[#This Row],[MonthlyIncome]]&lt;=5000, "$1001 - $5000", IF(Table2[[#This Row],[MonthlyIncome]]&lt;=9000, "$5001 - $9000", IF(Table2[[#This Row],[MonthlyIncome]]&lt;=13000, "$9001 - $13000", IF(Table2[[#This Row],[MonthlyIncome]]&lt;=17000, "$13001 - $17000", IF(Table2[[#This Row],[MonthlyIncome]]&lt;=21000, "$17001 - $21000")))))</f>
        <v>$1001 - $5000</v>
      </c>
      <c r="P567">
        <v>1</v>
      </c>
      <c r="Q567">
        <v>3</v>
      </c>
      <c r="R567">
        <v>2</v>
      </c>
      <c r="S5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68" spans="1:19" ht="14.25" x14ac:dyDescent="0.2">
      <c r="A568">
        <v>71508586</v>
      </c>
      <c r="B568">
        <v>47</v>
      </c>
      <c r="C568" t="s">
        <v>20</v>
      </c>
      <c r="D568" t="s">
        <v>19</v>
      </c>
      <c r="E568" t="s">
        <v>16</v>
      </c>
      <c r="F568">
        <f>IF(Table2[[#This Row],[Attrition]]="Yes", 1, 0)</f>
        <v>1</v>
      </c>
      <c r="G568" t="s">
        <v>21</v>
      </c>
      <c r="H568" t="s">
        <v>17</v>
      </c>
      <c r="I568">
        <v>27</v>
      </c>
      <c r="J568">
        <v>2</v>
      </c>
      <c r="K568" t="s">
        <v>18</v>
      </c>
      <c r="L568">
        <v>2</v>
      </c>
      <c r="M568">
        <v>3</v>
      </c>
      <c r="N568" s="3">
        <v>6397</v>
      </c>
      <c r="O568" s="3" t="str">
        <f>IF(Table2[[#This Row],[MonthlyIncome]]&lt;=5000, "$1001 - $5000", IF(Table2[[#This Row],[MonthlyIncome]]&lt;=9000, "$5001 - $9000", IF(Table2[[#This Row],[MonthlyIncome]]&lt;=13000, "$9001 - $13000", IF(Table2[[#This Row],[MonthlyIncome]]&lt;=17000, "$13001 - $17000", IF(Table2[[#This Row],[MonthlyIncome]]&lt;=21000, "$17001 - $21000")))))</f>
        <v>$5001 - $9000</v>
      </c>
      <c r="P568">
        <v>4</v>
      </c>
      <c r="Q568">
        <v>3</v>
      </c>
      <c r="R568">
        <v>5</v>
      </c>
      <c r="S5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69" spans="1:19" ht="14.25" x14ac:dyDescent="0.2">
      <c r="A569">
        <v>13008757</v>
      </c>
      <c r="B569">
        <v>34</v>
      </c>
      <c r="C569" t="s">
        <v>25</v>
      </c>
      <c r="D569" t="s">
        <v>19</v>
      </c>
      <c r="E569" t="s">
        <v>22</v>
      </c>
      <c r="F569">
        <f>IF(Table2[[#This Row],[Attrition]]="Yes", 1, 0)</f>
        <v>0</v>
      </c>
      <c r="G569" t="s">
        <v>21</v>
      </c>
      <c r="H569" t="s">
        <v>17</v>
      </c>
      <c r="I569">
        <v>2</v>
      </c>
      <c r="J569">
        <v>3</v>
      </c>
      <c r="K569" t="s">
        <v>27</v>
      </c>
      <c r="L569">
        <v>4</v>
      </c>
      <c r="M569">
        <v>4</v>
      </c>
      <c r="N569" s="3">
        <v>6274</v>
      </c>
      <c r="O569" s="3" t="str">
        <f>IF(Table2[[#This Row],[MonthlyIncome]]&lt;=5000, "$1001 - $5000", IF(Table2[[#This Row],[MonthlyIncome]]&lt;=9000, "$5001 - $9000", IF(Table2[[#This Row],[MonthlyIncome]]&lt;=13000, "$9001 - $13000", IF(Table2[[#This Row],[MonthlyIncome]]&lt;=17000, "$13001 - $17000", IF(Table2[[#This Row],[MonthlyIncome]]&lt;=21000, "$17001 - $21000")))))</f>
        <v>$5001 - $9000</v>
      </c>
      <c r="P569">
        <v>1</v>
      </c>
      <c r="Q569">
        <v>3</v>
      </c>
      <c r="R569">
        <v>6</v>
      </c>
      <c r="S5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70" spans="1:19" ht="14.25" x14ac:dyDescent="0.2">
      <c r="A570">
        <v>84126147</v>
      </c>
      <c r="B570">
        <v>55</v>
      </c>
      <c r="C570" t="s">
        <v>25</v>
      </c>
      <c r="D570" t="s">
        <v>24</v>
      </c>
      <c r="E570" t="s">
        <v>16</v>
      </c>
      <c r="F570">
        <f>IF(Table2[[#This Row],[Attrition]]="Yes", 1, 0)</f>
        <v>1</v>
      </c>
      <c r="G570" t="s">
        <v>33</v>
      </c>
      <c r="H570" t="s">
        <v>23</v>
      </c>
      <c r="I570">
        <v>2</v>
      </c>
      <c r="J570">
        <v>3</v>
      </c>
      <c r="K570" t="s">
        <v>29</v>
      </c>
      <c r="L570">
        <v>4</v>
      </c>
      <c r="M570">
        <v>1</v>
      </c>
      <c r="N570" s="3">
        <v>19859</v>
      </c>
      <c r="O570" s="3" t="str">
        <f>IF(Table2[[#This Row],[MonthlyIncome]]&lt;=5000, "$1001 - $5000", IF(Table2[[#This Row],[MonthlyIncome]]&lt;=9000, "$5001 - $9000", IF(Table2[[#This Row],[MonthlyIncome]]&lt;=13000, "$9001 - $13000", IF(Table2[[#This Row],[MonthlyIncome]]&lt;=17000, "$13001 - $17000", IF(Table2[[#This Row],[MonthlyIncome]]&lt;=21000, "$17001 - $21000")))))</f>
        <v>$17001 - $21000</v>
      </c>
      <c r="P570">
        <v>5</v>
      </c>
      <c r="Q570">
        <v>3</v>
      </c>
      <c r="R570">
        <v>5</v>
      </c>
      <c r="S5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71" spans="1:19" ht="14.25" x14ac:dyDescent="0.2">
      <c r="A571">
        <v>72265301</v>
      </c>
      <c r="B571">
        <v>36</v>
      </c>
      <c r="C571" t="s">
        <v>25</v>
      </c>
      <c r="D571" t="s">
        <v>19</v>
      </c>
      <c r="E571" t="s">
        <v>22</v>
      </c>
      <c r="F571">
        <f>IF(Table2[[#This Row],[Attrition]]="Yes", 1, 0)</f>
        <v>0</v>
      </c>
      <c r="G571" t="s">
        <v>21</v>
      </c>
      <c r="H571" t="s">
        <v>17</v>
      </c>
      <c r="I571">
        <v>8</v>
      </c>
      <c r="J571">
        <v>4</v>
      </c>
      <c r="K571" t="s">
        <v>18</v>
      </c>
      <c r="L571">
        <v>1</v>
      </c>
      <c r="M571">
        <v>1</v>
      </c>
      <c r="N571" s="3">
        <v>7587</v>
      </c>
      <c r="O571" s="3" t="str">
        <f>IF(Table2[[#This Row],[MonthlyIncome]]&lt;=5000, "$1001 - $5000", IF(Table2[[#This Row],[MonthlyIncome]]&lt;=9000, "$5001 - $9000", IF(Table2[[#This Row],[MonthlyIncome]]&lt;=13000, "$9001 - $13000", IF(Table2[[#This Row],[MonthlyIncome]]&lt;=17000, "$13001 - $17000", IF(Table2[[#This Row],[MonthlyIncome]]&lt;=21000, "$17001 - $21000")))))</f>
        <v>$5001 - $9000</v>
      </c>
      <c r="P571">
        <v>1</v>
      </c>
      <c r="Q571">
        <v>3</v>
      </c>
      <c r="R571">
        <v>10</v>
      </c>
      <c r="S5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572" spans="1:19" ht="14.25" x14ac:dyDescent="0.2">
      <c r="A572">
        <v>54643558</v>
      </c>
      <c r="B572">
        <v>52</v>
      </c>
      <c r="C572" t="s">
        <v>25</v>
      </c>
      <c r="D572" t="s">
        <v>24</v>
      </c>
      <c r="E572" t="s">
        <v>22</v>
      </c>
      <c r="F572">
        <f>IF(Table2[[#This Row],[Attrition]]="Yes", 1, 0)</f>
        <v>0</v>
      </c>
      <c r="G572" t="s">
        <v>26</v>
      </c>
      <c r="H572" t="s">
        <v>23</v>
      </c>
      <c r="I572">
        <v>19</v>
      </c>
      <c r="J572">
        <v>4</v>
      </c>
      <c r="K572" t="s">
        <v>29</v>
      </c>
      <c r="L572">
        <v>4</v>
      </c>
      <c r="M572">
        <v>4</v>
      </c>
      <c r="N572" s="3">
        <v>4258</v>
      </c>
      <c r="O572" s="3" t="str">
        <f>IF(Table2[[#This Row],[MonthlyIncome]]&lt;=5000, "$1001 - $5000", IF(Table2[[#This Row],[MonthlyIncome]]&lt;=9000, "$5001 - $9000", IF(Table2[[#This Row],[MonthlyIncome]]&lt;=13000, "$9001 - $13000", IF(Table2[[#This Row],[MonthlyIncome]]&lt;=17000, "$13001 - $17000", IF(Table2[[#This Row],[MonthlyIncome]]&lt;=21000, "$17001 - $21000")))))</f>
        <v>$1001 - $5000</v>
      </c>
      <c r="P572">
        <v>0</v>
      </c>
      <c r="Q572">
        <v>3</v>
      </c>
      <c r="R572">
        <v>4</v>
      </c>
      <c r="S5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73" spans="1:19" ht="14.25" x14ac:dyDescent="0.2">
      <c r="A573">
        <v>78014962</v>
      </c>
      <c r="B573">
        <v>26</v>
      </c>
      <c r="C573" t="s">
        <v>20</v>
      </c>
      <c r="D573" t="s">
        <v>30</v>
      </c>
      <c r="E573" t="s">
        <v>22</v>
      </c>
      <c r="F573">
        <f>IF(Table2[[#This Row],[Attrition]]="Yes", 1, 0)</f>
        <v>0</v>
      </c>
      <c r="G573" t="s">
        <v>28</v>
      </c>
      <c r="H573" t="s">
        <v>23</v>
      </c>
      <c r="I573">
        <v>1</v>
      </c>
      <c r="J573">
        <v>2</v>
      </c>
      <c r="K573" t="s">
        <v>18</v>
      </c>
      <c r="L573">
        <v>1</v>
      </c>
      <c r="M573">
        <v>4</v>
      </c>
      <c r="N573" s="3">
        <v>4364</v>
      </c>
      <c r="O573" s="3" t="str">
        <f>IF(Table2[[#This Row],[MonthlyIncome]]&lt;=5000, "$1001 - $5000", IF(Table2[[#This Row],[MonthlyIncome]]&lt;=9000, "$5001 - $9000", IF(Table2[[#This Row],[MonthlyIncome]]&lt;=13000, "$9001 - $13000", IF(Table2[[#This Row],[MonthlyIncome]]&lt;=17000, "$13001 - $17000", IF(Table2[[#This Row],[MonthlyIncome]]&lt;=21000, "$17001 - $21000")))))</f>
        <v>$1001 - $5000</v>
      </c>
      <c r="P573">
        <v>3</v>
      </c>
      <c r="Q573">
        <v>3</v>
      </c>
      <c r="R573">
        <v>2</v>
      </c>
      <c r="S5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74" spans="1:19" ht="14.25" x14ac:dyDescent="0.2">
      <c r="A574">
        <v>74198225</v>
      </c>
      <c r="B574">
        <v>29</v>
      </c>
      <c r="C574" t="s">
        <v>20</v>
      </c>
      <c r="D574" t="s">
        <v>24</v>
      </c>
      <c r="E574" t="s">
        <v>22</v>
      </c>
      <c r="F574">
        <f>IF(Table2[[#This Row],[Attrition]]="Yes", 1, 0)</f>
        <v>0</v>
      </c>
      <c r="G574" t="s">
        <v>32</v>
      </c>
      <c r="H574" t="s">
        <v>23</v>
      </c>
      <c r="I574">
        <v>27</v>
      </c>
      <c r="J574">
        <v>3</v>
      </c>
      <c r="K574" t="s">
        <v>29</v>
      </c>
      <c r="L574">
        <v>2</v>
      </c>
      <c r="M574">
        <v>3</v>
      </c>
      <c r="N574" s="3">
        <v>4335</v>
      </c>
      <c r="O574" s="3" t="str">
        <f>IF(Table2[[#This Row],[MonthlyIncome]]&lt;=5000, "$1001 - $5000", IF(Table2[[#This Row],[MonthlyIncome]]&lt;=9000, "$5001 - $9000", IF(Table2[[#This Row],[MonthlyIncome]]&lt;=13000, "$9001 - $13000", IF(Table2[[#This Row],[MonthlyIncome]]&lt;=17000, "$13001 - $17000", IF(Table2[[#This Row],[MonthlyIncome]]&lt;=21000, "$17001 - $21000")))))</f>
        <v>$1001 - $5000</v>
      </c>
      <c r="P574">
        <v>4</v>
      </c>
      <c r="Q574">
        <v>2</v>
      </c>
      <c r="R574">
        <v>8</v>
      </c>
      <c r="S5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75" spans="1:19" ht="14.25" x14ac:dyDescent="0.2">
      <c r="A575">
        <v>12782096</v>
      </c>
      <c r="B575">
        <v>26</v>
      </c>
      <c r="C575" t="s">
        <v>25</v>
      </c>
      <c r="D575" t="s">
        <v>19</v>
      </c>
      <c r="E575" t="s">
        <v>16</v>
      </c>
      <c r="F575">
        <f>IF(Table2[[#This Row],[Attrition]]="Yes", 1, 0)</f>
        <v>1</v>
      </c>
      <c r="G575" t="s">
        <v>21</v>
      </c>
      <c r="H575" t="s">
        <v>17</v>
      </c>
      <c r="I575">
        <v>8</v>
      </c>
      <c r="J575">
        <v>3</v>
      </c>
      <c r="K575" t="s">
        <v>37</v>
      </c>
      <c r="L575">
        <v>4</v>
      </c>
      <c r="M575">
        <v>1</v>
      </c>
      <c r="N575" s="3">
        <v>5326</v>
      </c>
      <c r="O575" s="3" t="str">
        <f>IF(Table2[[#This Row],[MonthlyIncome]]&lt;=5000, "$1001 - $5000", IF(Table2[[#This Row],[MonthlyIncome]]&lt;=9000, "$5001 - $9000", IF(Table2[[#This Row],[MonthlyIncome]]&lt;=13000, "$9001 - $13000", IF(Table2[[#This Row],[MonthlyIncome]]&lt;=17000, "$13001 - $17000", IF(Table2[[#This Row],[MonthlyIncome]]&lt;=21000, "$17001 - $21000")))))</f>
        <v>$5001 - $9000</v>
      </c>
      <c r="P575">
        <v>6</v>
      </c>
      <c r="Q575">
        <v>2</v>
      </c>
      <c r="R575">
        <v>4</v>
      </c>
      <c r="S5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76" spans="1:19" ht="14.25" x14ac:dyDescent="0.2">
      <c r="A576">
        <v>75571029</v>
      </c>
      <c r="B576">
        <v>34</v>
      </c>
      <c r="C576" t="s">
        <v>20</v>
      </c>
      <c r="D576" t="s">
        <v>19</v>
      </c>
      <c r="E576" t="s">
        <v>22</v>
      </c>
      <c r="F576">
        <f>IF(Table2[[#This Row],[Attrition]]="Yes", 1, 0)</f>
        <v>0</v>
      </c>
      <c r="G576" t="s">
        <v>26</v>
      </c>
      <c r="H576" t="s">
        <v>23</v>
      </c>
      <c r="I576">
        <v>1</v>
      </c>
      <c r="J576">
        <v>4</v>
      </c>
      <c r="K576" t="s">
        <v>18</v>
      </c>
      <c r="L576">
        <v>2</v>
      </c>
      <c r="M576">
        <v>4</v>
      </c>
      <c r="N576" s="3">
        <v>3280</v>
      </c>
      <c r="O576" s="3" t="str">
        <f>IF(Table2[[#This Row],[MonthlyIncome]]&lt;=5000, "$1001 - $5000", IF(Table2[[#This Row],[MonthlyIncome]]&lt;=9000, "$5001 - $9000", IF(Table2[[#This Row],[MonthlyIncome]]&lt;=13000, "$9001 - $13000", IF(Table2[[#This Row],[MonthlyIncome]]&lt;=17000, "$13001 - $17000", IF(Table2[[#This Row],[MonthlyIncome]]&lt;=21000, "$17001 - $21000")))))</f>
        <v>$1001 - $5000</v>
      </c>
      <c r="P576">
        <v>2</v>
      </c>
      <c r="Q576">
        <v>3</v>
      </c>
      <c r="R576">
        <v>4</v>
      </c>
      <c r="S5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77" spans="1:19" ht="14.25" x14ac:dyDescent="0.2">
      <c r="A577">
        <v>61850857</v>
      </c>
      <c r="B577">
        <v>54</v>
      </c>
      <c r="C577" t="s">
        <v>20</v>
      </c>
      <c r="D577" t="s">
        <v>30</v>
      </c>
      <c r="E577" t="s">
        <v>22</v>
      </c>
      <c r="F577">
        <f>IF(Table2[[#This Row],[Attrition]]="Yes", 1, 0)</f>
        <v>0</v>
      </c>
      <c r="G577" t="s">
        <v>31</v>
      </c>
      <c r="H577" t="s">
        <v>23</v>
      </c>
      <c r="I577">
        <v>19</v>
      </c>
      <c r="J577">
        <v>4</v>
      </c>
      <c r="K577" t="s">
        <v>29</v>
      </c>
      <c r="L577">
        <v>4</v>
      </c>
      <c r="M577">
        <v>1</v>
      </c>
      <c r="N577" s="3">
        <v>5485</v>
      </c>
      <c r="O577" s="3" t="str">
        <f>IF(Table2[[#This Row],[MonthlyIncome]]&lt;=5000, "$1001 - $5000", IF(Table2[[#This Row],[MonthlyIncome]]&lt;=9000, "$5001 - $9000", IF(Table2[[#This Row],[MonthlyIncome]]&lt;=13000, "$9001 - $13000", IF(Table2[[#This Row],[MonthlyIncome]]&lt;=17000, "$13001 - $17000", IF(Table2[[#This Row],[MonthlyIncome]]&lt;=21000, "$17001 - $21000")))))</f>
        <v>$5001 - $9000</v>
      </c>
      <c r="P577">
        <v>9</v>
      </c>
      <c r="Q577">
        <v>3</v>
      </c>
      <c r="R577">
        <v>5</v>
      </c>
      <c r="S5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78" spans="1:19" ht="14.25" x14ac:dyDescent="0.2">
      <c r="A578">
        <v>37520460</v>
      </c>
      <c r="B578">
        <v>27</v>
      </c>
      <c r="C578" t="s">
        <v>25</v>
      </c>
      <c r="D578" t="s">
        <v>24</v>
      </c>
      <c r="E578" t="s">
        <v>22</v>
      </c>
      <c r="F578">
        <f>IF(Table2[[#This Row],[Attrition]]="Yes", 1, 0)</f>
        <v>0</v>
      </c>
      <c r="G578" t="s">
        <v>21</v>
      </c>
      <c r="H578" t="s">
        <v>17</v>
      </c>
      <c r="I578">
        <v>8</v>
      </c>
      <c r="J578">
        <v>1</v>
      </c>
      <c r="K578" t="s">
        <v>36</v>
      </c>
      <c r="L578">
        <v>3</v>
      </c>
      <c r="M578">
        <v>4</v>
      </c>
      <c r="N578" s="3">
        <v>4342</v>
      </c>
      <c r="O578" s="3" t="str">
        <f>IF(Table2[[#This Row],[MonthlyIncome]]&lt;=5000, "$1001 - $5000", IF(Table2[[#This Row],[MonthlyIncome]]&lt;=9000, "$5001 - $9000", IF(Table2[[#This Row],[MonthlyIncome]]&lt;=13000, "$9001 - $13000", IF(Table2[[#This Row],[MonthlyIncome]]&lt;=17000, "$13001 - $17000", IF(Table2[[#This Row],[MonthlyIncome]]&lt;=21000, "$17001 - $21000")))))</f>
        <v>$1001 - $5000</v>
      </c>
      <c r="P578">
        <v>0</v>
      </c>
      <c r="Q578">
        <v>3</v>
      </c>
      <c r="R578">
        <v>4</v>
      </c>
      <c r="S5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79" spans="1:19" ht="14.25" x14ac:dyDescent="0.2">
      <c r="A579">
        <v>34322464</v>
      </c>
      <c r="B579">
        <v>37</v>
      </c>
      <c r="C579" t="s">
        <v>20</v>
      </c>
      <c r="D579" t="s">
        <v>30</v>
      </c>
      <c r="E579" t="s">
        <v>22</v>
      </c>
      <c r="F579">
        <f>IF(Table2[[#This Row],[Attrition]]="Yes", 1, 0)</f>
        <v>0</v>
      </c>
      <c r="G579" t="s">
        <v>26</v>
      </c>
      <c r="H579" t="s">
        <v>23</v>
      </c>
      <c r="I579">
        <v>10</v>
      </c>
      <c r="J579">
        <v>1</v>
      </c>
      <c r="K579" t="s">
        <v>18</v>
      </c>
      <c r="L579">
        <v>4</v>
      </c>
      <c r="M579">
        <v>1</v>
      </c>
      <c r="N579" s="3">
        <v>2782</v>
      </c>
      <c r="O579" s="3" t="str">
        <f>IF(Table2[[#This Row],[MonthlyIncome]]&lt;=5000, "$1001 - $5000", IF(Table2[[#This Row],[MonthlyIncome]]&lt;=9000, "$5001 - $9000", IF(Table2[[#This Row],[MonthlyIncome]]&lt;=13000, "$9001 - $13000", IF(Table2[[#This Row],[MonthlyIncome]]&lt;=17000, "$13001 - $17000", IF(Table2[[#This Row],[MonthlyIncome]]&lt;=21000, "$17001 - $21000")))))</f>
        <v>$1001 - $5000</v>
      </c>
      <c r="P579">
        <v>0</v>
      </c>
      <c r="Q579">
        <v>2</v>
      </c>
      <c r="R579">
        <v>5</v>
      </c>
      <c r="S5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80" spans="1:19" ht="14.25" x14ac:dyDescent="0.2">
      <c r="A580">
        <v>24803214</v>
      </c>
      <c r="B580">
        <v>38</v>
      </c>
      <c r="C580" t="s">
        <v>20</v>
      </c>
      <c r="D580" t="s">
        <v>19</v>
      </c>
      <c r="E580" t="s">
        <v>22</v>
      </c>
      <c r="F580">
        <f>IF(Table2[[#This Row],[Attrition]]="Yes", 1, 0)</f>
        <v>0</v>
      </c>
      <c r="G580" t="s">
        <v>31</v>
      </c>
      <c r="H580" t="s">
        <v>23</v>
      </c>
      <c r="I580">
        <v>2</v>
      </c>
      <c r="J580">
        <v>4</v>
      </c>
      <c r="K580" t="s">
        <v>18</v>
      </c>
      <c r="L580">
        <v>1</v>
      </c>
      <c r="M580">
        <v>1</v>
      </c>
      <c r="N580" s="3">
        <v>5980</v>
      </c>
      <c r="O580" s="3" t="str">
        <f>IF(Table2[[#This Row],[MonthlyIncome]]&lt;=5000, "$1001 - $5000", IF(Table2[[#This Row],[MonthlyIncome]]&lt;=9000, "$5001 - $9000", IF(Table2[[#This Row],[MonthlyIncome]]&lt;=13000, "$9001 - $13000", IF(Table2[[#This Row],[MonthlyIncome]]&lt;=17000, "$13001 - $17000", IF(Table2[[#This Row],[MonthlyIncome]]&lt;=21000, "$17001 - $21000")))))</f>
        <v>$5001 - $9000</v>
      </c>
      <c r="P580">
        <v>6</v>
      </c>
      <c r="Q580">
        <v>3</v>
      </c>
      <c r="R580">
        <v>15</v>
      </c>
      <c r="S5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581" spans="1:19" ht="14.25" x14ac:dyDescent="0.2">
      <c r="A581">
        <v>22602499</v>
      </c>
      <c r="B581">
        <v>34</v>
      </c>
      <c r="C581" t="s">
        <v>20</v>
      </c>
      <c r="D581" t="s">
        <v>19</v>
      </c>
      <c r="E581" t="s">
        <v>22</v>
      </c>
      <c r="F581">
        <f>IF(Table2[[#This Row],[Attrition]]="Yes", 1, 0)</f>
        <v>0</v>
      </c>
      <c r="G581" t="s">
        <v>26</v>
      </c>
      <c r="H581" t="s">
        <v>23</v>
      </c>
      <c r="I581">
        <v>2</v>
      </c>
      <c r="J581">
        <v>4</v>
      </c>
      <c r="K581" t="s">
        <v>29</v>
      </c>
      <c r="L581">
        <v>3</v>
      </c>
      <c r="M581">
        <v>1</v>
      </c>
      <c r="N581" s="3">
        <v>4381</v>
      </c>
      <c r="O581" s="3" t="str">
        <f>IF(Table2[[#This Row],[MonthlyIncome]]&lt;=5000, "$1001 - $5000", IF(Table2[[#This Row],[MonthlyIncome]]&lt;=9000, "$5001 - $9000", IF(Table2[[#This Row],[MonthlyIncome]]&lt;=13000, "$9001 - $13000", IF(Table2[[#This Row],[MonthlyIncome]]&lt;=17000, "$13001 - $17000", IF(Table2[[#This Row],[MonthlyIncome]]&lt;=21000, "$17001 - $21000")))))</f>
        <v>$1001 - $5000</v>
      </c>
      <c r="P581">
        <v>1</v>
      </c>
      <c r="Q581">
        <v>3</v>
      </c>
      <c r="R581">
        <v>6</v>
      </c>
      <c r="S5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82" spans="1:19" ht="14.25" x14ac:dyDescent="0.2">
      <c r="A582">
        <v>79582002</v>
      </c>
      <c r="B582">
        <v>35</v>
      </c>
      <c r="C582" t="s">
        <v>20</v>
      </c>
      <c r="D582" t="s">
        <v>24</v>
      </c>
      <c r="E582" t="s">
        <v>22</v>
      </c>
      <c r="F582">
        <f>IF(Table2[[#This Row],[Attrition]]="Yes", 1, 0)</f>
        <v>0</v>
      </c>
      <c r="G582" t="s">
        <v>34</v>
      </c>
      <c r="H582" t="s">
        <v>17</v>
      </c>
      <c r="I582">
        <v>8</v>
      </c>
      <c r="J582">
        <v>4</v>
      </c>
      <c r="K582" t="s">
        <v>18</v>
      </c>
      <c r="L582">
        <v>1</v>
      </c>
      <c r="M582">
        <v>4</v>
      </c>
      <c r="N582" s="3">
        <v>2572</v>
      </c>
      <c r="O582" s="3" t="str">
        <f>IF(Table2[[#This Row],[MonthlyIncome]]&lt;=5000, "$1001 - $5000", IF(Table2[[#This Row],[MonthlyIncome]]&lt;=9000, "$5001 - $9000", IF(Table2[[#This Row],[MonthlyIncome]]&lt;=13000, "$9001 - $13000", IF(Table2[[#This Row],[MonthlyIncome]]&lt;=17000, "$13001 - $17000", IF(Table2[[#This Row],[MonthlyIncome]]&lt;=21000, "$17001 - $21000")))))</f>
        <v>$1001 - $5000</v>
      </c>
      <c r="P582">
        <v>1</v>
      </c>
      <c r="Q582">
        <v>2</v>
      </c>
      <c r="R582">
        <v>3</v>
      </c>
      <c r="S5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83" spans="1:19" ht="14.25" x14ac:dyDescent="0.2">
      <c r="A583">
        <v>36449669</v>
      </c>
      <c r="B583">
        <v>30</v>
      </c>
      <c r="C583" t="s">
        <v>25</v>
      </c>
      <c r="D583" t="s">
        <v>24</v>
      </c>
      <c r="E583" t="s">
        <v>22</v>
      </c>
      <c r="F583">
        <f>IF(Table2[[#This Row],[Attrition]]="Yes", 1, 0)</f>
        <v>0</v>
      </c>
      <c r="G583" t="s">
        <v>28</v>
      </c>
      <c r="H583" t="s">
        <v>23</v>
      </c>
      <c r="I583">
        <v>1</v>
      </c>
      <c r="J583">
        <v>3</v>
      </c>
      <c r="K583" t="s">
        <v>18</v>
      </c>
      <c r="L583">
        <v>4</v>
      </c>
      <c r="M583">
        <v>3</v>
      </c>
      <c r="N583" s="3">
        <v>3833</v>
      </c>
      <c r="O583" s="3" t="str">
        <f>IF(Table2[[#This Row],[MonthlyIncome]]&lt;=5000, "$1001 - $5000", IF(Table2[[#This Row],[MonthlyIncome]]&lt;=9000, "$5001 - $9000", IF(Table2[[#This Row],[MonthlyIncome]]&lt;=13000, "$9001 - $13000", IF(Table2[[#This Row],[MonthlyIncome]]&lt;=17000, "$13001 - $17000", IF(Table2[[#This Row],[MonthlyIncome]]&lt;=21000, "$17001 - $21000")))))</f>
        <v>$1001 - $5000</v>
      </c>
      <c r="P583">
        <v>3</v>
      </c>
      <c r="Q583">
        <v>3</v>
      </c>
      <c r="R583">
        <v>2</v>
      </c>
      <c r="S5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84" spans="1:19" ht="14.25" x14ac:dyDescent="0.2">
      <c r="A584">
        <v>66499800</v>
      </c>
      <c r="B584">
        <v>40</v>
      </c>
      <c r="C584" t="s">
        <v>20</v>
      </c>
      <c r="D584" t="s">
        <v>24</v>
      </c>
      <c r="E584" t="s">
        <v>22</v>
      </c>
      <c r="F584">
        <f>IF(Table2[[#This Row],[Attrition]]="Yes", 1, 0)</f>
        <v>0</v>
      </c>
      <c r="G584" t="s">
        <v>32</v>
      </c>
      <c r="H584" t="s">
        <v>23</v>
      </c>
      <c r="I584">
        <v>2</v>
      </c>
      <c r="J584">
        <v>2</v>
      </c>
      <c r="K584" t="s">
        <v>29</v>
      </c>
      <c r="L584">
        <v>3</v>
      </c>
      <c r="M584">
        <v>2</v>
      </c>
      <c r="N584" s="3">
        <v>4244</v>
      </c>
      <c r="O584" s="3" t="str">
        <f>IF(Table2[[#This Row],[MonthlyIncome]]&lt;=5000, "$1001 - $5000", IF(Table2[[#This Row],[MonthlyIncome]]&lt;=9000, "$5001 - $9000", IF(Table2[[#This Row],[MonthlyIncome]]&lt;=13000, "$9001 - $13000", IF(Table2[[#This Row],[MonthlyIncome]]&lt;=17000, "$13001 - $17000", IF(Table2[[#This Row],[MonthlyIncome]]&lt;=21000, "$17001 - $21000")))))</f>
        <v>$1001 - $5000</v>
      </c>
      <c r="P584">
        <v>1</v>
      </c>
      <c r="Q584">
        <v>3</v>
      </c>
      <c r="R584">
        <v>8</v>
      </c>
      <c r="S5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85" spans="1:19" ht="14.25" x14ac:dyDescent="0.2">
      <c r="A585">
        <v>11818205</v>
      </c>
      <c r="B585">
        <v>34</v>
      </c>
      <c r="C585" t="s">
        <v>20</v>
      </c>
      <c r="D585" t="s">
        <v>24</v>
      </c>
      <c r="E585" t="s">
        <v>22</v>
      </c>
      <c r="F585">
        <f>IF(Table2[[#This Row],[Attrition]]="Yes", 1, 0)</f>
        <v>0</v>
      </c>
      <c r="G585" t="s">
        <v>21</v>
      </c>
      <c r="H585" t="s">
        <v>17</v>
      </c>
      <c r="I585">
        <v>8</v>
      </c>
      <c r="J585">
        <v>2</v>
      </c>
      <c r="K585" t="s">
        <v>18</v>
      </c>
      <c r="L585">
        <v>3</v>
      </c>
      <c r="M585">
        <v>1</v>
      </c>
      <c r="N585" s="3">
        <v>6500</v>
      </c>
      <c r="O585" s="3" t="str">
        <f>IF(Table2[[#This Row],[MonthlyIncome]]&lt;=5000, "$1001 - $5000", IF(Table2[[#This Row],[MonthlyIncome]]&lt;=9000, "$5001 - $9000", IF(Table2[[#This Row],[MonthlyIncome]]&lt;=13000, "$9001 - $13000", IF(Table2[[#This Row],[MonthlyIncome]]&lt;=17000, "$13001 - $17000", IF(Table2[[#This Row],[MonthlyIncome]]&lt;=21000, "$17001 - $21000")))))</f>
        <v>$5001 - $9000</v>
      </c>
      <c r="P585">
        <v>5</v>
      </c>
      <c r="Q585">
        <v>3</v>
      </c>
      <c r="R585">
        <v>3</v>
      </c>
      <c r="S5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86" spans="1:19" ht="14.25" x14ac:dyDescent="0.2">
      <c r="A586">
        <v>78242372</v>
      </c>
      <c r="B586">
        <v>42</v>
      </c>
      <c r="C586" t="s">
        <v>25</v>
      </c>
      <c r="D586" t="s">
        <v>30</v>
      </c>
      <c r="E586" t="s">
        <v>22</v>
      </c>
      <c r="F586">
        <f>IF(Table2[[#This Row],[Attrition]]="Yes", 1, 0)</f>
        <v>0</v>
      </c>
      <c r="G586" t="s">
        <v>33</v>
      </c>
      <c r="H586" t="s">
        <v>23</v>
      </c>
      <c r="I586">
        <v>8</v>
      </c>
      <c r="J586">
        <v>3</v>
      </c>
      <c r="K586" t="s">
        <v>18</v>
      </c>
      <c r="L586">
        <v>2</v>
      </c>
      <c r="M586">
        <v>4</v>
      </c>
      <c r="N586" s="3">
        <v>18430</v>
      </c>
      <c r="O586" s="3" t="str">
        <f>IF(Table2[[#This Row],[MonthlyIncome]]&lt;=5000, "$1001 - $5000", IF(Table2[[#This Row],[MonthlyIncome]]&lt;=9000, "$5001 - $9000", IF(Table2[[#This Row],[MonthlyIncome]]&lt;=13000, "$9001 - $13000", IF(Table2[[#This Row],[MonthlyIncome]]&lt;=17000, "$13001 - $17000", IF(Table2[[#This Row],[MonthlyIncome]]&lt;=21000, "$17001 - $21000")))))</f>
        <v>$17001 - $21000</v>
      </c>
      <c r="P586">
        <v>1</v>
      </c>
      <c r="Q586">
        <v>2</v>
      </c>
      <c r="R586">
        <v>24</v>
      </c>
      <c r="S5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587" spans="1:19" ht="14.25" x14ac:dyDescent="0.2">
      <c r="A587">
        <v>31811080</v>
      </c>
      <c r="B587">
        <v>23</v>
      </c>
      <c r="C587" t="s">
        <v>25</v>
      </c>
      <c r="D587" t="s">
        <v>24</v>
      </c>
      <c r="E587" t="s">
        <v>16</v>
      </c>
      <c r="F587">
        <f>IF(Table2[[#This Row],[Attrition]]="Yes", 1, 0)</f>
        <v>1</v>
      </c>
      <c r="G587" t="s">
        <v>28</v>
      </c>
      <c r="H587" t="s">
        <v>23</v>
      </c>
      <c r="I587">
        <v>6</v>
      </c>
      <c r="J587">
        <v>3</v>
      </c>
      <c r="K587" t="s">
        <v>18</v>
      </c>
      <c r="L587">
        <v>3</v>
      </c>
      <c r="M587">
        <v>1</v>
      </c>
      <c r="N587" s="3">
        <v>1601</v>
      </c>
      <c r="O587" s="3" t="str">
        <f>IF(Table2[[#This Row],[MonthlyIncome]]&lt;=5000, "$1001 - $5000", IF(Table2[[#This Row],[MonthlyIncome]]&lt;=9000, "$5001 - $9000", IF(Table2[[#This Row],[MonthlyIncome]]&lt;=13000, "$9001 - $13000", IF(Table2[[#This Row],[MonthlyIncome]]&lt;=17000, "$13001 - $17000", IF(Table2[[#This Row],[MonthlyIncome]]&lt;=21000, "$17001 - $21000")))))</f>
        <v>$1001 - $5000</v>
      </c>
      <c r="P587">
        <v>1</v>
      </c>
      <c r="Q587">
        <v>3</v>
      </c>
      <c r="R587">
        <v>0</v>
      </c>
      <c r="S5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88" spans="1:19" ht="14.25" x14ac:dyDescent="0.2">
      <c r="A588">
        <v>20959454</v>
      </c>
      <c r="B588">
        <v>24</v>
      </c>
      <c r="C588" t="s">
        <v>25</v>
      </c>
      <c r="D588" t="s">
        <v>30</v>
      </c>
      <c r="E588" t="s">
        <v>22</v>
      </c>
      <c r="F588">
        <f>IF(Table2[[#This Row],[Attrition]]="Yes", 1, 0)</f>
        <v>0</v>
      </c>
      <c r="G588" t="s">
        <v>28</v>
      </c>
      <c r="H588" t="s">
        <v>23</v>
      </c>
      <c r="I588">
        <v>9</v>
      </c>
      <c r="J588">
        <v>3</v>
      </c>
      <c r="K588" t="s">
        <v>18</v>
      </c>
      <c r="L588">
        <v>3</v>
      </c>
      <c r="M588">
        <v>2</v>
      </c>
      <c r="N588" s="3">
        <v>2694</v>
      </c>
      <c r="O588" s="3" t="str">
        <f>IF(Table2[[#This Row],[MonthlyIncome]]&lt;=5000, "$1001 - $5000", IF(Table2[[#This Row],[MonthlyIncome]]&lt;=9000, "$5001 - $9000", IF(Table2[[#This Row],[MonthlyIncome]]&lt;=13000, "$9001 - $13000", IF(Table2[[#This Row],[MonthlyIncome]]&lt;=17000, "$13001 - $17000", IF(Table2[[#This Row],[MonthlyIncome]]&lt;=21000, "$17001 - $21000")))))</f>
        <v>$1001 - $5000</v>
      </c>
      <c r="P588">
        <v>1</v>
      </c>
      <c r="Q588">
        <v>3</v>
      </c>
      <c r="R588">
        <v>1</v>
      </c>
      <c r="S5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89" spans="1:19" ht="14.25" x14ac:dyDescent="0.2">
      <c r="A589">
        <v>62097277</v>
      </c>
      <c r="B589">
        <v>52</v>
      </c>
      <c r="C589" t="s">
        <v>20</v>
      </c>
      <c r="D589" t="s">
        <v>24</v>
      </c>
      <c r="E589" t="s">
        <v>22</v>
      </c>
      <c r="F589">
        <f>IF(Table2[[#This Row],[Attrition]]="Yes", 1, 0)</f>
        <v>0</v>
      </c>
      <c r="G589" t="s">
        <v>28</v>
      </c>
      <c r="H589" t="s">
        <v>23</v>
      </c>
      <c r="I589">
        <v>11</v>
      </c>
      <c r="J589">
        <v>4</v>
      </c>
      <c r="K589" t="s">
        <v>18</v>
      </c>
      <c r="L589">
        <v>4</v>
      </c>
      <c r="M589">
        <v>3</v>
      </c>
      <c r="N589" s="3">
        <v>3149</v>
      </c>
      <c r="O589" s="3" t="str">
        <f>IF(Table2[[#This Row],[MonthlyIncome]]&lt;=5000, "$1001 - $5000", IF(Table2[[#This Row],[MonthlyIncome]]&lt;=9000, "$5001 - $9000", IF(Table2[[#This Row],[MonthlyIncome]]&lt;=13000, "$9001 - $13000", IF(Table2[[#This Row],[MonthlyIncome]]&lt;=17000, "$13001 - $17000", IF(Table2[[#This Row],[MonthlyIncome]]&lt;=21000, "$17001 - $21000")))))</f>
        <v>$1001 - $5000</v>
      </c>
      <c r="P589">
        <v>8</v>
      </c>
      <c r="Q589">
        <v>3</v>
      </c>
      <c r="R589">
        <v>5</v>
      </c>
      <c r="S5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90" spans="1:19" ht="14.25" x14ac:dyDescent="0.2">
      <c r="A590">
        <v>84772347</v>
      </c>
      <c r="B590">
        <v>50</v>
      </c>
      <c r="C590" t="s">
        <v>25</v>
      </c>
      <c r="D590" t="s">
        <v>24</v>
      </c>
      <c r="E590" t="s">
        <v>22</v>
      </c>
      <c r="F590">
        <f>IF(Table2[[#This Row],[Attrition]]="Yes", 1, 0)</f>
        <v>0</v>
      </c>
      <c r="G590" t="s">
        <v>35</v>
      </c>
      <c r="H590" t="s">
        <v>23</v>
      </c>
      <c r="I590">
        <v>2</v>
      </c>
      <c r="J590">
        <v>3</v>
      </c>
      <c r="K590" t="s">
        <v>29</v>
      </c>
      <c r="L590">
        <v>3</v>
      </c>
      <c r="M590">
        <v>3</v>
      </c>
      <c r="N590" s="3">
        <v>17639</v>
      </c>
      <c r="O590" s="3" t="str">
        <f>IF(Table2[[#This Row],[MonthlyIncome]]&lt;=5000, "$1001 - $5000", IF(Table2[[#This Row],[MonthlyIncome]]&lt;=9000, "$5001 - $9000", IF(Table2[[#This Row],[MonthlyIncome]]&lt;=13000, "$9001 - $13000", IF(Table2[[#This Row],[MonthlyIncome]]&lt;=17000, "$13001 - $17000", IF(Table2[[#This Row],[MonthlyIncome]]&lt;=21000, "$17001 - $21000")))))</f>
        <v>$17001 - $21000</v>
      </c>
      <c r="P590">
        <v>5</v>
      </c>
      <c r="Q590">
        <v>3</v>
      </c>
      <c r="R590">
        <v>4</v>
      </c>
      <c r="S5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91" spans="1:19" ht="14.25" x14ac:dyDescent="0.2">
      <c r="A591">
        <v>66716653</v>
      </c>
      <c r="B591">
        <v>29</v>
      </c>
      <c r="C591" t="s">
        <v>20</v>
      </c>
      <c r="D591" t="s">
        <v>24</v>
      </c>
      <c r="E591" t="s">
        <v>16</v>
      </c>
      <c r="F591">
        <f>IF(Table2[[#This Row],[Attrition]]="Yes", 1, 0)</f>
        <v>1</v>
      </c>
      <c r="G591" t="s">
        <v>28</v>
      </c>
      <c r="H591" t="s">
        <v>23</v>
      </c>
      <c r="I591">
        <v>1</v>
      </c>
      <c r="J591">
        <v>2</v>
      </c>
      <c r="K591" t="s">
        <v>18</v>
      </c>
      <c r="L591">
        <v>2</v>
      </c>
      <c r="M591">
        <v>1</v>
      </c>
      <c r="N591" s="3">
        <v>2319</v>
      </c>
      <c r="O591" s="3" t="str">
        <f>IF(Table2[[#This Row],[MonthlyIncome]]&lt;=5000, "$1001 - $5000", IF(Table2[[#This Row],[MonthlyIncome]]&lt;=9000, "$5001 - $9000", IF(Table2[[#This Row],[MonthlyIncome]]&lt;=13000, "$9001 - $13000", IF(Table2[[#This Row],[MonthlyIncome]]&lt;=17000, "$13001 - $17000", IF(Table2[[#This Row],[MonthlyIncome]]&lt;=21000, "$17001 - $21000")))))</f>
        <v>$1001 - $5000</v>
      </c>
      <c r="P591">
        <v>1</v>
      </c>
      <c r="Q591">
        <v>3</v>
      </c>
      <c r="R591">
        <v>1</v>
      </c>
      <c r="S5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92" spans="1:19" ht="14.25" x14ac:dyDescent="0.2">
      <c r="A592">
        <v>29467699</v>
      </c>
      <c r="B592">
        <v>33</v>
      </c>
      <c r="C592" t="s">
        <v>25</v>
      </c>
      <c r="D592" t="s">
        <v>24</v>
      </c>
      <c r="E592" t="s">
        <v>22</v>
      </c>
      <c r="F592">
        <f>IF(Table2[[#This Row],[Attrition]]="Yes", 1, 0)</f>
        <v>0</v>
      </c>
      <c r="G592" t="s">
        <v>35</v>
      </c>
      <c r="H592" t="s">
        <v>23</v>
      </c>
      <c r="I592">
        <v>7</v>
      </c>
      <c r="J592">
        <v>3</v>
      </c>
      <c r="K592" t="s">
        <v>29</v>
      </c>
      <c r="L592">
        <v>3</v>
      </c>
      <c r="M592">
        <v>3</v>
      </c>
      <c r="N592" s="3">
        <v>11691</v>
      </c>
      <c r="O592" s="3" t="str">
        <f>IF(Table2[[#This Row],[MonthlyIncome]]&lt;=5000, "$1001 - $5000", IF(Table2[[#This Row],[MonthlyIncome]]&lt;=9000, "$5001 - $9000", IF(Table2[[#This Row],[MonthlyIncome]]&lt;=13000, "$9001 - $13000", IF(Table2[[#This Row],[MonthlyIncome]]&lt;=17000, "$13001 - $17000", IF(Table2[[#This Row],[MonthlyIncome]]&lt;=21000, "$17001 - $21000")))))</f>
        <v>$9001 - $13000</v>
      </c>
      <c r="P592">
        <v>0</v>
      </c>
      <c r="Q592">
        <v>4</v>
      </c>
      <c r="R592">
        <v>13</v>
      </c>
      <c r="S5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593" spans="1:19" ht="14.25" x14ac:dyDescent="0.2">
      <c r="A593">
        <v>32168242</v>
      </c>
      <c r="B593">
        <v>33</v>
      </c>
      <c r="C593" t="s">
        <v>20</v>
      </c>
      <c r="D593" t="s">
        <v>19</v>
      </c>
      <c r="E593" t="s">
        <v>16</v>
      </c>
      <c r="F593">
        <f>IF(Table2[[#This Row],[Attrition]]="Yes", 1, 0)</f>
        <v>1</v>
      </c>
      <c r="G593" t="s">
        <v>21</v>
      </c>
      <c r="H593" t="s">
        <v>17</v>
      </c>
      <c r="I593">
        <v>16</v>
      </c>
      <c r="J593">
        <v>3</v>
      </c>
      <c r="K593" t="s">
        <v>36</v>
      </c>
      <c r="L593">
        <v>1</v>
      </c>
      <c r="M593">
        <v>1</v>
      </c>
      <c r="N593" s="3">
        <v>5324</v>
      </c>
      <c r="O593" s="3" t="str">
        <f>IF(Table2[[#This Row],[MonthlyIncome]]&lt;=5000, "$1001 - $5000", IF(Table2[[#This Row],[MonthlyIncome]]&lt;=9000, "$5001 - $9000", IF(Table2[[#This Row],[MonthlyIncome]]&lt;=13000, "$9001 - $13000", IF(Table2[[#This Row],[MonthlyIncome]]&lt;=17000, "$13001 - $17000", IF(Table2[[#This Row],[MonthlyIncome]]&lt;=21000, "$17001 - $21000")))))</f>
        <v>$5001 - $9000</v>
      </c>
      <c r="P593">
        <v>5</v>
      </c>
      <c r="Q593">
        <v>3</v>
      </c>
      <c r="R593">
        <v>3</v>
      </c>
      <c r="S5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94" spans="1:19" ht="14.25" x14ac:dyDescent="0.2">
      <c r="A594">
        <v>63944795</v>
      </c>
      <c r="B594">
        <v>47</v>
      </c>
      <c r="C594" t="s">
        <v>20</v>
      </c>
      <c r="D594" t="s">
        <v>24</v>
      </c>
      <c r="E594" t="s">
        <v>22</v>
      </c>
      <c r="F594">
        <f>IF(Table2[[#This Row],[Attrition]]="Yes", 1, 0)</f>
        <v>0</v>
      </c>
      <c r="G594" t="s">
        <v>33</v>
      </c>
      <c r="H594" t="s">
        <v>23</v>
      </c>
      <c r="I594">
        <v>2</v>
      </c>
      <c r="J594">
        <v>2</v>
      </c>
      <c r="K594" t="s">
        <v>27</v>
      </c>
      <c r="L594">
        <v>3</v>
      </c>
      <c r="M594">
        <v>4</v>
      </c>
      <c r="N594" s="3">
        <v>16752</v>
      </c>
      <c r="O594" s="3" t="str">
        <f>IF(Table2[[#This Row],[MonthlyIncome]]&lt;=5000, "$1001 - $5000", IF(Table2[[#This Row],[MonthlyIncome]]&lt;=9000, "$5001 - $9000", IF(Table2[[#This Row],[MonthlyIncome]]&lt;=13000, "$9001 - $13000", IF(Table2[[#This Row],[MonthlyIncome]]&lt;=17000, "$13001 - $17000", IF(Table2[[#This Row],[MonthlyIncome]]&lt;=21000, "$17001 - $21000")))))</f>
        <v>$13001 - $17000</v>
      </c>
      <c r="P594">
        <v>1</v>
      </c>
      <c r="Q594">
        <v>2</v>
      </c>
      <c r="R594">
        <v>26</v>
      </c>
      <c r="S5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25 - 30 Years</v>
      </c>
    </row>
    <row r="595" spans="1:19" ht="14.25" x14ac:dyDescent="0.2">
      <c r="A595">
        <v>55530139</v>
      </c>
      <c r="B595">
        <v>36</v>
      </c>
      <c r="C595" t="s">
        <v>20</v>
      </c>
      <c r="D595" t="s">
        <v>24</v>
      </c>
      <c r="E595" t="s">
        <v>22</v>
      </c>
      <c r="F595">
        <f>IF(Table2[[#This Row],[Attrition]]="Yes", 1, 0)</f>
        <v>0</v>
      </c>
      <c r="G595" t="s">
        <v>31</v>
      </c>
      <c r="H595" t="s">
        <v>23</v>
      </c>
      <c r="I595">
        <v>1</v>
      </c>
      <c r="J595">
        <v>3</v>
      </c>
      <c r="K595" t="s">
        <v>27</v>
      </c>
      <c r="L595">
        <v>3</v>
      </c>
      <c r="M595">
        <v>2</v>
      </c>
      <c r="N595" s="3">
        <v>5228</v>
      </c>
      <c r="O595" s="3" t="str">
        <f>IF(Table2[[#This Row],[MonthlyIncome]]&lt;=5000, "$1001 - $5000", IF(Table2[[#This Row],[MonthlyIncome]]&lt;=9000, "$5001 - $9000", IF(Table2[[#This Row],[MonthlyIncome]]&lt;=13000, "$9001 - $13000", IF(Table2[[#This Row],[MonthlyIncome]]&lt;=17000, "$13001 - $17000", IF(Table2[[#This Row],[MonthlyIncome]]&lt;=21000, "$17001 - $21000")))))</f>
        <v>$5001 - $9000</v>
      </c>
      <c r="P595">
        <v>0</v>
      </c>
      <c r="Q595">
        <v>3</v>
      </c>
      <c r="R595">
        <v>9</v>
      </c>
      <c r="S5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596" spans="1:19" ht="14.25" x14ac:dyDescent="0.2">
      <c r="A596">
        <v>43777690</v>
      </c>
      <c r="B596">
        <v>29</v>
      </c>
      <c r="C596" t="s">
        <v>25</v>
      </c>
      <c r="D596" t="s">
        <v>24</v>
      </c>
      <c r="E596" t="s">
        <v>22</v>
      </c>
      <c r="F596">
        <f>IF(Table2[[#This Row],[Attrition]]="Yes", 1, 0)</f>
        <v>0</v>
      </c>
      <c r="G596" t="s">
        <v>26</v>
      </c>
      <c r="H596" t="s">
        <v>23</v>
      </c>
      <c r="I596">
        <v>23</v>
      </c>
      <c r="J596">
        <v>2</v>
      </c>
      <c r="K596" t="s">
        <v>18</v>
      </c>
      <c r="L596">
        <v>3</v>
      </c>
      <c r="M596">
        <v>3</v>
      </c>
      <c r="N596" s="3">
        <v>2700</v>
      </c>
      <c r="O596" s="3" t="str">
        <f>IF(Table2[[#This Row],[MonthlyIncome]]&lt;=5000, "$1001 - $5000", IF(Table2[[#This Row],[MonthlyIncome]]&lt;=9000, "$5001 - $9000", IF(Table2[[#This Row],[MonthlyIncome]]&lt;=13000, "$9001 - $13000", IF(Table2[[#This Row],[MonthlyIncome]]&lt;=17000, "$13001 - $17000", IF(Table2[[#This Row],[MonthlyIncome]]&lt;=21000, "$17001 - $21000")))))</f>
        <v>$1001 - $5000</v>
      </c>
      <c r="P596">
        <v>1</v>
      </c>
      <c r="Q596">
        <v>3</v>
      </c>
      <c r="R596">
        <v>10</v>
      </c>
      <c r="S5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597" spans="1:19" ht="14.25" x14ac:dyDescent="0.2">
      <c r="A597">
        <v>53841342</v>
      </c>
      <c r="B597">
        <v>58</v>
      </c>
      <c r="C597" t="s">
        <v>25</v>
      </c>
      <c r="D597" t="s">
        <v>19</v>
      </c>
      <c r="E597" t="s">
        <v>16</v>
      </c>
      <c r="F597">
        <f>IF(Table2[[#This Row],[Attrition]]="Yes", 1, 0)</f>
        <v>1</v>
      </c>
      <c r="G597" t="s">
        <v>35</v>
      </c>
      <c r="H597" t="s">
        <v>23</v>
      </c>
      <c r="I597">
        <v>2</v>
      </c>
      <c r="J597">
        <v>4</v>
      </c>
      <c r="K597" t="s">
        <v>18</v>
      </c>
      <c r="L597">
        <v>4</v>
      </c>
      <c r="M597">
        <v>2</v>
      </c>
      <c r="N597" s="3">
        <v>19246</v>
      </c>
      <c r="O597" s="3" t="str">
        <f>IF(Table2[[#This Row],[MonthlyIncome]]&lt;=5000, "$1001 - $5000", IF(Table2[[#This Row],[MonthlyIncome]]&lt;=9000, "$5001 - $9000", IF(Table2[[#This Row],[MonthlyIncome]]&lt;=13000, "$9001 - $13000", IF(Table2[[#This Row],[MonthlyIncome]]&lt;=17000, "$13001 - $17000", IF(Table2[[#This Row],[MonthlyIncome]]&lt;=21000, "$17001 - $21000")))))</f>
        <v>$17001 - $21000</v>
      </c>
      <c r="P597">
        <v>7</v>
      </c>
      <c r="Q597">
        <v>3</v>
      </c>
      <c r="R597">
        <v>31</v>
      </c>
      <c r="S5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30 - 35 Years</v>
      </c>
    </row>
    <row r="598" spans="1:19" ht="14.25" x14ac:dyDescent="0.2">
      <c r="A598">
        <v>84827111</v>
      </c>
      <c r="B598">
        <v>35</v>
      </c>
      <c r="C598" t="s">
        <v>20</v>
      </c>
      <c r="D598" t="s">
        <v>19</v>
      </c>
      <c r="E598" t="s">
        <v>22</v>
      </c>
      <c r="F598">
        <f>IF(Table2[[#This Row],[Attrition]]="Yes", 1, 0)</f>
        <v>0</v>
      </c>
      <c r="G598" t="s">
        <v>26</v>
      </c>
      <c r="H598" t="s">
        <v>23</v>
      </c>
      <c r="I598">
        <v>1</v>
      </c>
      <c r="J598">
        <v>4</v>
      </c>
      <c r="K598" t="s">
        <v>18</v>
      </c>
      <c r="L598">
        <v>4</v>
      </c>
      <c r="M598">
        <v>3</v>
      </c>
      <c r="N598" s="3">
        <v>2506</v>
      </c>
      <c r="O598" s="3" t="str">
        <f>IF(Table2[[#This Row],[MonthlyIncome]]&lt;=5000, "$1001 - $5000", IF(Table2[[#This Row],[MonthlyIncome]]&lt;=9000, "$5001 - $9000", IF(Table2[[#This Row],[MonthlyIncome]]&lt;=13000, "$9001 - $13000", IF(Table2[[#This Row],[MonthlyIncome]]&lt;=17000, "$13001 - $17000", IF(Table2[[#This Row],[MonthlyIncome]]&lt;=21000, "$17001 - $21000")))))</f>
        <v>$1001 - $5000</v>
      </c>
      <c r="P598">
        <v>3</v>
      </c>
      <c r="Q598">
        <v>3</v>
      </c>
      <c r="R598">
        <v>2</v>
      </c>
      <c r="S5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599" spans="1:19" ht="14.25" x14ac:dyDescent="0.2">
      <c r="A599">
        <v>88114994</v>
      </c>
      <c r="B599">
        <v>42</v>
      </c>
      <c r="C599" t="s">
        <v>20</v>
      </c>
      <c r="D599" t="s">
        <v>24</v>
      </c>
      <c r="E599" t="s">
        <v>22</v>
      </c>
      <c r="F599">
        <f>IF(Table2[[#This Row],[Attrition]]="Yes", 1, 0)</f>
        <v>0</v>
      </c>
      <c r="G599" t="s">
        <v>31</v>
      </c>
      <c r="H599" t="s">
        <v>23</v>
      </c>
      <c r="I599">
        <v>1</v>
      </c>
      <c r="J599">
        <v>2</v>
      </c>
      <c r="K599" t="s">
        <v>18</v>
      </c>
      <c r="L599">
        <v>4</v>
      </c>
      <c r="M599">
        <v>4</v>
      </c>
      <c r="N599" s="3">
        <v>6062</v>
      </c>
      <c r="O599" s="3" t="str">
        <f>IF(Table2[[#This Row],[MonthlyIncome]]&lt;=5000, "$1001 - $5000", IF(Table2[[#This Row],[MonthlyIncome]]&lt;=9000, "$5001 - $9000", IF(Table2[[#This Row],[MonthlyIncome]]&lt;=13000, "$9001 - $13000", IF(Table2[[#This Row],[MonthlyIncome]]&lt;=17000, "$13001 - $17000", IF(Table2[[#This Row],[MonthlyIncome]]&lt;=21000, "$17001 - $21000")))))</f>
        <v>$5001 - $9000</v>
      </c>
      <c r="P599">
        <v>9</v>
      </c>
      <c r="Q599">
        <v>3</v>
      </c>
      <c r="R599">
        <v>4</v>
      </c>
      <c r="S5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00" spans="1:19" ht="14.25" x14ac:dyDescent="0.2">
      <c r="A600">
        <v>40866224</v>
      </c>
      <c r="B600">
        <v>28</v>
      </c>
      <c r="C600" t="s">
        <v>25</v>
      </c>
      <c r="D600" t="s">
        <v>19</v>
      </c>
      <c r="E600" t="s">
        <v>16</v>
      </c>
      <c r="F600">
        <f>IF(Table2[[#This Row],[Attrition]]="Yes", 1, 0)</f>
        <v>1</v>
      </c>
      <c r="G600" t="s">
        <v>26</v>
      </c>
      <c r="H600" t="s">
        <v>23</v>
      </c>
      <c r="I600">
        <v>2</v>
      </c>
      <c r="J600">
        <v>4</v>
      </c>
      <c r="K600" t="s">
        <v>29</v>
      </c>
      <c r="L600">
        <v>3</v>
      </c>
      <c r="M600">
        <v>3</v>
      </c>
      <c r="N600" s="3">
        <v>4382</v>
      </c>
      <c r="O600" s="3" t="str">
        <f>IF(Table2[[#This Row],[MonthlyIncome]]&lt;=5000, "$1001 - $5000", IF(Table2[[#This Row],[MonthlyIncome]]&lt;=9000, "$5001 - $9000", IF(Table2[[#This Row],[MonthlyIncome]]&lt;=13000, "$9001 - $13000", IF(Table2[[#This Row],[MonthlyIncome]]&lt;=17000, "$13001 - $17000", IF(Table2[[#This Row],[MonthlyIncome]]&lt;=21000, "$17001 - $21000")))))</f>
        <v>$1001 - $5000</v>
      </c>
      <c r="P600">
        <v>6</v>
      </c>
      <c r="Q600">
        <v>2</v>
      </c>
      <c r="R600">
        <v>2</v>
      </c>
      <c r="S6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01" spans="1:19" ht="14.25" x14ac:dyDescent="0.2">
      <c r="A601">
        <v>75192737</v>
      </c>
      <c r="B601">
        <v>36</v>
      </c>
      <c r="C601" t="s">
        <v>25</v>
      </c>
      <c r="D601" t="s">
        <v>24</v>
      </c>
      <c r="E601" t="s">
        <v>22</v>
      </c>
      <c r="F601">
        <f>IF(Table2[[#This Row],[Attrition]]="Yes", 1, 0)</f>
        <v>0</v>
      </c>
      <c r="G601" t="s">
        <v>38</v>
      </c>
      <c r="H601" t="s">
        <v>38</v>
      </c>
      <c r="I601">
        <v>13</v>
      </c>
      <c r="J601">
        <v>3</v>
      </c>
      <c r="K601" t="s">
        <v>38</v>
      </c>
      <c r="L601">
        <v>3</v>
      </c>
      <c r="M601">
        <v>2</v>
      </c>
      <c r="N601" s="3">
        <v>2143</v>
      </c>
      <c r="O601" s="3" t="str">
        <f>IF(Table2[[#This Row],[MonthlyIncome]]&lt;=5000, "$1001 - $5000", IF(Table2[[#This Row],[MonthlyIncome]]&lt;=9000, "$5001 - $9000", IF(Table2[[#This Row],[MonthlyIncome]]&lt;=13000, "$9001 - $13000", IF(Table2[[#This Row],[MonthlyIncome]]&lt;=17000, "$13001 - $17000", IF(Table2[[#This Row],[MonthlyIncome]]&lt;=21000, "$17001 - $21000")))))</f>
        <v>$1001 - $5000</v>
      </c>
      <c r="P601">
        <v>4</v>
      </c>
      <c r="Q601">
        <v>3</v>
      </c>
      <c r="R601">
        <v>5</v>
      </c>
      <c r="S6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02" spans="1:19" ht="14.25" x14ac:dyDescent="0.2">
      <c r="A602">
        <v>21196203</v>
      </c>
      <c r="B602">
        <v>32</v>
      </c>
      <c r="C602" t="s">
        <v>20</v>
      </c>
      <c r="D602" t="s">
        <v>24</v>
      </c>
      <c r="E602" t="s">
        <v>22</v>
      </c>
      <c r="F602">
        <f>IF(Table2[[#This Row],[Attrition]]="Yes", 1, 0)</f>
        <v>0</v>
      </c>
      <c r="G602" t="s">
        <v>31</v>
      </c>
      <c r="H602" t="s">
        <v>23</v>
      </c>
      <c r="I602">
        <v>4</v>
      </c>
      <c r="J602">
        <v>3</v>
      </c>
      <c r="K602" t="s">
        <v>18</v>
      </c>
      <c r="L602">
        <v>3</v>
      </c>
      <c r="M602">
        <v>3</v>
      </c>
      <c r="N602" s="3">
        <v>6162</v>
      </c>
      <c r="O602" s="3" t="str">
        <f>IF(Table2[[#This Row],[MonthlyIncome]]&lt;=5000, "$1001 - $5000", IF(Table2[[#This Row],[MonthlyIncome]]&lt;=9000, "$5001 - $9000", IF(Table2[[#This Row],[MonthlyIncome]]&lt;=13000, "$9001 - $13000", IF(Table2[[#This Row],[MonthlyIncome]]&lt;=17000, "$13001 - $17000", IF(Table2[[#This Row],[MonthlyIncome]]&lt;=21000, "$17001 - $21000")))))</f>
        <v>$5001 - $9000</v>
      </c>
      <c r="P602">
        <v>1</v>
      </c>
      <c r="Q602">
        <v>3</v>
      </c>
      <c r="R602">
        <v>14</v>
      </c>
      <c r="S6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603" spans="1:19" ht="14.25" x14ac:dyDescent="0.2">
      <c r="A603">
        <v>69929844</v>
      </c>
      <c r="B603">
        <v>40</v>
      </c>
      <c r="C603" t="s">
        <v>25</v>
      </c>
      <c r="D603" t="s">
        <v>19</v>
      </c>
      <c r="E603" t="s">
        <v>22</v>
      </c>
      <c r="F603">
        <f>IF(Table2[[#This Row],[Attrition]]="Yes", 1, 0)</f>
        <v>0</v>
      </c>
      <c r="G603" t="s">
        <v>28</v>
      </c>
      <c r="H603" t="s">
        <v>23</v>
      </c>
      <c r="I603">
        <v>16</v>
      </c>
      <c r="J603">
        <v>4</v>
      </c>
      <c r="K603" t="s">
        <v>29</v>
      </c>
      <c r="L603">
        <v>1</v>
      </c>
      <c r="M603">
        <v>3</v>
      </c>
      <c r="N603" s="3">
        <v>5094</v>
      </c>
      <c r="O603" s="3" t="str">
        <f>IF(Table2[[#This Row],[MonthlyIncome]]&lt;=5000, "$1001 - $5000", IF(Table2[[#This Row],[MonthlyIncome]]&lt;=9000, "$5001 - $9000", IF(Table2[[#This Row],[MonthlyIncome]]&lt;=13000, "$9001 - $13000", IF(Table2[[#This Row],[MonthlyIncome]]&lt;=17000, "$13001 - $17000", IF(Table2[[#This Row],[MonthlyIncome]]&lt;=21000, "$17001 - $21000")))))</f>
        <v>$5001 - $9000</v>
      </c>
      <c r="P603">
        <v>6</v>
      </c>
      <c r="Q603">
        <v>3</v>
      </c>
      <c r="R603">
        <v>1</v>
      </c>
      <c r="S6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04" spans="1:19" ht="14.25" x14ac:dyDescent="0.2">
      <c r="A604">
        <v>46663340</v>
      </c>
      <c r="B604">
        <v>30</v>
      </c>
      <c r="C604" t="s">
        <v>20</v>
      </c>
      <c r="D604" t="s">
        <v>19</v>
      </c>
      <c r="E604" t="s">
        <v>22</v>
      </c>
      <c r="F604">
        <f>IF(Table2[[#This Row],[Attrition]]="Yes", 1, 0)</f>
        <v>0</v>
      </c>
      <c r="G604" t="s">
        <v>31</v>
      </c>
      <c r="H604" t="s">
        <v>23</v>
      </c>
      <c r="I604">
        <v>2</v>
      </c>
      <c r="J604">
        <v>3</v>
      </c>
      <c r="K604" t="s">
        <v>29</v>
      </c>
      <c r="L604">
        <v>3</v>
      </c>
      <c r="M604">
        <v>4</v>
      </c>
      <c r="N604" s="3">
        <v>6877</v>
      </c>
      <c r="O604" s="3" t="str">
        <f>IF(Table2[[#This Row],[MonthlyIncome]]&lt;=5000, "$1001 - $5000", IF(Table2[[#This Row],[MonthlyIncome]]&lt;=9000, "$5001 - $9000", IF(Table2[[#This Row],[MonthlyIncome]]&lt;=13000, "$9001 - $13000", IF(Table2[[#This Row],[MonthlyIncome]]&lt;=17000, "$13001 - $17000", IF(Table2[[#This Row],[MonthlyIncome]]&lt;=21000, "$17001 - $21000")))))</f>
        <v>$5001 - $9000</v>
      </c>
      <c r="P604">
        <v>5</v>
      </c>
      <c r="Q604">
        <v>2</v>
      </c>
      <c r="R604">
        <v>0</v>
      </c>
      <c r="S6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05" spans="1:19" ht="14.25" x14ac:dyDescent="0.2">
      <c r="A605">
        <v>72260531</v>
      </c>
      <c r="B605">
        <v>45</v>
      </c>
      <c r="C605" t="s">
        <v>20</v>
      </c>
      <c r="D605" t="s">
        <v>19</v>
      </c>
      <c r="E605" t="s">
        <v>22</v>
      </c>
      <c r="F605">
        <f>IF(Table2[[#This Row],[Attrition]]="Yes", 1, 0)</f>
        <v>0</v>
      </c>
      <c r="G605" t="s">
        <v>26</v>
      </c>
      <c r="H605" t="s">
        <v>23</v>
      </c>
      <c r="I605">
        <v>2</v>
      </c>
      <c r="J605">
        <v>3</v>
      </c>
      <c r="K605" t="s">
        <v>18</v>
      </c>
      <c r="L605">
        <v>2</v>
      </c>
      <c r="M605">
        <v>3</v>
      </c>
      <c r="N605" s="3">
        <v>2274</v>
      </c>
      <c r="O605" s="3" t="str">
        <f>IF(Table2[[#This Row],[MonthlyIncome]]&lt;=5000, "$1001 - $5000", IF(Table2[[#This Row],[MonthlyIncome]]&lt;=9000, "$5001 - $9000", IF(Table2[[#This Row],[MonthlyIncome]]&lt;=13000, "$9001 - $13000", IF(Table2[[#This Row],[MonthlyIncome]]&lt;=17000, "$13001 - $17000", IF(Table2[[#This Row],[MonthlyIncome]]&lt;=21000, "$17001 - $21000")))))</f>
        <v>$1001 - $5000</v>
      </c>
      <c r="P605">
        <v>1</v>
      </c>
      <c r="Q605">
        <v>3</v>
      </c>
      <c r="R605">
        <v>1</v>
      </c>
      <c r="S6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06" spans="1:19" ht="14.25" x14ac:dyDescent="0.2">
      <c r="A606">
        <v>82991942</v>
      </c>
      <c r="B606">
        <v>42</v>
      </c>
      <c r="C606" t="s">
        <v>25</v>
      </c>
      <c r="D606" t="s">
        <v>24</v>
      </c>
      <c r="E606" t="s">
        <v>22</v>
      </c>
      <c r="F606">
        <f>IF(Table2[[#This Row],[Attrition]]="Yes", 1, 0)</f>
        <v>0</v>
      </c>
      <c r="G606" t="s">
        <v>31</v>
      </c>
      <c r="H606" t="s">
        <v>23</v>
      </c>
      <c r="I606">
        <v>29</v>
      </c>
      <c r="J606">
        <v>3</v>
      </c>
      <c r="K606" t="s">
        <v>18</v>
      </c>
      <c r="L606">
        <v>2</v>
      </c>
      <c r="M606">
        <v>2</v>
      </c>
      <c r="N606" s="3">
        <v>4434</v>
      </c>
      <c r="O606" s="3" t="str">
        <f>IF(Table2[[#This Row],[MonthlyIncome]]&lt;=5000, "$1001 - $5000", IF(Table2[[#This Row],[MonthlyIncome]]&lt;=9000, "$5001 - $9000", IF(Table2[[#This Row],[MonthlyIncome]]&lt;=13000, "$9001 - $13000", IF(Table2[[#This Row],[MonthlyIncome]]&lt;=17000, "$13001 - $17000", IF(Table2[[#This Row],[MonthlyIncome]]&lt;=21000, "$17001 - $21000")))))</f>
        <v>$1001 - $5000</v>
      </c>
      <c r="P606">
        <v>1</v>
      </c>
      <c r="Q606">
        <v>2</v>
      </c>
      <c r="R606">
        <v>9</v>
      </c>
      <c r="S6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07" spans="1:19" ht="14.25" x14ac:dyDescent="0.2">
      <c r="A607">
        <v>42678266</v>
      </c>
      <c r="B607">
        <v>38</v>
      </c>
      <c r="C607" t="s">
        <v>25</v>
      </c>
      <c r="D607" t="s">
        <v>30</v>
      </c>
      <c r="E607" t="s">
        <v>22</v>
      </c>
      <c r="F607">
        <f>IF(Table2[[#This Row],[Attrition]]="Yes", 1, 0)</f>
        <v>0</v>
      </c>
      <c r="G607" t="s">
        <v>32</v>
      </c>
      <c r="H607" t="s">
        <v>23</v>
      </c>
      <c r="I607">
        <v>12</v>
      </c>
      <c r="J607">
        <v>3</v>
      </c>
      <c r="K607" t="s">
        <v>18</v>
      </c>
      <c r="L607">
        <v>1</v>
      </c>
      <c r="M607">
        <v>1</v>
      </c>
      <c r="N607" s="3">
        <v>6288</v>
      </c>
      <c r="O607" s="3" t="str">
        <f>IF(Table2[[#This Row],[MonthlyIncome]]&lt;=5000, "$1001 - $5000", IF(Table2[[#This Row],[MonthlyIncome]]&lt;=9000, "$5001 - $9000", IF(Table2[[#This Row],[MonthlyIncome]]&lt;=13000, "$9001 - $13000", IF(Table2[[#This Row],[MonthlyIncome]]&lt;=17000, "$13001 - $17000", IF(Table2[[#This Row],[MonthlyIncome]]&lt;=21000, "$17001 - $21000")))))</f>
        <v>$5001 - $9000</v>
      </c>
      <c r="P607">
        <v>2</v>
      </c>
      <c r="Q607">
        <v>2</v>
      </c>
      <c r="R607">
        <v>4</v>
      </c>
      <c r="S6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08" spans="1:19" ht="14.25" x14ac:dyDescent="0.2">
      <c r="A608">
        <v>38736425</v>
      </c>
      <c r="B608">
        <v>34</v>
      </c>
      <c r="C608" t="s">
        <v>20</v>
      </c>
      <c r="D608" t="s">
        <v>19</v>
      </c>
      <c r="E608" t="s">
        <v>22</v>
      </c>
      <c r="F608">
        <f>IF(Table2[[#This Row],[Attrition]]="Yes", 1, 0)</f>
        <v>0</v>
      </c>
      <c r="G608" t="s">
        <v>26</v>
      </c>
      <c r="H608" t="s">
        <v>23</v>
      </c>
      <c r="I608">
        <v>16</v>
      </c>
      <c r="J608">
        <v>4</v>
      </c>
      <c r="K608" t="s">
        <v>18</v>
      </c>
      <c r="L608">
        <v>3</v>
      </c>
      <c r="M608">
        <v>4</v>
      </c>
      <c r="N608" s="3">
        <v>2553</v>
      </c>
      <c r="O608" s="3" t="str">
        <f>IF(Table2[[#This Row],[MonthlyIncome]]&lt;=5000, "$1001 - $5000", IF(Table2[[#This Row],[MonthlyIncome]]&lt;=9000, "$5001 - $9000", IF(Table2[[#This Row],[MonthlyIncome]]&lt;=13000, "$9001 - $13000", IF(Table2[[#This Row],[MonthlyIncome]]&lt;=17000, "$13001 - $17000", IF(Table2[[#This Row],[MonthlyIncome]]&lt;=21000, "$17001 - $21000")))))</f>
        <v>$1001 - $5000</v>
      </c>
      <c r="P608">
        <v>1</v>
      </c>
      <c r="Q608">
        <v>3</v>
      </c>
      <c r="R608">
        <v>5</v>
      </c>
      <c r="S6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09" spans="1:19" ht="14.25" x14ac:dyDescent="0.2">
      <c r="A609">
        <v>65377404</v>
      </c>
      <c r="B609">
        <v>49</v>
      </c>
      <c r="C609" t="s">
        <v>20</v>
      </c>
      <c r="D609" t="s">
        <v>24</v>
      </c>
      <c r="E609" t="s">
        <v>16</v>
      </c>
      <c r="F609">
        <f>IF(Table2[[#This Row],[Attrition]]="Yes", 1, 0)</f>
        <v>1</v>
      </c>
      <c r="G609" t="s">
        <v>21</v>
      </c>
      <c r="H609" t="s">
        <v>17</v>
      </c>
      <c r="I609">
        <v>11</v>
      </c>
      <c r="J609">
        <v>3</v>
      </c>
      <c r="K609" t="s">
        <v>36</v>
      </c>
      <c r="L609">
        <v>3</v>
      </c>
      <c r="M609">
        <v>4</v>
      </c>
      <c r="N609" s="3">
        <v>7654</v>
      </c>
      <c r="O609" s="3" t="str">
        <f>IF(Table2[[#This Row],[MonthlyIncome]]&lt;=5000, "$1001 - $5000", IF(Table2[[#This Row],[MonthlyIncome]]&lt;=9000, "$5001 - $9000", IF(Table2[[#This Row],[MonthlyIncome]]&lt;=13000, "$9001 - $13000", IF(Table2[[#This Row],[MonthlyIncome]]&lt;=17000, "$13001 - $17000", IF(Table2[[#This Row],[MonthlyIncome]]&lt;=21000, "$17001 - $21000")))))</f>
        <v>$5001 - $9000</v>
      </c>
      <c r="P609">
        <v>1</v>
      </c>
      <c r="Q609">
        <v>4</v>
      </c>
      <c r="R609">
        <v>9</v>
      </c>
      <c r="S6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10" spans="1:19" ht="14.25" x14ac:dyDescent="0.2">
      <c r="A610">
        <v>71419370</v>
      </c>
      <c r="B610">
        <v>55</v>
      </c>
      <c r="C610" t="s">
        <v>25</v>
      </c>
      <c r="D610" t="s">
        <v>19</v>
      </c>
      <c r="E610" t="s">
        <v>16</v>
      </c>
      <c r="F610">
        <f>IF(Table2[[#This Row],[Attrition]]="Yes", 1, 0)</f>
        <v>1</v>
      </c>
      <c r="G610" t="s">
        <v>21</v>
      </c>
      <c r="H610" t="s">
        <v>17</v>
      </c>
      <c r="I610">
        <v>2</v>
      </c>
      <c r="J610">
        <v>1</v>
      </c>
      <c r="K610" t="s">
        <v>29</v>
      </c>
      <c r="L610">
        <v>3</v>
      </c>
      <c r="M610">
        <v>4</v>
      </c>
      <c r="N610" s="3">
        <v>5160</v>
      </c>
      <c r="O610" s="3" t="str">
        <f>IF(Table2[[#This Row],[MonthlyIncome]]&lt;=5000, "$1001 - $5000", IF(Table2[[#This Row],[MonthlyIncome]]&lt;=9000, "$5001 - $9000", IF(Table2[[#This Row],[MonthlyIncome]]&lt;=13000, "$9001 - $13000", IF(Table2[[#This Row],[MonthlyIncome]]&lt;=17000, "$13001 - $17000", IF(Table2[[#This Row],[MonthlyIncome]]&lt;=21000, "$17001 - $21000")))))</f>
        <v>$5001 - $9000</v>
      </c>
      <c r="P610">
        <v>4</v>
      </c>
      <c r="Q610">
        <v>2</v>
      </c>
      <c r="R610">
        <v>9</v>
      </c>
      <c r="S6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11" spans="1:19" ht="14.25" x14ac:dyDescent="0.2">
      <c r="A611">
        <v>35133564</v>
      </c>
      <c r="B611">
        <v>43</v>
      </c>
      <c r="C611" t="s">
        <v>25</v>
      </c>
      <c r="D611" t="s">
        <v>24</v>
      </c>
      <c r="E611" t="s">
        <v>22</v>
      </c>
      <c r="F611">
        <f>IF(Table2[[#This Row],[Attrition]]="Yes", 1, 0)</f>
        <v>0</v>
      </c>
      <c r="G611" t="s">
        <v>35</v>
      </c>
      <c r="H611" t="s">
        <v>23</v>
      </c>
      <c r="I611">
        <v>14</v>
      </c>
      <c r="J611">
        <v>2</v>
      </c>
      <c r="K611" t="s">
        <v>18</v>
      </c>
      <c r="L611">
        <v>2</v>
      </c>
      <c r="M611">
        <v>1</v>
      </c>
      <c r="N611" s="3">
        <v>17159</v>
      </c>
      <c r="O611" s="3" t="str">
        <f>IF(Table2[[#This Row],[MonthlyIncome]]&lt;=5000, "$1001 - $5000", IF(Table2[[#This Row],[MonthlyIncome]]&lt;=9000, "$5001 - $9000", IF(Table2[[#This Row],[MonthlyIncome]]&lt;=13000, "$9001 - $13000", IF(Table2[[#This Row],[MonthlyIncome]]&lt;=17000, "$13001 - $17000", IF(Table2[[#This Row],[MonthlyIncome]]&lt;=21000, "$17001 - $21000")))))</f>
        <v>$17001 - $21000</v>
      </c>
      <c r="P611">
        <v>6</v>
      </c>
      <c r="Q611">
        <v>3</v>
      </c>
      <c r="R611">
        <v>4</v>
      </c>
      <c r="S6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12" spans="1:19" ht="14.25" x14ac:dyDescent="0.2">
      <c r="A612">
        <v>14737918</v>
      </c>
      <c r="B612">
        <v>27</v>
      </c>
      <c r="C612" t="s">
        <v>25</v>
      </c>
      <c r="D612" t="s">
        <v>30</v>
      </c>
      <c r="E612" t="s">
        <v>22</v>
      </c>
      <c r="F612">
        <f>IF(Table2[[#This Row],[Attrition]]="Yes", 1, 0)</f>
        <v>0</v>
      </c>
      <c r="G612" t="s">
        <v>35</v>
      </c>
      <c r="H612" t="s">
        <v>23</v>
      </c>
      <c r="I612">
        <v>5</v>
      </c>
      <c r="J612">
        <v>1</v>
      </c>
      <c r="K612" t="s">
        <v>37</v>
      </c>
      <c r="L612">
        <v>3</v>
      </c>
      <c r="M612">
        <v>4</v>
      </c>
      <c r="N612" s="3">
        <v>12808</v>
      </c>
      <c r="O612" s="3" t="str">
        <f>IF(Table2[[#This Row],[MonthlyIncome]]&lt;=5000, "$1001 - $5000", IF(Table2[[#This Row],[MonthlyIncome]]&lt;=9000, "$5001 - $9000", IF(Table2[[#This Row],[MonthlyIncome]]&lt;=13000, "$9001 - $13000", IF(Table2[[#This Row],[MonthlyIncome]]&lt;=17000, "$13001 - $17000", IF(Table2[[#This Row],[MonthlyIncome]]&lt;=21000, "$17001 - $21000")))))</f>
        <v>$9001 - $13000</v>
      </c>
      <c r="P612">
        <v>1</v>
      </c>
      <c r="Q612">
        <v>3</v>
      </c>
      <c r="R612">
        <v>9</v>
      </c>
      <c r="S6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13" spans="1:19" ht="14.25" x14ac:dyDescent="0.2">
      <c r="A613">
        <v>78590345</v>
      </c>
      <c r="B613">
        <v>35</v>
      </c>
      <c r="C613" t="s">
        <v>25</v>
      </c>
      <c r="D613" t="s">
        <v>19</v>
      </c>
      <c r="E613" t="s">
        <v>22</v>
      </c>
      <c r="F613">
        <f>IF(Table2[[#This Row],[Attrition]]="Yes", 1, 0)</f>
        <v>0</v>
      </c>
      <c r="G613" t="s">
        <v>31</v>
      </c>
      <c r="H613" t="s">
        <v>23</v>
      </c>
      <c r="I613">
        <v>7</v>
      </c>
      <c r="J613">
        <v>3</v>
      </c>
      <c r="K613" t="s">
        <v>27</v>
      </c>
      <c r="L613">
        <v>3</v>
      </c>
      <c r="M613">
        <v>3</v>
      </c>
      <c r="N613" s="3">
        <v>10221</v>
      </c>
      <c r="O613" s="3" t="str">
        <f>IF(Table2[[#This Row],[MonthlyIncome]]&lt;=5000, "$1001 - $5000", IF(Table2[[#This Row],[MonthlyIncome]]&lt;=9000, "$5001 - $9000", IF(Table2[[#This Row],[MonthlyIncome]]&lt;=13000, "$9001 - $13000", IF(Table2[[#This Row],[MonthlyIncome]]&lt;=17000, "$13001 - $17000", IF(Table2[[#This Row],[MonthlyIncome]]&lt;=21000, "$17001 - $21000")))))</f>
        <v>$9001 - $13000</v>
      </c>
      <c r="P613">
        <v>3</v>
      </c>
      <c r="Q613">
        <v>4</v>
      </c>
      <c r="R613">
        <v>8</v>
      </c>
      <c r="S6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14" spans="1:19" ht="14.25" x14ac:dyDescent="0.2">
      <c r="A614">
        <v>49631664</v>
      </c>
      <c r="B614">
        <v>28</v>
      </c>
      <c r="C614" t="s">
        <v>20</v>
      </c>
      <c r="D614" t="s">
        <v>24</v>
      </c>
      <c r="E614" t="s">
        <v>22</v>
      </c>
      <c r="F614">
        <f>IF(Table2[[#This Row],[Attrition]]="Yes", 1, 0)</f>
        <v>0</v>
      </c>
      <c r="G614" t="s">
        <v>21</v>
      </c>
      <c r="H614" t="s">
        <v>17</v>
      </c>
      <c r="I614">
        <v>2</v>
      </c>
      <c r="J614">
        <v>4</v>
      </c>
      <c r="K614" t="s">
        <v>36</v>
      </c>
      <c r="L614">
        <v>2</v>
      </c>
      <c r="M614">
        <v>2</v>
      </c>
      <c r="N614" s="3">
        <v>4779</v>
      </c>
      <c r="O614" s="3" t="str">
        <f>IF(Table2[[#This Row],[MonthlyIncome]]&lt;=5000, "$1001 - $5000", IF(Table2[[#This Row],[MonthlyIncome]]&lt;=9000, "$5001 - $9000", IF(Table2[[#This Row],[MonthlyIncome]]&lt;=13000, "$9001 - $13000", IF(Table2[[#This Row],[MonthlyIncome]]&lt;=17000, "$13001 - $17000", IF(Table2[[#This Row],[MonthlyIncome]]&lt;=21000, "$17001 - $21000")))))</f>
        <v>$1001 - $5000</v>
      </c>
      <c r="P614">
        <v>1</v>
      </c>
      <c r="Q614">
        <v>3</v>
      </c>
      <c r="R614">
        <v>8</v>
      </c>
      <c r="S6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15" spans="1:19" ht="14.25" x14ac:dyDescent="0.2">
      <c r="A615">
        <v>63468402</v>
      </c>
      <c r="B615">
        <v>34</v>
      </c>
      <c r="C615" t="s">
        <v>25</v>
      </c>
      <c r="D615" t="s">
        <v>24</v>
      </c>
      <c r="E615" t="s">
        <v>22</v>
      </c>
      <c r="F615">
        <f>IF(Table2[[#This Row],[Attrition]]="Yes", 1, 0)</f>
        <v>0</v>
      </c>
      <c r="G615" t="s">
        <v>38</v>
      </c>
      <c r="H615" t="s">
        <v>38</v>
      </c>
      <c r="I615">
        <v>3</v>
      </c>
      <c r="J615">
        <v>2</v>
      </c>
      <c r="K615" t="s">
        <v>38</v>
      </c>
      <c r="L615">
        <v>3</v>
      </c>
      <c r="M615">
        <v>4</v>
      </c>
      <c r="N615" s="3">
        <v>3737</v>
      </c>
      <c r="O615" s="3" t="str">
        <f>IF(Table2[[#This Row],[MonthlyIncome]]&lt;=5000, "$1001 - $5000", IF(Table2[[#This Row],[MonthlyIncome]]&lt;=9000, "$5001 - $9000", IF(Table2[[#This Row],[MonthlyIncome]]&lt;=13000, "$9001 - $13000", IF(Table2[[#This Row],[MonthlyIncome]]&lt;=17000, "$13001 - $17000", IF(Table2[[#This Row],[MonthlyIncome]]&lt;=21000, "$17001 - $21000")))))</f>
        <v>$1001 - $5000</v>
      </c>
      <c r="P615">
        <v>0</v>
      </c>
      <c r="Q615">
        <v>1</v>
      </c>
      <c r="R615">
        <v>3</v>
      </c>
      <c r="S6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16" spans="1:19" ht="14.25" x14ac:dyDescent="0.2">
      <c r="A616">
        <v>13624627</v>
      </c>
      <c r="B616">
        <v>26</v>
      </c>
      <c r="C616" t="s">
        <v>20</v>
      </c>
      <c r="D616" t="s">
        <v>24</v>
      </c>
      <c r="E616" t="s">
        <v>16</v>
      </c>
      <c r="F616">
        <f>IF(Table2[[#This Row],[Attrition]]="Yes", 1, 0)</f>
        <v>1</v>
      </c>
      <c r="G616" t="s">
        <v>26</v>
      </c>
      <c r="H616" t="s">
        <v>23</v>
      </c>
      <c r="I616">
        <v>5</v>
      </c>
      <c r="J616">
        <v>2</v>
      </c>
      <c r="K616" t="s">
        <v>29</v>
      </c>
      <c r="L616">
        <v>3</v>
      </c>
      <c r="M616">
        <v>3</v>
      </c>
      <c r="N616" s="3">
        <v>2366</v>
      </c>
      <c r="O616" s="3" t="str">
        <f>IF(Table2[[#This Row],[MonthlyIncome]]&lt;=5000, "$1001 - $5000", IF(Table2[[#This Row],[MonthlyIncome]]&lt;=9000, "$5001 - $9000", IF(Table2[[#This Row],[MonthlyIncome]]&lt;=13000, "$9001 - $13000", IF(Table2[[#This Row],[MonthlyIncome]]&lt;=17000, "$13001 - $17000", IF(Table2[[#This Row],[MonthlyIncome]]&lt;=21000, "$17001 - $21000")))))</f>
        <v>$1001 - $5000</v>
      </c>
      <c r="P616">
        <v>1</v>
      </c>
      <c r="Q616">
        <v>3</v>
      </c>
      <c r="R616">
        <v>8</v>
      </c>
      <c r="S6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17" spans="1:19" ht="14.25" x14ac:dyDescent="0.2">
      <c r="A617">
        <v>27400312</v>
      </c>
      <c r="B617">
        <v>27</v>
      </c>
      <c r="C617" t="s">
        <v>25</v>
      </c>
      <c r="D617" t="s">
        <v>24</v>
      </c>
      <c r="E617" t="s">
        <v>22</v>
      </c>
      <c r="F617">
        <f>IF(Table2[[#This Row],[Attrition]]="Yes", 1, 0)</f>
        <v>0</v>
      </c>
      <c r="G617" t="s">
        <v>26</v>
      </c>
      <c r="H617" t="s">
        <v>23</v>
      </c>
      <c r="I617">
        <v>3</v>
      </c>
      <c r="J617">
        <v>3</v>
      </c>
      <c r="K617" t="s">
        <v>29</v>
      </c>
      <c r="L617">
        <v>4</v>
      </c>
      <c r="M617">
        <v>4</v>
      </c>
      <c r="N617" s="3">
        <v>1706</v>
      </c>
      <c r="O617" s="3" t="str">
        <f>IF(Table2[[#This Row],[MonthlyIncome]]&lt;=5000, "$1001 - $5000", IF(Table2[[#This Row],[MonthlyIncome]]&lt;=9000, "$5001 - $9000", IF(Table2[[#This Row],[MonthlyIncome]]&lt;=13000, "$9001 - $13000", IF(Table2[[#This Row],[MonthlyIncome]]&lt;=17000, "$13001 - $17000", IF(Table2[[#This Row],[MonthlyIncome]]&lt;=21000, "$17001 - $21000")))))</f>
        <v>$1001 - $5000</v>
      </c>
      <c r="P617">
        <v>1</v>
      </c>
      <c r="Q617">
        <v>2</v>
      </c>
      <c r="R617">
        <v>0</v>
      </c>
      <c r="S6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18" spans="1:19" ht="14.25" x14ac:dyDescent="0.2">
      <c r="A618">
        <v>68231401</v>
      </c>
      <c r="B618">
        <v>51</v>
      </c>
      <c r="C618" t="s">
        <v>20</v>
      </c>
      <c r="D618" t="s">
        <v>24</v>
      </c>
      <c r="E618" t="s">
        <v>22</v>
      </c>
      <c r="F618">
        <f>IF(Table2[[#This Row],[Attrition]]="Yes", 1, 0)</f>
        <v>0</v>
      </c>
      <c r="G618" t="s">
        <v>33</v>
      </c>
      <c r="H618" t="s">
        <v>17</v>
      </c>
      <c r="I618">
        <v>26</v>
      </c>
      <c r="J618">
        <v>4</v>
      </c>
      <c r="K618" t="s">
        <v>36</v>
      </c>
      <c r="L618">
        <v>1</v>
      </c>
      <c r="M618">
        <v>3</v>
      </c>
      <c r="N618" s="3">
        <v>16307</v>
      </c>
      <c r="O618" s="3" t="str">
        <f>IF(Table2[[#This Row],[MonthlyIncome]]&lt;=5000, "$1001 - $5000", IF(Table2[[#This Row],[MonthlyIncome]]&lt;=9000, "$5001 - $9000", IF(Table2[[#This Row],[MonthlyIncome]]&lt;=13000, "$9001 - $13000", IF(Table2[[#This Row],[MonthlyIncome]]&lt;=17000, "$13001 - $17000", IF(Table2[[#This Row],[MonthlyIncome]]&lt;=21000, "$17001 - $21000")))))</f>
        <v>$13001 - $17000</v>
      </c>
      <c r="P618">
        <v>2</v>
      </c>
      <c r="Q618">
        <v>2</v>
      </c>
      <c r="R618">
        <v>20</v>
      </c>
      <c r="S6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619" spans="1:19" ht="14.25" x14ac:dyDescent="0.2">
      <c r="A619">
        <v>56135360</v>
      </c>
      <c r="B619">
        <v>44</v>
      </c>
      <c r="C619" t="s">
        <v>25</v>
      </c>
      <c r="D619" t="s">
        <v>19</v>
      </c>
      <c r="E619" t="s">
        <v>22</v>
      </c>
      <c r="F619">
        <f>IF(Table2[[#This Row],[Attrition]]="Yes", 1, 0)</f>
        <v>0</v>
      </c>
      <c r="G619" t="s">
        <v>32</v>
      </c>
      <c r="H619" t="s">
        <v>23</v>
      </c>
      <c r="I619">
        <v>4</v>
      </c>
      <c r="J619">
        <v>3</v>
      </c>
      <c r="K619" t="s">
        <v>29</v>
      </c>
      <c r="L619">
        <v>4</v>
      </c>
      <c r="M619">
        <v>2</v>
      </c>
      <c r="N619" s="3">
        <v>5933</v>
      </c>
      <c r="O619" s="3" t="str">
        <f>IF(Table2[[#This Row],[MonthlyIncome]]&lt;=5000, "$1001 - $5000", IF(Table2[[#This Row],[MonthlyIncome]]&lt;=9000, "$5001 - $9000", IF(Table2[[#This Row],[MonthlyIncome]]&lt;=13000, "$9001 - $13000", IF(Table2[[#This Row],[MonthlyIncome]]&lt;=17000, "$13001 - $17000", IF(Table2[[#This Row],[MonthlyIncome]]&lt;=21000, "$17001 - $21000")))))</f>
        <v>$5001 - $9000</v>
      </c>
      <c r="P619">
        <v>9</v>
      </c>
      <c r="Q619">
        <v>2</v>
      </c>
      <c r="R619">
        <v>5</v>
      </c>
      <c r="S6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20" spans="1:19" ht="14.25" x14ac:dyDescent="0.2">
      <c r="A620">
        <v>89067911</v>
      </c>
      <c r="B620">
        <v>25</v>
      </c>
      <c r="C620" t="s">
        <v>25</v>
      </c>
      <c r="D620" t="s">
        <v>19</v>
      </c>
      <c r="E620" t="s">
        <v>22</v>
      </c>
      <c r="F620">
        <f>IF(Table2[[#This Row],[Attrition]]="Yes", 1, 0)</f>
        <v>0</v>
      </c>
      <c r="G620" t="s">
        <v>26</v>
      </c>
      <c r="H620" t="s">
        <v>23</v>
      </c>
      <c r="I620">
        <v>2</v>
      </c>
      <c r="J620">
        <v>1</v>
      </c>
      <c r="K620" t="s">
        <v>29</v>
      </c>
      <c r="L620">
        <v>1</v>
      </c>
      <c r="M620">
        <v>1</v>
      </c>
      <c r="N620" s="3">
        <v>3424</v>
      </c>
      <c r="O620" s="3" t="str">
        <f>IF(Table2[[#This Row],[MonthlyIncome]]&lt;=5000, "$1001 - $5000", IF(Table2[[#This Row],[MonthlyIncome]]&lt;=9000, "$5001 - $9000", IF(Table2[[#This Row],[MonthlyIncome]]&lt;=13000, "$9001 - $13000", IF(Table2[[#This Row],[MonthlyIncome]]&lt;=17000, "$13001 - $17000", IF(Table2[[#This Row],[MonthlyIncome]]&lt;=21000, "$17001 - $21000")))))</f>
        <v>$1001 - $5000</v>
      </c>
      <c r="P620">
        <v>7</v>
      </c>
      <c r="Q620">
        <v>2</v>
      </c>
      <c r="R620">
        <v>4</v>
      </c>
      <c r="S6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21" spans="1:19" ht="14.25" x14ac:dyDescent="0.2">
      <c r="A621">
        <v>62880492</v>
      </c>
      <c r="B621">
        <v>33</v>
      </c>
      <c r="C621" t="s">
        <v>25</v>
      </c>
      <c r="D621" t="s">
        <v>30</v>
      </c>
      <c r="E621" t="s">
        <v>22</v>
      </c>
      <c r="F621">
        <f>IF(Table2[[#This Row],[Attrition]]="Yes", 1, 0)</f>
        <v>0</v>
      </c>
      <c r="G621" t="s">
        <v>21</v>
      </c>
      <c r="H621" t="s">
        <v>17</v>
      </c>
      <c r="I621">
        <v>1</v>
      </c>
      <c r="J621">
        <v>3</v>
      </c>
      <c r="K621" t="s">
        <v>29</v>
      </c>
      <c r="L621">
        <v>1</v>
      </c>
      <c r="M621">
        <v>1</v>
      </c>
      <c r="N621" s="3">
        <v>4037</v>
      </c>
      <c r="O621" s="3" t="str">
        <f>IF(Table2[[#This Row],[MonthlyIncome]]&lt;=5000, "$1001 - $5000", IF(Table2[[#This Row],[MonthlyIncome]]&lt;=9000, "$5001 - $9000", IF(Table2[[#This Row],[MonthlyIncome]]&lt;=13000, "$9001 - $13000", IF(Table2[[#This Row],[MonthlyIncome]]&lt;=17000, "$13001 - $17000", IF(Table2[[#This Row],[MonthlyIncome]]&lt;=21000, "$17001 - $21000")))))</f>
        <v>$1001 - $5000</v>
      </c>
      <c r="P621">
        <v>1</v>
      </c>
      <c r="Q621">
        <v>3</v>
      </c>
      <c r="R621">
        <v>9</v>
      </c>
      <c r="S6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22" spans="1:19" ht="14.25" x14ac:dyDescent="0.2">
      <c r="A622">
        <v>10508190</v>
      </c>
      <c r="B622">
        <v>35</v>
      </c>
      <c r="C622" t="s">
        <v>20</v>
      </c>
      <c r="D622" t="s">
        <v>19</v>
      </c>
      <c r="E622" t="s">
        <v>22</v>
      </c>
      <c r="F622">
        <f>IF(Table2[[#This Row],[Attrition]]="Yes", 1, 0)</f>
        <v>0</v>
      </c>
      <c r="G622" t="s">
        <v>26</v>
      </c>
      <c r="H622" t="s">
        <v>23</v>
      </c>
      <c r="I622">
        <v>27</v>
      </c>
      <c r="J622">
        <v>1</v>
      </c>
      <c r="K622" t="s">
        <v>29</v>
      </c>
      <c r="L622">
        <v>3</v>
      </c>
      <c r="M622">
        <v>1</v>
      </c>
      <c r="N622" s="3">
        <v>2559</v>
      </c>
      <c r="O622" s="3" t="str">
        <f>IF(Table2[[#This Row],[MonthlyIncome]]&lt;=5000, "$1001 - $5000", IF(Table2[[#This Row],[MonthlyIncome]]&lt;=9000, "$5001 - $9000", IF(Table2[[#This Row],[MonthlyIncome]]&lt;=13000, "$9001 - $13000", IF(Table2[[#This Row],[MonthlyIncome]]&lt;=17000, "$13001 - $17000", IF(Table2[[#This Row],[MonthlyIncome]]&lt;=21000, "$17001 - $21000")))))</f>
        <v>$1001 - $5000</v>
      </c>
      <c r="P622">
        <v>1</v>
      </c>
      <c r="Q622">
        <v>2</v>
      </c>
      <c r="R622">
        <v>6</v>
      </c>
      <c r="S6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23" spans="1:19" ht="14.25" x14ac:dyDescent="0.2">
      <c r="A623">
        <v>47376879</v>
      </c>
      <c r="B623">
        <v>36</v>
      </c>
      <c r="C623" t="s">
        <v>25</v>
      </c>
      <c r="D623" t="s">
        <v>24</v>
      </c>
      <c r="E623" t="s">
        <v>22</v>
      </c>
      <c r="F623">
        <f>IF(Table2[[#This Row],[Attrition]]="Yes", 1, 0)</f>
        <v>0</v>
      </c>
      <c r="G623" t="s">
        <v>21</v>
      </c>
      <c r="H623" t="s">
        <v>17</v>
      </c>
      <c r="I623">
        <v>1</v>
      </c>
      <c r="J623">
        <v>2</v>
      </c>
      <c r="K623" t="s">
        <v>18</v>
      </c>
      <c r="L623">
        <v>2</v>
      </c>
      <c r="M623">
        <v>4</v>
      </c>
      <c r="N623" s="3">
        <v>6201</v>
      </c>
      <c r="O623" s="3" t="str">
        <f>IF(Table2[[#This Row],[MonthlyIncome]]&lt;=5000, "$1001 - $5000", IF(Table2[[#This Row],[MonthlyIncome]]&lt;=9000, "$5001 - $9000", IF(Table2[[#This Row],[MonthlyIncome]]&lt;=13000, "$9001 - $13000", IF(Table2[[#This Row],[MonthlyIncome]]&lt;=17000, "$13001 - $17000", IF(Table2[[#This Row],[MonthlyIncome]]&lt;=21000, "$17001 - $21000")))))</f>
        <v>$5001 - $9000</v>
      </c>
      <c r="P623">
        <v>1</v>
      </c>
      <c r="Q623">
        <v>2</v>
      </c>
      <c r="R623">
        <v>18</v>
      </c>
      <c r="S6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624" spans="1:19" ht="14.25" x14ac:dyDescent="0.2">
      <c r="A624">
        <v>79269312</v>
      </c>
      <c r="B624">
        <v>32</v>
      </c>
      <c r="C624" t="s">
        <v>25</v>
      </c>
      <c r="D624" t="s">
        <v>30</v>
      </c>
      <c r="E624" t="s">
        <v>22</v>
      </c>
      <c r="F624">
        <f>IF(Table2[[#This Row],[Attrition]]="Yes", 1, 0)</f>
        <v>0</v>
      </c>
      <c r="G624" t="s">
        <v>21</v>
      </c>
      <c r="H624" t="s">
        <v>17</v>
      </c>
      <c r="I624">
        <v>13</v>
      </c>
      <c r="J624">
        <v>4</v>
      </c>
      <c r="K624" t="s">
        <v>18</v>
      </c>
      <c r="L624">
        <v>2</v>
      </c>
      <c r="M624">
        <v>4</v>
      </c>
      <c r="N624" s="3">
        <v>4403</v>
      </c>
      <c r="O624" s="3" t="str">
        <f>IF(Table2[[#This Row],[MonthlyIncome]]&lt;=5000, "$1001 - $5000", IF(Table2[[#This Row],[MonthlyIncome]]&lt;=9000, "$5001 - $9000", IF(Table2[[#This Row],[MonthlyIncome]]&lt;=13000, "$9001 - $13000", IF(Table2[[#This Row],[MonthlyIncome]]&lt;=17000, "$13001 - $17000", IF(Table2[[#This Row],[MonthlyIncome]]&lt;=21000, "$17001 - $21000")))))</f>
        <v>$1001 - $5000</v>
      </c>
      <c r="P624">
        <v>2</v>
      </c>
      <c r="Q624">
        <v>2</v>
      </c>
      <c r="R624">
        <v>5</v>
      </c>
      <c r="S6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25" spans="1:19" ht="14.25" x14ac:dyDescent="0.2">
      <c r="A625">
        <v>69736188</v>
      </c>
      <c r="B625">
        <v>30</v>
      </c>
      <c r="C625" t="s">
        <v>25</v>
      </c>
      <c r="D625" t="s">
        <v>30</v>
      </c>
      <c r="E625" t="s">
        <v>22</v>
      </c>
      <c r="F625">
        <f>IF(Table2[[#This Row],[Attrition]]="Yes", 1, 0)</f>
        <v>0</v>
      </c>
      <c r="G625" t="s">
        <v>26</v>
      </c>
      <c r="H625" t="s">
        <v>23</v>
      </c>
      <c r="I625">
        <v>5</v>
      </c>
      <c r="J625">
        <v>4</v>
      </c>
      <c r="K625" t="s">
        <v>18</v>
      </c>
      <c r="L625">
        <v>2</v>
      </c>
      <c r="M625">
        <v>4</v>
      </c>
      <c r="N625" s="3">
        <v>3761</v>
      </c>
      <c r="O625" s="3" t="str">
        <f>IF(Table2[[#This Row],[MonthlyIncome]]&lt;=5000, "$1001 - $5000", IF(Table2[[#This Row],[MonthlyIncome]]&lt;=9000, "$5001 - $9000", IF(Table2[[#This Row],[MonthlyIncome]]&lt;=13000, "$9001 - $13000", IF(Table2[[#This Row],[MonthlyIncome]]&lt;=17000, "$13001 - $17000", IF(Table2[[#This Row],[MonthlyIncome]]&lt;=21000, "$17001 - $21000")))))</f>
        <v>$1001 - $5000</v>
      </c>
      <c r="P625">
        <v>9</v>
      </c>
      <c r="Q625">
        <v>2</v>
      </c>
      <c r="R625">
        <v>5</v>
      </c>
      <c r="S6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26" spans="1:19" ht="14.25" x14ac:dyDescent="0.2">
      <c r="A626">
        <v>75682587</v>
      </c>
      <c r="B626">
        <v>53</v>
      </c>
      <c r="C626" t="s">
        <v>20</v>
      </c>
      <c r="D626" t="s">
        <v>24</v>
      </c>
      <c r="E626" t="s">
        <v>22</v>
      </c>
      <c r="F626">
        <f>IF(Table2[[#This Row],[Attrition]]="Yes", 1, 0)</f>
        <v>0</v>
      </c>
      <c r="G626" t="s">
        <v>21</v>
      </c>
      <c r="H626" t="s">
        <v>17</v>
      </c>
      <c r="I626">
        <v>7</v>
      </c>
      <c r="J626">
        <v>2</v>
      </c>
      <c r="K626" t="s">
        <v>36</v>
      </c>
      <c r="L626">
        <v>1</v>
      </c>
      <c r="M626">
        <v>4</v>
      </c>
      <c r="N626" s="3">
        <v>10934</v>
      </c>
      <c r="O626" s="3" t="str">
        <f>IF(Table2[[#This Row],[MonthlyIncome]]&lt;=5000, "$1001 - $5000", IF(Table2[[#This Row],[MonthlyIncome]]&lt;=9000, "$5001 - $9000", IF(Table2[[#This Row],[MonthlyIncome]]&lt;=13000, "$9001 - $13000", IF(Table2[[#This Row],[MonthlyIncome]]&lt;=17000, "$13001 - $17000", IF(Table2[[#This Row],[MonthlyIncome]]&lt;=21000, "$17001 - $21000")))))</f>
        <v>$9001 - $13000</v>
      </c>
      <c r="P626">
        <v>7</v>
      </c>
      <c r="Q626">
        <v>3</v>
      </c>
      <c r="R626">
        <v>5</v>
      </c>
      <c r="S6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27" spans="1:19" ht="14.25" x14ac:dyDescent="0.2">
      <c r="A627">
        <v>38910208</v>
      </c>
      <c r="B627">
        <v>45</v>
      </c>
      <c r="C627" t="s">
        <v>25</v>
      </c>
      <c r="D627" t="s">
        <v>30</v>
      </c>
      <c r="E627" t="s">
        <v>22</v>
      </c>
      <c r="F627">
        <f>IF(Table2[[#This Row],[Attrition]]="Yes", 1, 0)</f>
        <v>0</v>
      </c>
      <c r="G627" t="s">
        <v>21</v>
      </c>
      <c r="H627" t="s">
        <v>17</v>
      </c>
      <c r="I627">
        <v>9</v>
      </c>
      <c r="J627">
        <v>3</v>
      </c>
      <c r="K627" t="s">
        <v>36</v>
      </c>
      <c r="L627">
        <v>4</v>
      </c>
      <c r="M627">
        <v>1</v>
      </c>
      <c r="N627" s="3">
        <v>10761</v>
      </c>
      <c r="O627" s="3" t="str">
        <f>IF(Table2[[#This Row],[MonthlyIncome]]&lt;=5000, "$1001 - $5000", IF(Table2[[#This Row],[MonthlyIncome]]&lt;=9000, "$5001 - $9000", IF(Table2[[#This Row],[MonthlyIncome]]&lt;=13000, "$9001 - $13000", IF(Table2[[#This Row],[MonthlyIncome]]&lt;=17000, "$13001 - $17000", IF(Table2[[#This Row],[MonthlyIncome]]&lt;=21000, "$17001 - $21000")))))</f>
        <v>$9001 - $13000</v>
      </c>
      <c r="P627">
        <v>4</v>
      </c>
      <c r="Q627">
        <v>3</v>
      </c>
      <c r="R627">
        <v>5</v>
      </c>
      <c r="S6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28" spans="1:19" ht="14.25" x14ac:dyDescent="0.2">
      <c r="A628">
        <v>88338629</v>
      </c>
      <c r="B628">
        <v>32</v>
      </c>
      <c r="C628" t="s">
        <v>20</v>
      </c>
      <c r="D628" t="s">
        <v>24</v>
      </c>
      <c r="E628" t="s">
        <v>22</v>
      </c>
      <c r="F628">
        <f>IF(Table2[[#This Row],[Attrition]]="Yes", 1, 0)</f>
        <v>0</v>
      </c>
      <c r="G628" t="s">
        <v>26</v>
      </c>
      <c r="H628" t="s">
        <v>23</v>
      </c>
      <c r="I628">
        <v>8</v>
      </c>
      <c r="J628">
        <v>2</v>
      </c>
      <c r="K628" t="s">
        <v>29</v>
      </c>
      <c r="L628">
        <v>3</v>
      </c>
      <c r="M628">
        <v>3</v>
      </c>
      <c r="N628" s="3">
        <v>5175</v>
      </c>
      <c r="O628" s="3" t="str">
        <f>IF(Table2[[#This Row],[MonthlyIncome]]&lt;=5000, "$1001 - $5000", IF(Table2[[#This Row],[MonthlyIncome]]&lt;=9000, "$5001 - $9000", IF(Table2[[#This Row],[MonthlyIncome]]&lt;=13000, "$9001 - $13000", IF(Table2[[#This Row],[MonthlyIncome]]&lt;=17000, "$13001 - $17000", IF(Table2[[#This Row],[MonthlyIncome]]&lt;=21000, "$17001 - $21000")))))</f>
        <v>$5001 - $9000</v>
      </c>
      <c r="P628">
        <v>5</v>
      </c>
      <c r="Q628">
        <v>2</v>
      </c>
      <c r="R628">
        <v>5</v>
      </c>
      <c r="S6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29" spans="1:19" ht="14.25" x14ac:dyDescent="0.2">
      <c r="A629">
        <v>44499902</v>
      </c>
      <c r="B629">
        <v>52</v>
      </c>
      <c r="C629" t="s">
        <v>20</v>
      </c>
      <c r="D629" t="s">
        <v>24</v>
      </c>
      <c r="E629" t="s">
        <v>22</v>
      </c>
      <c r="F629">
        <f>IF(Table2[[#This Row],[Attrition]]="Yes", 1, 0)</f>
        <v>0</v>
      </c>
      <c r="G629" t="s">
        <v>31</v>
      </c>
      <c r="H629" t="s">
        <v>23</v>
      </c>
      <c r="I629">
        <v>25</v>
      </c>
      <c r="J629">
        <v>4</v>
      </c>
      <c r="K629" t="s">
        <v>29</v>
      </c>
      <c r="L629">
        <v>3</v>
      </c>
      <c r="M629">
        <v>4</v>
      </c>
      <c r="N629" s="3">
        <v>13826</v>
      </c>
      <c r="O629" s="3" t="str">
        <f>IF(Table2[[#This Row],[MonthlyIncome]]&lt;=5000, "$1001 - $5000", IF(Table2[[#This Row],[MonthlyIncome]]&lt;=9000, "$5001 - $9000", IF(Table2[[#This Row],[MonthlyIncome]]&lt;=13000, "$9001 - $13000", IF(Table2[[#This Row],[MonthlyIncome]]&lt;=17000, "$13001 - $17000", IF(Table2[[#This Row],[MonthlyIncome]]&lt;=21000, "$17001 - $21000")))))</f>
        <v>$13001 - $17000</v>
      </c>
      <c r="P629">
        <v>3</v>
      </c>
      <c r="Q629">
        <v>3</v>
      </c>
      <c r="R629">
        <v>9</v>
      </c>
      <c r="S6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30" spans="1:19" ht="14.25" x14ac:dyDescent="0.2">
      <c r="A630">
        <v>69937737</v>
      </c>
      <c r="B630">
        <v>37</v>
      </c>
      <c r="C630" t="s">
        <v>25</v>
      </c>
      <c r="D630" t="s">
        <v>30</v>
      </c>
      <c r="E630" t="s">
        <v>22</v>
      </c>
      <c r="F630">
        <f>IF(Table2[[#This Row],[Attrition]]="Yes", 1, 0)</f>
        <v>0</v>
      </c>
      <c r="G630" t="s">
        <v>21</v>
      </c>
      <c r="H630" t="s">
        <v>17</v>
      </c>
      <c r="I630">
        <v>16</v>
      </c>
      <c r="J630">
        <v>4</v>
      </c>
      <c r="K630" t="s">
        <v>36</v>
      </c>
      <c r="L630">
        <v>4</v>
      </c>
      <c r="M630">
        <v>3</v>
      </c>
      <c r="N630" s="3">
        <v>6334</v>
      </c>
      <c r="O630" s="3" t="str">
        <f>IF(Table2[[#This Row],[MonthlyIncome]]&lt;=5000, "$1001 - $5000", IF(Table2[[#This Row],[MonthlyIncome]]&lt;=9000, "$5001 - $9000", IF(Table2[[#This Row],[MonthlyIncome]]&lt;=13000, "$9001 - $13000", IF(Table2[[#This Row],[MonthlyIncome]]&lt;=17000, "$13001 - $17000", IF(Table2[[#This Row],[MonthlyIncome]]&lt;=21000, "$17001 - $21000")))))</f>
        <v>$5001 - $9000</v>
      </c>
      <c r="P630">
        <v>4</v>
      </c>
      <c r="Q630">
        <v>3</v>
      </c>
      <c r="R630">
        <v>1</v>
      </c>
      <c r="S6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31" spans="1:19" ht="14.25" x14ac:dyDescent="0.2">
      <c r="A631">
        <v>35011765</v>
      </c>
      <c r="B631">
        <v>28</v>
      </c>
      <c r="C631" t="s">
        <v>25</v>
      </c>
      <c r="D631" t="s">
        <v>30</v>
      </c>
      <c r="E631" t="s">
        <v>22</v>
      </c>
      <c r="F631">
        <f>IF(Table2[[#This Row],[Attrition]]="Yes", 1, 0)</f>
        <v>0</v>
      </c>
      <c r="G631" t="s">
        <v>38</v>
      </c>
      <c r="H631" t="s">
        <v>38</v>
      </c>
      <c r="I631">
        <v>8</v>
      </c>
      <c r="J631">
        <v>2</v>
      </c>
      <c r="K631" t="s">
        <v>29</v>
      </c>
      <c r="L631">
        <v>2</v>
      </c>
      <c r="M631">
        <v>4</v>
      </c>
      <c r="N631" s="3">
        <v>4936</v>
      </c>
      <c r="O631" s="3" t="str">
        <f>IF(Table2[[#This Row],[MonthlyIncome]]&lt;=5000, "$1001 - $5000", IF(Table2[[#This Row],[MonthlyIncome]]&lt;=9000, "$5001 - $9000", IF(Table2[[#This Row],[MonthlyIncome]]&lt;=13000, "$9001 - $13000", IF(Table2[[#This Row],[MonthlyIncome]]&lt;=17000, "$13001 - $17000", IF(Table2[[#This Row],[MonthlyIncome]]&lt;=21000, "$17001 - $21000")))))</f>
        <v>$1001 - $5000</v>
      </c>
      <c r="P631">
        <v>1</v>
      </c>
      <c r="Q631">
        <v>3</v>
      </c>
      <c r="R631">
        <v>5</v>
      </c>
      <c r="S6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32" spans="1:19" ht="14.25" x14ac:dyDescent="0.2">
      <c r="A632">
        <v>34717842</v>
      </c>
      <c r="B632">
        <v>22</v>
      </c>
      <c r="C632" t="s">
        <v>25</v>
      </c>
      <c r="D632" t="s">
        <v>24</v>
      </c>
      <c r="E632" t="s">
        <v>22</v>
      </c>
      <c r="F632">
        <f>IF(Table2[[#This Row],[Attrition]]="Yes", 1, 0)</f>
        <v>0</v>
      </c>
      <c r="G632" t="s">
        <v>31</v>
      </c>
      <c r="H632" t="s">
        <v>23</v>
      </c>
      <c r="I632">
        <v>1</v>
      </c>
      <c r="J632">
        <v>2</v>
      </c>
      <c r="K632" t="s">
        <v>18</v>
      </c>
      <c r="L632">
        <v>4</v>
      </c>
      <c r="M632">
        <v>4</v>
      </c>
      <c r="N632" s="3">
        <v>4775</v>
      </c>
      <c r="O632" s="3" t="str">
        <f>IF(Table2[[#This Row],[MonthlyIncome]]&lt;=5000, "$1001 - $5000", IF(Table2[[#This Row],[MonthlyIncome]]&lt;=9000, "$5001 - $9000", IF(Table2[[#This Row],[MonthlyIncome]]&lt;=13000, "$9001 - $13000", IF(Table2[[#This Row],[MonthlyIncome]]&lt;=17000, "$13001 - $17000", IF(Table2[[#This Row],[MonthlyIncome]]&lt;=21000, "$17001 - $21000")))))</f>
        <v>$1001 - $5000</v>
      </c>
      <c r="P632">
        <v>6</v>
      </c>
      <c r="Q632">
        <v>1</v>
      </c>
      <c r="R632">
        <v>2</v>
      </c>
      <c r="S6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33" spans="1:19" ht="14.25" x14ac:dyDescent="0.2">
      <c r="A633">
        <v>15383278</v>
      </c>
      <c r="B633">
        <v>44</v>
      </c>
      <c r="C633" t="s">
        <v>25</v>
      </c>
      <c r="D633" t="s">
        <v>24</v>
      </c>
      <c r="E633" t="s">
        <v>22</v>
      </c>
      <c r="F633">
        <f>IF(Table2[[#This Row],[Attrition]]="Yes", 1, 0)</f>
        <v>0</v>
      </c>
      <c r="G633" t="s">
        <v>28</v>
      </c>
      <c r="H633" t="s">
        <v>23</v>
      </c>
      <c r="I633">
        <v>8</v>
      </c>
      <c r="J633">
        <v>4</v>
      </c>
      <c r="K633" t="s">
        <v>18</v>
      </c>
      <c r="L633">
        <v>1</v>
      </c>
      <c r="M633">
        <v>4</v>
      </c>
      <c r="N633" s="3">
        <v>2818</v>
      </c>
      <c r="O633" s="3" t="str">
        <f>IF(Table2[[#This Row],[MonthlyIncome]]&lt;=5000, "$1001 - $5000", IF(Table2[[#This Row],[MonthlyIncome]]&lt;=9000, "$5001 - $9000", IF(Table2[[#This Row],[MonthlyIncome]]&lt;=13000, "$9001 - $13000", IF(Table2[[#This Row],[MonthlyIncome]]&lt;=17000, "$13001 - $17000", IF(Table2[[#This Row],[MonthlyIncome]]&lt;=21000, "$17001 - $21000")))))</f>
        <v>$1001 - $5000</v>
      </c>
      <c r="P633">
        <v>2</v>
      </c>
      <c r="Q633">
        <v>2</v>
      </c>
      <c r="R633">
        <v>3</v>
      </c>
      <c r="S6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34" spans="1:19" ht="14.25" x14ac:dyDescent="0.2">
      <c r="A634">
        <v>18240879</v>
      </c>
      <c r="B634">
        <v>42</v>
      </c>
      <c r="C634" t="s">
        <v>25</v>
      </c>
      <c r="D634" t="s">
        <v>19</v>
      </c>
      <c r="E634" t="s">
        <v>22</v>
      </c>
      <c r="F634">
        <f>IF(Table2[[#This Row],[Attrition]]="Yes", 1, 0)</f>
        <v>0</v>
      </c>
      <c r="G634" t="s">
        <v>26</v>
      </c>
      <c r="H634" t="s">
        <v>23</v>
      </c>
      <c r="I634">
        <v>2</v>
      </c>
      <c r="J634">
        <v>1</v>
      </c>
      <c r="K634" t="s">
        <v>29</v>
      </c>
      <c r="L634">
        <v>2</v>
      </c>
      <c r="M634">
        <v>4</v>
      </c>
      <c r="N634" s="3">
        <v>2515</v>
      </c>
      <c r="O634" s="3" t="str">
        <f>IF(Table2[[#This Row],[MonthlyIncome]]&lt;=5000, "$1001 - $5000", IF(Table2[[#This Row],[MonthlyIncome]]&lt;=9000, "$5001 - $9000", IF(Table2[[#This Row],[MonthlyIncome]]&lt;=13000, "$9001 - $13000", IF(Table2[[#This Row],[MonthlyIncome]]&lt;=17000, "$13001 - $17000", IF(Table2[[#This Row],[MonthlyIncome]]&lt;=21000, "$17001 - $21000")))))</f>
        <v>$1001 - $5000</v>
      </c>
      <c r="P634">
        <v>5</v>
      </c>
      <c r="Q634">
        <v>3</v>
      </c>
      <c r="R634">
        <v>2</v>
      </c>
      <c r="S6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35" spans="1:19" ht="14.25" x14ac:dyDescent="0.2">
      <c r="A635">
        <v>12385313</v>
      </c>
      <c r="B635">
        <v>36</v>
      </c>
      <c r="C635" t="s">
        <v>25</v>
      </c>
      <c r="D635" t="s">
        <v>24</v>
      </c>
      <c r="E635" t="s">
        <v>22</v>
      </c>
      <c r="F635">
        <f>IF(Table2[[#This Row],[Attrition]]="Yes", 1, 0)</f>
        <v>0</v>
      </c>
      <c r="G635" t="s">
        <v>38</v>
      </c>
      <c r="H635" t="s">
        <v>38</v>
      </c>
      <c r="I635">
        <v>8</v>
      </c>
      <c r="J635">
        <v>3</v>
      </c>
      <c r="K635" t="s">
        <v>18</v>
      </c>
      <c r="L635">
        <v>1</v>
      </c>
      <c r="M635">
        <v>1</v>
      </c>
      <c r="N635" s="3">
        <v>2342</v>
      </c>
      <c r="O635" s="3" t="str">
        <f>IF(Table2[[#This Row],[MonthlyIncome]]&lt;=5000, "$1001 - $5000", IF(Table2[[#This Row],[MonthlyIncome]]&lt;=9000, "$5001 - $9000", IF(Table2[[#This Row],[MonthlyIncome]]&lt;=13000, "$9001 - $13000", IF(Table2[[#This Row],[MonthlyIncome]]&lt;=17000, "$13001 - $17000", IF(Table2[[#This Row],[MonthlyIncome]]&lt;=21000, "$17001 - $21000")))))</f>
        <v>$1001 - $5000</v>
      </c>
      <c r="P635">
        <v>0</v>
      </c>
      <c r="Q635">
        <v>3</v>
      </c>
      <c r="R635">
        <v>5</v>
      </c>
      <c r="S6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36" spans="1:19" ht="14.25" x14ac:dyDescent="0.2">
      <c r="A636">
        <v>53204466</v>
      </c>
      <c r="B636">
        <v>25</v>
      </c>
      <c r="C636" t="s">
        <v>25</v>
      </c>
      <c r="D636" t="s">
        <v>24</v>
      </c>
      <c r="E636" t="s">
        <v>22</v>
      </c>
      <c r="F636">
        <f>IF(Table2[[#This Row],[Attrition]]="Yes", 1, 0)</f>
        <v>0</v>
      </c>
      <c r="G636" t="s">
        <v>21</v>
      </c>
      <c r="H636" t="s">
        <v>17</v>
      </c>
      <c r="I636">
        <v>3</v>
      </c>
      <c r="J636">
        <v>1</v>
      </c>
      <c r="K636" t="s">
        <v>27</v>
      </c>
      <c r="L636">
        <v>3</v>
      </c>
      <c r="M636">
        <v>1</v>
      </c>
      <c r="N636" s="3">
        <v>4194</v>
      </c>
      <c r="O636" s="3" t="str">
        <f>IF(Table2[[#This Row],[MonthlyIncome]]&lt;=5000, "$1001 - $5000", IF(Table2[[#This Row],[MonthlyIncome]]&lt;=9000, "$5001 - $9000", IF(Table2[[#This Row],[MonthlyIncome]]&lt;=13000, "$9001 - $13000", IF(Table2[[#This Row],[MonthlyIncome]]&lt;=17000, "$13001 - $17000", IF(Table2[[#This Row],[MonthlyIncome]]&lt;=21000, "$17001 - $21000")))))</f>
        <v>$1001 - $5000</v>
      </c>
      <c r="P636">
        <v>1</v>
      </c>
      <c r="Q636">
        <v>3</v>
      </c>
      <c r="R636">
        <v>5</v>
      </c>
      <c r="S6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37" spans="1:19" ht="14.25" x14ac:dyDescent="0.2">
      <c r="A637">
        <v>29335107</v>
      </c>
      <c r="B637">
        <v>35</v>
      </c>
      <c r="C637" t="s">
        <v>20</v>
      </c>
      <c r="D637" t="s">
        <v>24</v>
      </c>
      <c r="E637" t="s">
        <v>22</v>
      </c>
      <c r="F637">
        <f>IF(Table2[[#This Row],[Attrition]]="Yes", 1, 0)</f>
        <v>0</v>
      </c>
      <c r="G637" t="s">
        <v>31</v>
      </c>
      <c r="H637" t="s">
        <v>23</v>
      </c>
      <c r="I637">
        <v>9</v>
      </c>
      <c r="J637">
        <v>3</v>
      </c>
      <c r="K637" t="s">
        <v>18</v>
      </c>
      <c r="L637">
        <v>4</v>
      </c>
      <c r="M637">
        <v>3</v>
      </c>
      <c r="N637" s="3">
        <v>10685</v>
      </c>
      <c r="O637" s="3" t="str">
        <f>IF(Table2[[#This Row],[MonthlyIncome]]&lt;=5000, "$1001 - $5000", IF(Table2[[#This Row],[MonthlyIncome]]&lt;=9000, "$5001 - $9000", IF(Table2[[#This Row],[MonthlyIncome]]&lt;=13000, "$9001 - $13000", IF(Table2[[#This Row],[MonthlyIncome]]&lt;=17000, "$13001 - $17000", IF(Table2[[#This Row],[MonthlyIncome]]&lt;=21000, "$17001 - $21000")))))</f>
        <v>$9001 - $13000</v>
      </c>
      <c r="P637">
        <v>1</v>
      </c>
      <c r="Q637">
        <v>3</v>
      </c>
      <c r="R637">
        <v>17</v>
      </c>
      <c r="S6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638" spans="1:19" ht="14.25" x14ac:dyDescent="0.2">
      <c r="A638">
        <v>55543286</v>
      </c>
      <c r="B638">
        <v>35</v>
      </c>
      <c r="C638" t="s">
        <v>20</v>
      </c>
      <c r="D638" t="s">
        <v>30</v>
      </c>
      <c r="E638" t="s">
        <v>16</v>
      </c>
      <c r="F638">
        <f>IF(Table2[[#This Row],[Attrition]]="Yes", 1, 0)</f>
        <v>1</v>
      </c>
      <c r="G638" t="s">
        <v>26</v>
      </c>
      <c r="H638" t="s">
        <v>23</v>
      </c>
      <c r="I638">
        <v>25</v>
      </c>
      <c r="J638">
        <v>4</v>
      </c>
      <c r="K638" t="s">
        <v>18</v>
      </c>
      <c r="L638">
        <v>4</v>
      </c>
      <c r="M638">
        <v>2</v>
      </c>
      <c r="N638" s="3">
        <v>2022</v>
      </c>
      <c r="O638" s="3" t="str">
        <f>IF(Table2[[#This Row],[MonthlyIncome]]&lt;=5000, "$1001 - $5000", IF(Table2[[#This Row],[MonthlyIncome]]&lt;=9000, "$5001 - $9000", IF(Table2[[#This Row],[MonthlyIncome]]&lt;=13000, "$9001 - $13000", IF(Table2[[#This Row],[MonthlyIncome]]&lt;=17000, "$13001 - $17000", IF(Table2[[#This Row],[MonthlyIncome]]&lt;=21000, "$17001 - $21000")))))</f>
        <v>$1001 - $5000</v>
      </c>
      <c r="P638">
        <v>1</v>
      </c>
      <c r="Q638">
        <v>2</v>
      </c>
      <c r="R638">
        <v>10</v>
      </c>
      <c r="S6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639" spans="1:19" ht="14.25" x14ac:dyDescent="0.2">
      <c r="A639">
        <v>86850077</v>
      </c>
      <c r="B639">
        <v>32</v>
      </c>
      <c r="C639" t="s">
        <v>25</v>
      </c>
      <c r="D639" t="s">
        <v>30</v>
      </c>
      <c r="E639" t="s">
        <v>22</v>
      </c>
      <c r="F639">
        <f>IF(Table2[[#This Row],[Attrition]]="Yes", 1, 0)</f>
        <v>0</v>
      </c>
      <c r="G639" t="s">
        <v>28</v>
      </c>
      <c r="H639" t="s">
        <v>23</v>
      </c>
      <c r="I639">
        <v>1</v>
      </c>
      <c r="J639">
        <v>3</v>
      </c>
      <c r="K639" t="s">
        <v>18</v>
      </c>
      <c r="L639">
        <v>4</v>
      </c>
      <c r="M639">
        <v>4</v>
      </c>
      <c r="N639" s="3">
        <v>2314</v>
      </c>
      <c r="O639" s="3" t="str">
        <f>IF(Table2[[#This Row],[MonthlyIncome]]&lt;=5000, "$1001 - $5000", IF(Table2[[#This Row],[MonthlyIncome]]&lt;=9000, "$5001 - $9000", IF(Table2[[#This Row],[MonthlyIncome]]&lt;=13000, "$9001 - $13000", IF(Table2[[#This Row],[MonthlyIncome]]&lt;=17000, "$13001 - $17000", IF(Table2[[#This Row],[MonthlyIncome]]&lt;=21000, "$17001 - $21000")))))</f>
        <v>$1001 - $5000</v>
      </c>
      <c r="P639">
        <v>0</v>
      </c>
      <c r="Q639">
        <v>3</v>
      </c>
      <c r="R639">
        <v>3</v>
      </c>
      <c r="S6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40" spans="1:19" ht="14.25" x14ac:dyDescent="0.2">
      <c r="A640">
        <v>69490486</v>
      </c>
      <c r="B640">
        <v>25</v>
      </c>
      <c r="C640" t="s">
        <v>25</v>
      </c>
      <c r="D640" t="s">
        <v>24</v>
      </c>
      <c r="E640" t="s">
        <v>22</v>
      </c>
      <c r="F640">
        <f>IF(Table2[[#This Row],[Attrition]]="Yes", 1, 0)</f>
        <v>0</v>
      </c>
      <c r="G640" t="s">
        <v>21</v>
      </c>
      <c r="H640" t="s">
        <v>17</v>
      </c>
      <c r="I640">
        <v>4</v>
      </c>
      <c r="J640">
        <v>1</v>
      </c>
      <c r="K640" t="s">
        <v>36</v>
      </c>
      <c r="L640">
        <v>3</v>
      </c>
      <c r="M640">
        <v>1</v>
      </c>
      <c r="N640" s="3">
        <v>4256</v>
      </c>
      <c r="O640" s="3" t="str">
        <f>IF(Table2[[#This Row],[MonthlyIncome]]&lt;=5000, "$1001 - $5000", IF(Table2[[#This Row],[MonthlyIncome]]&lt;=9000, "$5001 - $9000", IF(Table2[[#This Row],[MonthlyIncome]]&lt;=13000, "$9001 - $13000", IF(Table2[[#This Row],[MonthlyIncome]]&lt;=17000, "$13001 - $17000", IF(Table2[[#This Row],[MonthlyIncome]]&lt;=21000, "$17001 - $21000")))))</f>
        <v>$1001 - $5000</v>
      </c>
      <c r="P640">
        <v>1</v>
      </c>
      <c r="Q640">
        <v>4</v>
      </c>
      <c r="R640">
        <v>5</v>
      </c>
      <c r="S6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41" spans="1:19" ht="14.25" x14ac:dyDescent="0.2">
      <c r="A641">
        <v>72082090</v>
      </c>
      <c r="B641">
        <v>49</v>
      </c>
      <c r="C641" t="s">
        <v>20</v>
      </c>
      <c r="D641" t="s">
        <v>24</v>
      </c>
      <c r="E641" t="s">
        <v>22</v>
      </c>
      <c r="F641">
        <f>IF(Table2[[#This Row],[Attrition]]="Yes", 1, 0)</f>
        <v>0</v>
      </c>
      <c r="G641" t="s">
        <v>26</v>
      </c>
      <c r="H641" t="s">
        <v>23</v>
      </c>
      <c r="I641">
        <v>1</v>
      </c>
      <c r="J641">
        <v>3</v>
      </c>
      <c r="K641" t="s">
        <v>37</v>
      </c>
      <c r="L641">
        <v>3</v>
      </c>
      <c r="M641">
        <v>1</v>
      </c>
      <c r="N641" s="3">
        <v>3580</v>
      </c>
      <c r="O641" s="3" t="str">
        <f>IF(Table2[[#This Row],[MonthlyIncome]]&lt;=5000, "$1001 - $5000", IF(Table2[[#This Row],[MonthlyIncome]]&lt;=9000, "$5001 - $9000", IF(Table2[[#This Row],[MonthlyIncome]]&lt;=13000, "$9001 - $13000", IF(Table2[[#This Row],[MonthlyIncome]]&lt;=17000, "$13001 - $17000", IF(Table2[[#This Row],[MonthlyIncome]]&lt;=21000, "$17001 - $21000")))))</f>
        <v>$1001 - $5000</v>
      </c>
      <c r="P641">
        <v>2</v>
      </c>
      <c r="Q641">
        <v>3</v>
      </c>
      <c r="R641">
        <v>4</v>
      </c>
      <c r="S6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42" spans="1:19" ht="14.25" x14ac:dyDescent="0.2">
      <c r="A642">
        <v>49378489</v>
      </c>
      <c r="B642">
        <v>24</v>
      </c>
      <c r="C642" t="s">
        <v>25</v>
      </c>
      <c r="D642" t="s">
        <v>24</v>
      </c>
      <c r="E642" t="s">
        <v>22</v>
      </c>
      <c r="F642">
        <f>IF(Table2[[#This Row],[Attrition]]="Yes", 1, 0)</f>
        <v>0</v>
      </c>
      <c r="G642" t="s">
        <v>28</v>
      </c>
      <c r="H642" t="s">
        <v>23</v>
      </c>
      <c r="I642">
        <v>4</v>
      </c>
      <c r="J642">
        <v>1</v>
      </c>
      <c r="K642" t="s">
        <v>18</v>
      </c>
      <c r="L642">
        <v>1</v>
      </c>
      <c r="M642">
        <v>4</v>
      </c>
      <c r="N642" s="3">
        <v>3162</v>
      </c>
      <c r="O642" s="3" t="str">
        <f>IF(Table2[[#This Row],[MonthlyIncome]]&lt;=5000, "$1001 - $5000", IF(Table2[[#This Row],[MonthlyIncome]]&lt;=9000, "$5001 - $9000", IF(Table2[[#This Row],[MonthlyIncome]]&lt;=13000, "$9001 - $13000", IF(Table2[[#This Row],[MonthlyIncome]]&lt;=17000, "$13001 - $17000", IF(Table2[[#This Row],[MonthlyIncome]]&lt;=21000, "$17001 - $21000")))))</f>
        <v>$1001 - $5000</v>
      </c>
      <c r="P642">
        <v>0</v>
      </c>
      <c r="Q642">
        <v>2</v>
      </c>
      <c r="R642">
        <v>5</v>
      </c>
      <c r="S6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43" spans="1:19" ht="14.25" x14ac:dyDescent="0.2">
      <c r="A643">
        <v>19488774</v>
      </c>
      <c r="B643">
        <v>32</v>
      </c>
      <c r="C643" t="s">
        <v>25</v>
      </c>
      <c r="D643" t="s">
        <v>24</v>
      </c>
      <c r="E643" t="s">
        <v>22</v>
      </c>
      <c r="F643">
        <f>IF(Table2[[#This Row],[Attrition]]="Yes", 1, 0)</f>
        <v>0</v>
      </c>
      <c r="G643" t="s">
        <v>21</v>
      </c>
      <c r="H643" t="s">
        <v>17</v>
      </c>
      <c r="I643">
        <v>5</v>
      </c>
      <c r="J643">
        <v>2</v>
      </c>
      <c r="K643" t="s">
        <v>18</v>
      </c>
      <c r="L643">
        <v>2</v>
      </c>
      <c r="M643">
        <v>2</v>
      </c>
      <c r="N643" s="3">
        <v>6524</v>
      </c>
      <c r="O643" s="3" t="str">
        <f>IF(Table2[[#This Row],[MonthlyIncome]]&lt;=5000, "$1001 - $5000", IF(Table2[[#This Row],[MonthlyIncome]]&lt;=9000, "$5001 - $9000", IF(Table2[[#This Row],[MonthlyIncome]]&lt;=13000, "$9001 - $13000", IF(Table2[[#This Row],[MonthlyIncome]]&lt;=17000, "$13001 - $17000", IF(Table2[[#This Row],[MonthlyIncome]]&lt;=21000, "$17001 - $21000")))))</f>
        <v>$5001 - $9000</v>
      </c>
      <c r="P643">
        <v>1</v>
      </c>
      <c r="Q643">
        <v>3</v>
      </c>
      <c r="R643">
        <v>10</v>
      </c>
      <c r="S6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644" spans="1:19" ht="14.25" x14ac:dyDescent="0.2">
      <c r="A644">
        <v>10041801</v>
      </c>
      <c r="B644">
        <v>38</v>
      </c>
      <c r="C644" t="s">
        <v>25</v>
      </c>
      <c r="D644" t="s">
        <v>24</v>
      </c>
      <c r="E644" t="s">
        <v>22</v>
      </c>
      <c r="F644">
        <f>IF(Table2[[#This Row],[Attrition]]="Yes", 1, 0)</f>
        <v>0</v>
      </c>
      <c r="G644" t="s">
        <v>34</v>
      </c>
      <c r="H644" t="s">
        <v>17</v>
      </c>
      <c r="I644">
        <v>9</v>
      </c>
      <c r="J644">
        <v>3</v>
      </c>
      <c r="K644" t="s">
        <v>36</v>
      </c>
      <c r="L644">
        <v>2</v>
      </c>
      <c r="M644">
        <v>2</v>
      </c>
      <c r="N644" s="3">
        <v>2899</v>
      </c>
      <c r="O644" s="3" t="str">
        <f>IF(Table2[[#This Row],[MonthlyIncome]]&lt;=5000, "$1001 - $5000", IF(Table2[[#This Row],[MonthlyIncome]]&lt;=9000, "$5001 - $9000", IF(Table2[[#This Row],[MonthlyIncome]]&lt;=13000, "$9001 - $13000", IF(Table2[[#This Row],[MonthlyIncome]]&lt;=17000, "$13001 - $17000", IF(Table2[[#This Row],[MonthlyIncome]]&lt;=21000, "$17001 - $21000")))))</f>
        <v>$1001 - $5000</v>
      </c>
      <c r="P644">
        <v>0</v>
      </c>
      <c r="Q644">
        <v>3</v>
      </c>
      <c r="R644">
        <v>2</v>
      </c>
      <c r="S6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45" spans="1:19" ht="14.25" x14ac:dyDescent="0.2">
      <c r="A645">
        <v>76264970</v>
      </c>
      <c r="B645">
        <v>42</v>
      </c>
      <c r="C645" t="s">
        <v>20</v>
      </c>
      <c r="D645" t="s">
        <v>24</v>
      </c>
      <c r="E645" t="s">
        <v>22</v>
      </c>
      <c r="F645">
        <f>IF(Table2[[#This Row],[Attrition]]="Yes", 1, 0)</f>
        <v>0</v>
      </c>
      <c r="G645" t="s">
        <v>28</v>
      </c>
      <c r="H645" t="s">
        <v>23</v>
      </c>
      <c r="I645">
        <v>3</v>
      </c>
      <c r="J645">
        <v>3</v>
      </c>
      <c r="K645" t="s">
        <v>18</v>
      </c>
      <c r="L645">
        <v>3</v>
      </c>
      <c r="M645">
        <v>4</v>
      </c>
      <c r="N645" s="3">
        <v>5231</v>
      </c>
      <c r="O645" s="3" t="str">
        <f>IF(Table2[[#This Row],[MonthlyIncome]]&lt;=5000, "$1001 - $5000", IF(Table2[[#This Row],[MonthlyIncome]]&lt;=9000, "$5001 - $9000", IF(Table2[[#This Row],[MonthlyIncome]]&lt;=13000, "$9001 - $13000", IF(Table2[[#This Row],[MonthlyIncome]]&lt;=17000, "$13001 - $17000", IF(Table2[[#This Row],[MonthlyIncome]]&lt;=21000, "$17001 - $21000")))))</f>
        <v>$5001 - $9000</v>
      </c>
      <c r="P645">
        <v>2</v>
      </c>
      <c r="Q645">
        <v>2</v>
      </c>
      <c r="R645">
        <v>5</v>
      </c>
      <c r="S6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46" spans="1:19" ht="14.25" x14ac:dyDescent="0.2">
      <c r="A646">
        <v>86834270</v>
      </c>
      <c r="B646">
        <v>31</v>
      </c>
      <c r="C646" t="s">
        <v>25</v>
      </c>
      <c r="D646" t="s">
        <v>24</v>
      </c>
      <c r="E646" t="s">
        <v>22</v>
      </c>
      <c r="F646">
        <f>IF(Table2[[#This Row],[Attrition]]="Yes", 1, 0)</f>
        <v>0</v>
      </c>
      <c r="G646" t="s">
        <v>26</v>
      </c>
      <c r="H646" t="s">
        <v>23</v>
      </c>
      <c r="I646">
        <v>11</v>
      </c>
      <c r="J646">
        <v>4</v>
      </c>
      <c r="K646" t="s">
        <v>18</v>
      </c>
      <c r="L646">
        <v>4</v>
      </c>
      <c r="M646">
        <v>4</v>
      </c>
      <c r="N646" s="3">
        <v>2356</v>
      </c>
      <c r="O646" s="3" t="str">
        <f>IF(Table2[[#This Row],[MonthlyIncome]]&lt;=5000, "$1001 - $5000", IF(Table2[[#This Row],[MonthlyIncome]]&lt;=9000, "$5001 - $9000", IF(Table2[[#This Row],[MonthlyIncome]]&lt;=13000, "$9001 - $13000", IF(Table2[[#This Row],[MonthlyIncome]]&lt;=17000, "$13001 - $17000", IF(Table2[[#This Row],[MonthlyIncome]]&lt;=21000, "$17001 - $21000")))))</f>
        <v>$1001 - $5000</v>
      </c>
      <c r="P646">
        <v>3</v>
      </c>
      <c r="Q646">
        <v>3</v>
      </c>
      <c r="R646">
        <v>6</v>
      </c>
      <c r="S6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47" spans="1:19" ht="14.25" x14ac:dyDescent="0.2">
      <c r="A647">
        <v>56036763</v>
      </c>
      <c r="B647">
        <v>29</v>
      </c>
      <c r="C647" t="s">
        <v>20</v>
      </c>
      <c r="D647" t="s">
        <v>30</v>
      </c>
      <c r="E647" t="s">
        <v>16</v>
      </c>
      <c r="F647">
        <f>IF(Table2[[#This Row],[Attrition]]="Yes", 1, 0)</f>
        <v>1</v>
      </c>
      <c r="G647" t="s">
        <v>34</v>
      </c>
      <c r="H647" t="s">
        <v>17</v>
      </c>
      <c r="I647">
        <v>1</v>
      </c>
      <c r="J647">
        <v>3</v>
      </c>
      <c r="K647" t="s">
        <v>29</v>
      </c>
      <c r="L647">
        <v>2</v>
      </c>
      <c r="M647">
        <v>3</v>
      </c>
      <c r="N647" s="3">
        <v>2800</v>
      </c>
      <c r="O647" s="3" t="str">
        <f>IF(Table2[[#This Row],[MonthlyIncome]]&lt;=5000, "$1001 - $5000", IF(Table2[[#This Row],[MonthlyIncome]]&lt;=9000, "$5001 - $9000", IF(Table2[[#This Row],[MonthlyIncome]]&lt;=13000, "$9001 - $13000", IF(Table2[[#This Row],[MonthlyIncome]]&lt;=17000, "$13001 - $17000", IF(Table2[[#This Row],[MonthlyIncome]]&lt;=21000, "$17001 - $21000")))))</f>
        <v>$1001 - $5000</v>
      </c>
      <c r="P647">
        <v>6</v>
      </c>
      <c r="Q647">
        <v>3</v>
      </c>
      <c r="R647">
        <v>3</v>
      </c>
      <c r="S6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48" spans="1:19" ht="14.25" x14ac:dyDescent="0.2">
      <c r="A648">
        <v>52987880</v>
      </c>
      <c r="B648">
        <v>53</v>
      </c>
      <c r="C648" t="s">
        <v>25</v>
      </c>
      <c r="D648" t="s">
        <v>24</v>
      </c>
      <c r="E648" t="s">
        <v>22</v>
      </c>
      <c r="F648">
        <f>IF(Table2[[#This Row],[Attrition]]="Yes", 1, 0)</f>
        <v>0</v>
      </c>
      <c r="G648" t="s">
        <v>21</v>
      </c>
      <c r="H648" t="s">
        <v>17</v>
      </c>
      <c r="I648">
        <v>8</v>
      </c>
      <c r="J648">
        <v>3</v>
      </c>
      <c r="K648" t="s">
        <v>36</v>
      </c>
      <c r="L648">
        <v>1</v>
      </c>
      <c r="M648">
        <v>4</v>
      </c>
      <c r="N648" s="3">
        <v>11836</v>
      </c>
      <c r="O648" s="3" t="str">
        <f>IF(Table2[[#This Row],[MonthlyIncome]]&lt;=5000, "$1001 - $5000", IF(Table2[[#This Row],[MonthlyIncome]]&lt;=9000, "$5001 - $9000", IF(Table2[[#This Row],[MonthlyIncome]]&lt;=13000, "$9001 - $13000", IF(Table2[[#This Row],[MonthlyIncome]]&lt;=17000, "$13001 - $17000", IF(Table2[[#This Row],[MonthlyIncome]]&lt;=21000, "$17001 - $21000")))))</f>
        <v>$9001 - $13000</v>
      </c>
      <c r="P648">
        <v>5</v>
      </c>
      <c r="Q648">
        <v>3</v>
      </c>
      <c r="R648">
        <v>2</v>
      </c>
      <c r="S6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49" spans="1:19" ht="14.25" x14ac:dyDescent="0.2">
      <c r="A649">
        <v>64402530</v>
      </c>
      <c r="B649">
        <v>35</v>
      </c>
      <c r="C649" t="s">
        <v>25</v>
      </c>
      <c r="D649" t="s">
        <v>24</v>
      </c>
      <c r="E649" t="s">
        <v>22</v>
      </c>
      <c r="F649">
        <f>IF(Table2[[#This Row],[Attrition]]="Yes", 1, 0)</f>
        <v>0</v>
      </c>
      <c r="G649" t="s">
        <v>31</v>
      </c>
      <c r="H649" t="s">
        <v>23</v>
      </c>
      <c r="I649">
        <v>25</v>
      </c>
      <c r="J649">
        <v>3</v>
      </c>
      <c r="K649" t="s">
        <v>37</v>
      </c>
      <c r="L649">
        <v>4</v>
      </c>
      <c r="M649">
        <v>2</v>
      </c>
      <c r="N649" s="3">
        <v>10903</v>
      </c>
      <c r="O649" s="3" t="str">
        <f>IF(Table2[[#This Row],[MonthlyIncome]]&lt;=5000, "$1001 - $5000", IF(Table2[[#This Row],[MonthlyIncome]]&lt;=9000, "$5001 - $9000", IF(Table2[[#This Row],[MonthlyIncome]]&lt;=13000, "$9001 - $13000", IF(Table2[[#This Row],[MonthlyIncome]]&lt;=17000, "$13001 - $17000", IF(Table2[[#This Row],[MonthlyIncome]]&lt;=21000, "$17001 - $21000")))))</f>
        <v>$9001 - $13000</v>
      </c>
      <c r="P649">
        <v>3</v>
      </c>
      <c r="Q649">
        <v>3</v>
      </c>
      <c r="R649">
        <v>13</v>
      </c>
      <c r="S6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650" spans="1:19" ht="14.25" x14ac:dyDescent="0.2">
      <c r="A650">
        <v>35296981</v>
      </c>
      <c r="B650">
        <v>37</v>
      </c>
      <c r="C650" t="s">
        <v>20</v>
      </c>
      <c r="D650" t="s">
        <v>24</v>
      </c>
      <c r="E650" t="s">
        <v>22</v>
      </c>
      <c r="F650">
        <f>IF(Table2[[#This Row],[Attrition]]="Yes", 1, 0)</f>
        <v>0</v>
      </c>
      <c r="G650" t="s">
        <v>34</v>
      </c>
      <c r="H650" t="s">
        <v>17</v>
      </c>
      <c r="I650">
        <v>21</v>
      </c>
      <c r="J650">
        <v>2</v>
      </c>
      <c r="K650" t="s">
        <v>29</v>
      </c>
      <c r="L650">
        <v>3</v>
      </c>
      <c r="M650">
        <v>4</v>
      </c>
      <c r="N650" s="3">
        <v>2973</v>
      </c>
      <c r="O650" s="3" t="str">
        <f>IF(Table2[[#This Row],[MonthlyIncome]]&lt;=5000, "$1001 - $5000", IF(Table2[[#This Row],[MonthlyIncome]]&lt;=9000, "$5001 - $9000", IF(Table2[[#This Row],[MonthlyIncome]]&lt;=13000, "$9001 - $13000", IF(Table2[[#This Row],[MonthlyIncome]]&lt;=17000, "$13001 - $17000", IF(Table2[[#This Row],[MonthlyIncome]]&lt;=21000, "$17001 - $21000")))))</f>
        <v>$1001 - $5000</v>
      </c>
      <c r="P650">
        <v>5</v>
      </c>
      <c r="Q650">
        <v>3</v>
      </c>
      <c r="R650">
        <v>5</v>
      </c>
      <c r="S6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51" spans="1:19" ht="14.25" x14ac:dyDescent="0.2">
      <c r="A651">
        <v>39242154</v>
      </c>
      <c r="B651">
        <v>53</v>
      </c>
      <c r="C651" t="s">
        <v>20</v>
      </c>
      <c r="D651" t="s">
        <v>19</v>
      </c>
      <c r="E651" t="s">
        <v>22</v>
      </c>
      <c r="F651">
        <f>IF(Table2[[#This Row],[Attrition]]="Yes", 1, 0)</f>
        <v>0</v>
      </c>
      <c r="G651" t="s">
        <v>35</v>
      </c>
      <c r="H651" t="s">
        <v>23</v>
      </c>
      <c r="I651">
        <v>23</v>
      </c>
      <c r="J651">
        <v>4</v>
      </c>
      <c r="K651" t="s">
        <v>18</v>
      </c>
      <c r="L651">
        <v>4</v>
      </c>
      <c r="M651">
        <v>4</v>
      </c>
      <c r="N651" s="3">
        <v>14275</v>
      </c>
      <c r="O651" s="3" t="str">
        <f>IF(Table2[[#This Row],[MonthlyIncome]]&lt;=5000, "$1001 - $5000", IF(Table2[[#This Row],[MonthlyIncome]]&lt;=9000, "$5001 - $9000", IF(Table2[[#This Row],[MonthlyIncome]]&lt;=13000, "$9001 - $13000", IF(Table2[[#This Row],[MonthlyIncome]]&lt;=17000, "$13001 - $17000", IF(Table2[[#This Row],[MonthlyIncome]]&lt;=21000, "$17001 - $21000")))))</f>
        <v>$13001 - $17000</v>
      </c>
      <c r="P651">
        <v>6</v>
      </c>
      <c r="Q651">
        <v>3</v>
      </c>
      <c r="R651">
        <v>12</v>
      </c>
      <c r="S6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652" spans="1:19" ht="14.25" x14ac:dyDescent="0.2">
      <c r="A652">
        <v>71781401</v>
      </c>
      <c r="B652">
        <v>43</v>
      </c>
      <c r="C652" t="s">
        <v>20</v>
      </c>
      <c r="D652" t="s">
        <v>24</v>
      </c>
      <c r="E652" t="s">
        <v>22</v>
      </c>
      <c r="F652">
        <f>IF(Table2[[#This Row],[Attrition]]="Yes", 1, 0)</f>
        <v>0</v>
      </c>
      <c r="G652" t="s">
        <v>32</v>
      </c>
      <c r="H652" t="s">
        <v>23</v>
      </c>
      <c r="I652">
        <v>1</v>
      </c>
      <c r="J652">
        <v>3</v>
      </c>
      <c r="K652" t="s">
        <v>18</v>
      </c>
      <c r="L652">
        <v>4</v>
      </c>
      <c r="M652">
        <v>4</v>
      </c>
      <c r="N652" s="3">
        <v>5562</v>
      </c>
      <c r="O652" s="3" t="str">
        <f>IF(Table2[[#This Row],[MonthlyIncome]]&lt;=5000, "$1001 - $5000", IF(Table2[[#This Row],[MonthlyIncome]]&lt;=9000, "$5001 - $9000", IF(Table2[[#This Row],[MonthlyIncome]]&lt;=13000, "$9001 - $13000", IF(Table2[[#This Row],[MonthlyIncome]]&lt;=17000, "$13001 - $17000", IF(Table2[[#This Row],[MonthlyIncome]]&lt;=21000, "$17001 - $21000")))))</f>
        <v>$5001 - $9000</v>
      </c>
      <c r="P652">
        <v>4</v>
      </c>
      <c r="Q652">
        <v>2</v>
      </c>
      <c r="R652">
        <v>5</v>
      </c>
      <c r="S6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53" spans="1:19" ht="14.25" x14ac:dyDescent="0.2">
      <c r="A653">
        <v>46933903</v>
      </c>
      <c r="B653">
        <v>47</v>
      </c>
      <c r="C653" t="s">
        <v>20</v>
      </c>
      <c r="D653" t="s">
        <v>24</v>
      </c>
      <c r="E653" t="s">
        <v>22</v>
      </c>
      <c r="F653">
        <f>IF(Table2[[#This Row],[Attrition]]="Yes", 1, 0)</f>
        <v>0</v>
      </c>
      <c r="G653" t="s">
        <v>21</v>
      </c>
      <c r="H653" t="s">
        <v>17</v>
      </c>
      <c r="I653">
        <v>2</v>
      </c>
      <c r="J653">
        <v>2</v>
      </c>
      <c r="K653" t="s">
        <v>36</v>
      </c>
      <c r="L653">
        <v>3</v>
      </c>
      <c r="M653">
        <v>4</v>
      </c>
      <c r="N653" s="3">
        <v>4537</v>
      </c>
      <c r="O653" s="3" t="str">
        <f>IF(Table2[[#This Row],[MonthlyIncome]]&lt;=5000, "$1001 - $5000", IF(Table2[[#This Row],[MonthlyIncome]]&lt;=9000, "$5001 - $9000", IF(Table2[[#This Row],[MonthlyIncome]]&lt;=13000, "$9001 - $13000", IF(Table2[[#This Row],[MonthlyIncome]]&lt;=17000, "$13001 - $17000", IF(Table2[[#This Row],[MonthlyIncome]]&lt;=21000, "$17001 - $21000")))))</f>
        <v>$1001 - $5000</v>
      </c>
      <c r="P653">
        <v>0</v>
      </c>
      <c r="Q653">
        <v>3</v>
      </c>
      <c r="R653">
        <v>7</v>
      </c>
      <c r="S6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54" spans="1:19" ht="14.25" x14ac:dyDescent="0.2">
      <c r="A654">
        <v>72726767</v>
      </c>
      <c r="B654">
        <v>37</v>
      </c>
      <c r="C654" t="s">
        <v>25</v>
      </c>
      <c r="D654" t="s">
        <v>19</v>
      </c>
      <c r="E654" t="s">
        <v>22</v>
      </c>
      <c r="F654">
        <f>IF(Table2[[#This Row],[Attrition]]="Yes", 1, 0)</f>
        <v>0</v>
      </c>
      <c r="G654" t="s">
        <v>21</v>
      </c>
      <c r="H654" t="s">
        <v>17</v>
      </c>
      <c r="I654">
        <v>19</v>
      </c>
      <c r="J654">
        <v>2</v>
      </c>
      <c r="K654" t="s">
        <v>29</v>
      </c>
      <c r="L654">
        <v>1</v>
      </c>
      <c r="M654">
        <v>2</v>
      </c>
      <c r="N654" s="3">
        <v>7642</v>
      </c>
      <c r="O654" s="3" t="str">
        <f>IF(Table2[[#This Row],[MonthlyIncome]]&lt;=5000, "$1001 - $5000", IF(Table2[[#This Row],[MonthlyIncome]]&lt;=9000, "$5001 - $9000", IF(Table2[[#This Row],[MonthlyIncome]]&lt;=13000, "$9001 - $13000", IF(Table2[[#This Row],[MonthlyIncome]]&lt;=17000, "$13001 - $17000", IF(Table2[[#This Row],[MonthlyIncome]]&lt;=21000, "$17001 - $21000")))))</f>
        <v>$5001 - $9000</v>
      </c>
      <c r="P654">
        <v>1</v>
      </c>
      <c r="Q654">
        <v>3</v>
      </c>
      <c r="R654">
        <v>10</v>
      </c>
      <c r="S6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655" spans="1:19" ht="14.25" x14ac:dyDescent="0.2">
      <c r="A655">
        <v>25605913</v>
      </c>
      <c r="B655">
        <v>50</v>
      </c>
      <c r="C655" t="s">
        <v>25</v>
      </c>
      <c r="D655" t="s">
        <v>30</v>
      </c>
      <c r="E655" t="s">
        <v>22</v>
      </c>
      <c r="F655">
        <f>IF(Table2[[#This Row],[Attrition]]="Yes", 1, 0)</f>
        <v>0</v>
      </c>
      <c r="G655" t="s">
        <v>33</v>
      </c>
      <c r="H655" t="s">
        <v>23</v>
      </c>
      <c r="I655">
        <v>2</v>
      </c>
      <c r="J655">
        <v>4</v>
      </c>
      <c r="K655" t="s">
        <v>18</v>
      </c>
      <c r="L655">
        <v>1</v>
      </c>
      <c r="M655">
        <v>1</v>
      </c>
      <c r="N655" s="3">
        <v>17924</v>
      </c>
      <c r="O655" s="3" t="str">
        <f>IF(Table2[[#This Row],[MonthlyIncome]]&lt;=5000, "$1001 - $5000", IF(Table2[[#This Row],[MonthlyIncome]]&lt;=9000, "$5001 - $9000", IF(Table2[[#This Row],[MonthlyIncome]]&lt;=13000, "$9001 - $13000", IF(Table2[[#This Row],[MonthlyIncome]]&lt;=17000, "$13001 - $17000", IF(Table2[[#This Row],[MonthlyIncome]]&lt;=21000, "$17001 - $21000")))))</f>
        <v>$17001 - $21000</v>
      </c>
      <c r="P655">
        <v>1</v>
      </c>
      <c r="Q655">
        <v>3</v>
      </c>
      <c r="R655">
        <v>31</v>
      </c>
      <c r="S6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30 - 35 Years</v>
      </c>
    </row>
    <row r="656" spans="1:19" ht="14.25" x14ac:dyDescent="0.2">
      <c r="A656">
        <v>65216349</v>
      </c>
      <c r="B656">
        <v>39</v>
      </c>
      <c r="C656" t="s">
        <v>20</v>
      </c>
      <c r="D656" t="s">
        <v>24</v>
      </c>
      <c r="E656" t="s">
        <v>22</v>
      </c>
      <c r="F656">
        <f>IF(Table2[[#This Row],[Attrition]]="Yes", 1, 0)</f>
        <v>0</v>
      </c>
      <c r="G656" t="s">
        <v>38</v>
      </c>
      <c r="H656" t="s">
        <v>38</v>
      </c>
      <c r="I656">
        <v>2</v>
      </c>
      <c r="J656">
        <v>3</v>
      </c>
      <c r="K656" t="s">
        <v>18</v>
      </c>
      <c r="L656">
        <v>4</v>
      </c>
      <c r="M656">
        <v>4</v>
      </c>
      <c r="N656" s="3">
        <v>5204</v>
      </c>
      <c r="O656" s="3" t="str">
        <f>IF(Table2[[#This Row],[MonthlyIncome]]&lt;=5000, "$1001 - $5000", IF(Table2[[#This Row],[MonthlyIncome]]&lt;=9000, "$5001 - $9000", IF(Table2[[#This Row],[MonthlyIncome]]&lt;=13000, "$9001 - $13000", IF(Table2[[#This Row],[MonthlyIncome]]&lt;=17000, "$13001 - $17000", IF(Table2[[#This Row],[MonthlyIncome]]&lt;=21000, "$17001 - $21000")))))</f>
        <v>$5001 - $9000</v>
      </c>
      <c r="P656">
        <v>8</v>
      </c>
      <c r="Q656">
        <v>3</v>
      </c>
      <c r="R656">
        <v>5</v>
      </c>
      <c r="S6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57" spans="1:19" ht="14.25" x14ac:dyDescent="0.2">
      <c r="A657">
        <v>56399237</v>
      </c>
      <c r="B657">
        <v>33</v>
      </c>
      <c r="C657" t="s">
        <v>25</v>
      </c>
      <c r="D657" t="s">
        <v>30</v>
      </c>
      <c r="E657" t="s">
        <v>22</v>
      </c>
      <c r="F657">
        <f>IF(Table2[[#This Row],[Attrition]]="Yes", 1, 0)</f>
        <v>0</v>
      </c>
      <c r="G657" t="s">
        <v>38</v>
      </c>
      <c r="H657" t="s">
        <v>38</v>
      </c>
      <c r="I657">
        <v>3</v>
      </c>
      <c r="J657">
        <v>2</v>
      </c>
      <c r="K657" t="s">
        <v>38</v>
      </c>
      <c r="L657">
        <v>4</v>
      </c>
      <c r="M657">
        <v>2</v>
      </c>
      <c r="N657" s="3">
        <v>2277</v>
      </c>
      <c r="O657" s="3" t="str">
        <f>IF(Table2[[#This Row],[MonthlyIncome]]&lt;=5000, "$1001 - $5000", IF(Table2[[#This Row],[MonthlyIncome]]&lt;=9000, "$5001 - $9000", IF(Table2[[#This Row],[MonthlyIncome]]&lt;=13000, "$9001 - $13000", IF(Table2[[#This Row],[MonthlyIncome]]&lt;=17000, "$13001 - $17000", IF(Table2[[#This Row],[MonthlyIncome]]&lt;=21000, "$17001 - $21000")))))</f>
        <v>$1001 - $5000</v>
      </c>
      <c r="P657">
        <v>3</v>
      </c>
      <c r="Q657">
        <v>4</v>
      </c>
      <c r="R657">
        <v>4</v>
      </c>
      <c r="S6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58" spans="1:19" ht="14.25" x14ac:dyDescent="0.2">
      <c r="A658">
        <v>16728148</v>
      </c>
      <c r="B658">
        <v>32</v>
      </c>
      <c r="C658" t="s">
        <v>25</v>
      </c>
      <c r="D658" t="s">
        <v>19</v>
      </c>
      <c r="E658" t="s">
        <v>16</v>
      </c>
      <c r="F658">
        <f>IF(Table2[[#This Row],[Attrition]]="Yes", 1, 0)</f>
        <v>1</v>
      </c>
      <c r="G658" t="s">
        <v>28</v>
      </c>
      <c r="H658" t="s">
        <v>23</v>
      </c>
      <c r="I658">
        <v>25</v>
      </c>
      <c r="J658">
        <v>4</v>
      </c>
      <c r="K658" t="s">
        <v>18</v>
      </c>
      <c r="L658">
        <v>1</v>
      </c>
      <c r="M658">
        <v>4</v>
      </c>
      <c r="N658" s="3">
        <v>2795</v>
      </c>
      <c r="O658" s="3" t="str">
        <f>IF(Table2[[#This Row],[MonthlyIncome]]&lt;=5000, "$1001 - $5000", IF(Table2[[#This Row],[MonthlyIncome]]&lt;=9000, "$5001 - $9000", IF(Table2[[#This Row],[MonthlyIncome]]&lt;=13000, "$9001 - $13000", IF(Table2[[#This Row],[MonthlyIncome]]&lt;=17000, "$13001 - $17000", IF(Table2[[#This Row],[MonthlyIncome]]&lt;=21000, "$17001 - $21000")))))</f>
        <v>$1001 - $5000</v>
      </c>
      <c r="P658">
        <v>1</v>
      </c>
      <c r="Q658">
        <v>1</v>
      </c>
      <c r="R658">
        <v>1</v>
      </c>
      <c r="S6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59" spans="1:19" ht="14.25" x14ac:dyDescent="0.2">
      <c r="A659">
        <v>30399723</v>
      </c>
      <c r="B659">
        <v>29</v>
      </c>
      <c r="C659" t="s">
        <v>20</v>
      </c>
      <c r="D659" t="s">
        <v>30</v>
      </c>
      <c r="E659" t="s">
        <v>22</v>
      </c>
      <c r="F659">
        <f>IF(Table2[[#This Row],[Attrition]]="Yes", 1, 0)</f>
        <v>0</v>
      </c>
      <c r="G659" t="s">
        <v>28</v>
      </c>
      <c r="H659" t="s">
        <v>23</v>
      </c>
      <c r="I659">
        <v>7</v>
      </c>
      <c r="J659">
        <v>1</v>
      </c>
      <c r="K659" t="s">
        <v>29</v>
      </c>
      <c r="L659">
        <v>1</v>
      </c>
      <c r="M659">
        <v>4</v>
      </c>
      <c r="N659" s="3">
        <v>2532</v>
      </c>
      <c r="O659" s="3" t="str">
        <f>IF(Table2[[#This Row],[MonthlyIncome]]&lt;=5000, "$1001 - $5000", IF(Table2[[#This Row],[MonthlyIncome]]&lt;=9000, "$5001 - $9000", IF(Table2[[#This Row],[MonthlyIncome]]&lt;=13000, "$9001 - $13000", IF(Table2[[#This Row],[MonthlyIncome]]&lt;=17000, "$13001 - $17000", IF(Table2[[#This Row],[MonthlyIncome]]&lt;=21000, "$17001 - $21000")))))</f>
        <v>$1001 - $5000</v>
      </c>
      <c r="P659">
        <v>6</v>
      </c>
      <c r="Q659">
        <v>3</v>
      </c>
      <c r="R659">
        <v>4</v>
      </c>
      <c r="S6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60" spans="1:19" ht="14.25" x14ac:dyDescent="0.2">
      <c r="A660">
        <v>33629236</v>
      </c>
      <c r="B660">
        <v>44</v>
      </c>
      <c r="C660" t="s">
        <v>25</v>
      </c>
      <c r="D660" t="s">
        <v>24</v>
      </c>
      <c r="E660" t="s">
        <v>22</v>
      </c>
      <c r="F660">
        <f>IF(Table2[[#This Row],[Attrition]]="Yes", 1, 0)</f>
        <v>0</v>
      </c>
      <c r="G660" t="s">
        <v>26</v>
      </c>
      <c r="H660" t="s">
        <v>23</v>
      </c>
      <c r="I660">
        <v>9</v>
      </c>
      <c r="J660">
        <v>2</v>
      </c>
      <c r="K660" t="s">
        <v>18</v>
      </c>
      <c r="L660">
        <v>2</v>
      </c>
      <c r="M660">
        <v>1</v>
      </c>
      <c r="N660" s="3">
        <v>2559</v>
      </c>
      <c r="O660" s="3" t="str">
        <f>IF(Table2[[#This Row],[MonthlyIncome]]&lt;=5000, "$1001 - $5000", IF(Table2[[#This Row],[MonthlyIncome]]&lt;=9000, "$5001 - $9000", IF(Table2[[#This Row],[MonthlyIncome]]&lt;=13000, "$9001 - $13000", IF(Table2[[#This Row],[MonthlyIncome]]&lt;=17000, "$13001 - $17000", IF(Table2[[#This Row],[MonthlyIncome]]&lt;=21000, "$17001 - $21000")))))</f>
        <v>$1001 - $5000</v>
      </c>
      <c r="P660">
        <v>1</v>
      </c>
      <c r="Q660">
        <v>3</v>
      </c>
      <c r="R660">
        <v>8</v>
      </c>
      <c r="S6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61" spans="1:19" ht="14.25" x14ac:dyDescent="0.2">
      <c r="A661">
        <v>33710906</v>
      </c>
      <c r="B661">
        <v>28</v>
      </c>
      <c r="C661" t="s">
        <v>25</v>
      </c>
      <c r="D661" t="s">
        <v>19</v>
      </c>
      <c r="E661" t="s">
        <v>22</v>
      </c>
      <c r="F661">
        <f>IF(Table2[[#This Row],[Attrition]]="Yes", 1, 0)</f>
        <v>0</v>
      </c>
      <c r="G661" t="s">
        <v>21</v>
      </c>
      <c r="H661" t="s">
        <v>17</v>
      </c>
      <c r="I661">
        <v>5</v>
      </c>
      <c r="J661">
        <v>4</v>
      </c>
      <c r="K661" t="s">
        <v>29</v>
      </c>
      <c r="L661">
        <v>1</v>
      </c>
      <c r="M661">
        <v>4</v>
      </c>
      <c r="N661" s="3">
        <v>4908</v>
      </c>
      <c r="O661" s="3" t="str">
        <f>IF(Table2[[#This Row],[MonthlyIncome]]&lt;=5000, "$1001 - $5000", IF(Table2[[#This Row],[MonthlyIncome]]&lt;=9000, "$5001 - $9000", IF(Table2[[#This Row],[MonthlyIncome]]&lt;=13000, "$9001 - $13000", IF(Table2[[#This Row],[MonthlyIncome]]&lt;=17000, "$13001 - $17000", IF(Table2[[#This Row],[MonthlyIncome]]&lt;=21000, "$17001 - $21000")))))</f>
        <v>$1001 - $5000</v>
      </c>
      <c r="P661">
        <v>1</v>
      </c>
      <c r="Q661">
        <v>3</v>
      </c>
      <c r="R661">
        <v>4</v>
      </c>
      <c r="S6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62" spans="1:19" ht="14.25" x14ac:dyDescent="0.2">
      <c r="A662">
        <v>36781621</v>
      </c>
      <c r="B662">
        <v>58</v>
      </c>
      <c r="C662" t="s">
        <v>25</v>
      </c>
      <c r="D662" t="s">
        <v>30</v>
      </c>
      <c r="E662" t="s">
        <v>16</v>
      </c>
      <c r="F662">
        <f>IF(Table2[[#This Row],[Attrition]]="Yes", 1, 0)</f>
        <v>1</v>
      </c>
      <c r="G662" t="s">
        <v>28</v>
      </c>
      <c r="H662" t="s">
        <v>23</v>
      </c>
      <c r="I662">
        <v>2</v>
      </c>
      <c r="J662">
        <v>1</v>
      </c>
      <c r="K662" t="s">
        <v>18</v>
      </c>
      <c r="L662">
        <v>4</v>
      </c>
      <c r="M662">
        <v>4</v>
      </c>
      <c r="N662" s="3">
        <v>2380</v>
      </c>
      <c r="O662" s="3" t="str">
        <f>IF(Table2[[#This Row],[MonthlyIncome]]&lt;=5000, "$1001 - $5000", IF(Table2[[#This Row],[MonthlyIncome]]&lt;=9000, "$5001 - $9000", IF(Table2[[#This Row],[MonthlyIncome]]&lt;=13000, "$9001 - $13000", IF(Table2[[#This Row],[MonthlyIncome]]&lt;=17000, "$13001 - $17000", IF(Table2[[#This Row],[MonthlyIncome]]&lt;=21000, "$17001 - $21000")))))</f>
        <v>$1001 - $5000</v>
      </c>
      <c r="P662">
        <v>9</v>
      </c>
      <c r="Q662">
        <v>2</v>
      </c>
      <c r="R662">
        <v>1</v>
      </c>
      <c r="S6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63" spans="1:19" ht="14.25" x14ac:dyDescent="0.2">
      <c r="A663">
        <v>80820934</v>
      </c>
      <c r="B663">
        <v>43</v>
      </c>
      <c r="C663" t="s">
        <v>20</v>
      </c>
      <c r="D663" t="s">
        <v>30</v>
      </c>
      <c r="E663" t="s">
        <v>22</v>
      </c>
      <c r="F663">
        <f>IF(Table2[[#This Row],[Attrition]]="Yes", 1, 0)</f>
        <v>0</v>
      </c>
      <c r="G663" t="s">
        <v>31</v>
      </c>
      <c r="H663" t="s">
        <v>23</v>
      </c>
      <c r="I663">
        <v>8</v>
      </c>
      <c r="J663">
        <v>3</v>
      </c>
      <c r="K663" t="s">
        <v>18</v>
      </c>
      <c r="L663">
        <v>1</v>
      </c>
      <c r="M663">
        <v>2</v>
      </c>
      <c r="N663" s="3">
        <v>4765</v>
      </c>
      <c r="O663" s="3" t="str">
        <f>IF(Table2[[#This Row],[MonthlyIncome]]&lt;=5000, "$1001 - $5000", IF(Table2[[#This Row],[MonthlyIncome]]&lt;=9000, "$5001 - $9000", IF(Table2[[#This Row],[MonthlyIncome]]&lt;=13000, "$9001 - $13000", IF(Table2[[#This Row],[MonthlyIncome]]&lt;=17000, "$13001 - $17000", IF(Table2[[#This Row],[MonthlyIncome]]&lt;=21000, "$17001 - $21000")))))</f>
        <v>$1001 - $5000</v>
      </c>
      <c r="P663">
        <v>4</v>
      </c>
      <c r="Q663">
        <v>4</v>
      </c>
      <c r="R663">
        <v>1</v>
      </c>
      <c r="S6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64" spans="1:19" ht="14.25" x14ac:dyDescent="0.2">
      <c r="A664">
        <v>36075517</v>
      </c>
      <c r="B664">
        <v>20</v>
      </c>
      <c r="C664" t="s">
        <v>20</v>
      </c>
      <c r="D664" t="s">
        <v>19</v>
      </c>
      <c r="E664" t="s">
        <v>16</v>
      </c>
      <c r="F664">
        <f>IF(Table2[[#This Row],[Attrition]]="Yes", 1, 0)</f>
        <v>1</v>
      </c>
      <c r="G664" t="s">
        <v>34</v>
      </c>
      <c r="H664" t="s">
        <v>17</v>
      </c>
      <c r="I664">
        <v>2</v>
      </c>
      <c r="J664">
        <v>3</v>
      </c>
      <c r="K664" t="s">
        <v>29</v>
      </c>
      <c r="L664">
        <v>3</v>
      </c>
      <c r="M664">
        <v>3</v>
      </c>
      <c r="N664" s="3">
        <v>2044</v>
      </c>
      <c r="O664" s="3" t="str">
        <f>IF(Table2[[#This Row],[MonthlyIncome]]&lt;=5000, "$1001 - $5000", IF(Table2[[#This Row],[MonthlyIncome]]&lt;=9000, "$5001 - $9000", IF(Table2[[#This Row],[MonthlyIncome]]&lt;=13000, "$9001 - $13000", IF(Table2[[#This Row],[MonthlyIncome]]&lt;=17000, "$13001 - $17000", IF(Table2[[#This Row],[MonthlyIncome]]&lt;=21000, "$17001 - $21000")))))</f>
        <v>$1001 - $5000</v>
      </c>
      <c r="P664">
        <v>1</v>
      </c>
      <c r="Q664">
        <v>2</v>
      </c>
      <c r="R664">
        <v>2</v>
      </c>
      <c r="S6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65" spans="1:19" ht="14.25" x14ac:dyDescent="0.2">
      <c r="A665">
        <v>83717250</v>
      </c>
      <c r="B665">
        <v>21</v>
      </c>
      <c r="C665" t="s">
        <v>20</v>
      </c>
      <c r="D665" t="s">
        <v>19</v>
      </c>
      <c r="E665" t="s">
        <v>16</v>
      </c>
      <c r="F665">
        <f>IF(Table2[[#This Row],[Attrition]]="Yes", 1, 0)</f>
        <v>1</v>
      </c>
      <c r="G665" t="s">
        <v>26</v>
      </c>
      <c r="H665" t="s">
        <v>23</v>
      </c>
      <c r="I665">
        <v>18</v>
      </c>
      <c r="J665">
        <v>1</v>
      </c>
      <c r="K665" t="s">
        <v>27</v>
      </c>
      <c r="L665">
        <v>4</v>
      </c>
      <c r="M665">
        <v>4</v>
      </c>
      <c r="N665" s="3">
        <v>2693</v>
      </c>
      <c r="O665" s="3" t="str">
        <f>IF(Table2[[#This Row],[MonthlyIncome]]&lt;=5000, "$1001 - $5000", IF(Table2[[#This Row],[MonthlyIncome]]&lt;=9000, "$5001 - $9000", IF(Table2[[#This Row],[MonthlyIncome]]&lt;=13000, "$9001 - $13000", IF(Table2[[#This Row],[MonthlyIncome]]&lt;=17000, "$13001 - $17000", IF(Table2[[#This Row],[MonthlyIncome]]&lt;=21000, "$17001 - $21000")))))</f>
        <v>$1001 - $5000</v>
      </c>
      <c r="P665">
        <v>1</v>
      </c>
      <c r="Q665">
        <v>2</v>
      </c>
      <c r="R665">
        <v>1</v>
      </c>
      <c r="S6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66" spans="1:19" ht="14.25" x14ac:dyDescent="0.2">
      <c r="A666">
        <v>61488076</v>
      </c>
      <c r="B666">
        <v>36</v>
      </c>
      <c r="C666" t="s">
        <v>25</v>
      </c>
      <c r="D666" t="s">
        <v>24</v>
      </c>
      <c r="E666" t="s">
        <v>22</v>
      </c>
      <c r="F666">
        <f>IF(Table2[[#This Row],[Attrition]]="Yes", 1, 0)</f>
        <v>0</v>
      </c>
      <c r="G666" t="s">
        <v>32</v>
      </c>
      <c r="H666" t="s">
        <v>23</v>
      </c>
      <c r="I666">
        <v>14</v>
      </c>
      <c r="J666">
        <v>1</v>
      </c>
      <c r="K666" t="s">
        <v>18</v>
      </c>
      <c r="L666">
        <v>3</v>
      </c>
      <c r="M666">
        <v>4</v>
      </c>
      <c r="N666" s="3">
        <v>6586</v>
      </c>
      <c r="O666" s="3" t="str">
        <f>IF(Table2[[#This Row],[MonthlyIncome]]&lt;=5000, "$1001 - $5000", IF(Table2[[#This Row],[MonthlyIncome]]&lt;=9000, "$5001 - $9000", IF(Table2[[#This Row],[MonthlyIncome]]&lt;=13000, "$9001 - $13000", IF(Table2[[#This Row],[MonthlyIncome]]&lt;=17000, "$13001 - $17000", IF(Table2[[#This Row],[MonthlyIncome]]&lt;=21000, "$17001 - $21000")))))</f>
        <v>$5001 - $9000</v>
      </c>
      <c r="P666">
        <v>0</v>
      </c>
      <c r="Q666">
        <v>2</v>
      </c>
      <c r="R666">
        <v>16</v>
      </c>
      <c r="S6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667" spans="1:19" ht="14.25" x14ac:dyDescent="0.2">
      <c r="A667">
        <v>85893703</v>
      </c>
      <c r="B667">
        <v>47</v>
      </c>
      <c r="C667" t="s">
        <v>20</v>
      </c>
      <c r="D667" t="s">
        <v>19</v>
      </c>
      <c r="E667" t="s">
        <v>22</v>
      </c>
      <c r="F667">
        <f>IF(Table2[[#This Row],[Attrition]]="Yes", 1, 0)</f>
        <v>0</v>
      </c>
      <c r="G667" t="s">
        <v>34</v>
      </c>
      <c r="H667" t="s">
        <v>17</v>
      </c>
      <c r="I667">
        <v>2</v>
      </c>
      <c r="J667">
        <v>4</v>
      </c>
      <c r="K667" t="s">
        <v>18</v>
      </c>
      <c r="L667">
        <v>4</v>
      </c>
      <c r="M667">
        <v>4</v>
      </c>
      <c r="N667" s="3">
        <v>3294</v>
      </c>
      <c r="O667" s="3" t="str">
        <f>IF(Table2[[#This Row],[MonthlyIncome]]&lt;=5000, "$1001 - $5000", IF(Table2[[#This Row],[MonthlyIncome]]&lt;=9000, "$5001 - $9000", IF(Table2[[#This Row],[MonthlyIncome]]&lt;=13000, "$9001 - $13000", IF(Table2[[#This Row],[MonthlyIncome]]&lt;=17000, "$13001 - $17000", IF(Table2[[#This Row],[MonthlyIncome]]&lt;=21000, "$17001 - $21000")))))</f>
        <v>$1001 - $5000</v>
      </c>
      <c r="P667">
        <v>1</v>
      </c>
      <c r="Q667">
        <v>2</v>
      </c>
      <c r="R667">
        <v>3</v>
      </c>
      <c r="S6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68" spans="1:19" ht="14.25" x14ac:dyDescent="0.2">
      <c r="A668">
        <v>25007026</v>
      </c>
      <c r="B668">
        <v>22</v>
      </c>
      <c r="C668" t="s">
        <v>20</v>
      </c>
      <c r="D668" t="s">
        <v>24</v>
      </c>
      <c r="E668" t="s">
        <v>16</v>
      </c>
      <c r="F668">
        <f>IF(Table2[[#This Row],[Attrition]]="Yes", 1, 0)</f>
        <v>1</v>
      </c>
      <c r="G668" t="s">
        <v>31</v>
      </c>
      <c r="H668" t="s">
        <v>23</v>
      </c>
      <c r="I668">
        <v>3</v>
      </c>
      <c r="J668">
        <v>1</v>
      </c>
      <c r="K668" t="s">
        <v>18</v>
      </c>
      <c r="L668">
        <v>2</v>
      </c>
      <c r="M668">
        <v>3</v>
      </c>
      <c r="N668" s="3">
        <v>4171</v>
      </c>
      <c r="O668" s="3" t="str">
        <f>IF(Table2[[#This Row],[MonthlyIncome]]&lt;=5000, "$1001 - $5000", IF(Table2[[#This Row],[MonthlyIncome]]&lt;=9000, "$5001 - $9000", IF(Table2[[#This Row],[MonthlyIncome]]&lt;=13000, "$9001 - $13000", IF(Table2[[#This Row],[MonthlyIncome]]&lt;=17000, "$13001 - $17000", IF(Table2[[#This Row],[MonthlyIncome]]&lt;=21000, "$17001 - $21000")))))</f>
        <v>$1001 - $5000</v>
      </c>
      <c r="P668">
        <v>0</v>
      </c>
      <c r="Q668">
        <v>4</v>
      </c>
      <c r="R668">
        <v>3</v>
      </c>
      <c r="S6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69" spans="1:19" ht="14.25" x14ac:dyDescent="0.2">
      <c r="A669">
        <v>71963089</v>
      </c>
      <c r="B669">
        <v>41</v>
      </c>
      <c r="C669" t="s">
        <v>20</v>
      </c>
      <c r="D669" t="s">
        <v>30</v>
      </c>
      <c r="E669" t="s">
        <v>16</v>
      </c>
      <c r="F669">
        <f>IF(Table2[[#This Row],[Attrition]]="Yes", 1, 0)</f>
        <v>1</v>
      </c>
      <c r="G669" t="s">
        <v>28</v>
      </c>
      <c r="H669" t="s">
        <v>23</v>
      </c>
      <c r="I669">
        <v>2</v>
      </c>
      <c r="J669">
        <v>4</v>
      </c>
      <c r="K669" t="s">
        <v>18</v>
      </c>
      <c r="L669">
        <v>2</v>
      </c>
      <c r="M669">
        <v>4</v>
      </c>
      <c r="N669" s="3">
        <v>2778</v>
      </c>
      <c r="O669" s="3" t="str">
        <f>IF(Table2[[#This Row],[MonthlyIncome]]&lt;=5000, "$1001 - $5000", IF(Table2[[#This Row],[MonthlyIncome]]&lt;=9000, "$5001 - $9000", IF(Table2[[#This Row],[MonthlyIncome]]&lt;=13000, "$9001 - $13000", IF(Table2[[#This Row],[MonthlyIncome]]&lt;=17000, "$13001 - $17000", IF(Table2[[#This Row],[MonthlyIncome]]&lt;=21000, "$17001 - $21000")))))</f>
        <v>$1001 - $5000</v>
      </c>
      <c r="P669">
        <v>4</v>
      </c>
      <c r="Q669">
        <v>2</v>
      </c>
      <c r="R669">
        <v>7</v>
      </c>
      <c r="S6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70" spans="1:19" ht="14.25" x14ac:dyDescent="0.2">
      <c r="A670">
        <v>71325381</v>
      </c>
      <c r="B670">
        <v>28</v>
      </c>
      <c r="C670" t="s">
        <v>20</v>
      </c>
      <c r="D670" t="s">
        <v>30</v>
      </c>
      <c r="E670" t="s">
        <v>22</v>
      </c>
      <c r="F670">
        <f>IF(Table2[[#This Row],[Attrition]]="Yes", 1, 0)</f>
        <v>0</v>
      </c>
      <c r="G670" t="s">
        <v>26</v>
      </c>
      <c r="H670" t="s">
        <v>23</v>
      </c>
      <c r="I670">
        <v>9</v>
      </c>
      <c r="J670">
        <v>3</v>
      </c>
      <c r="K670" t="s">
        <v>29</v>
      </c>
      <c r="L670">
        <v>3</v>
      </c>
      <c r="M670">
        <v>3</v>
      </c>
      <c r="N670" s="3">
        <v>2377</v>
      </c>
      <c r="O670" s="3" t="str">
        <f>IF(Table2[[#This Row],[MonthlyIncome]]&lt;=5000, "$1001 - $5000", IF(Table2[[#This Row],[MonthlyIncome]]&lt;=9000, "$5001 - $9000", IF(Table2[[#This Row],[MonthlyIncome]]&lt;=13000, "$9001 - $13000", IF(Table2[[#This Row],[MonthlyIncome]]&lt;=17000, "$13001 - $17000", IF(Table2[[#This Row],[MonthlyIncome]]&lt;=21000, "$17001 - $21000")))))</f>
        <v>$1001 - $5000</v>
      </c>
      <c r="P670">
        <v>5</v>
      </c>
      <c r="Q670">
        <v>3</v>
      </c>
      <c r="R670">
        <v>2</v>
      </c>
      <c r="S6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71" spans="1:19" ht="14.25" x14ac:dyDescent="0.2">
      <c r="A671">
        <v>39788656</v>
      </c>
      <c r="B671">
        <v>39</v>
      </c>
      <c r="C671" t="s">
        <v>25</v>
      </c>
      <c r="D671" t="s">
        <v>24</v>
      </c>
      <c r="E671" t="s">
        <v>16</v>
      </c>
      <c r="F671">
        <f>IF(Table2[[#This Row],[Attrition]]="Yes", 1, 0)</f>
        <v>1</v>
      </c>
      <c r="G671" t="s">
        <v>28</v>
      </c>
      <c r="H671" t="s">
        <v>23</v>
      </c>
      <c r="I671">
        <v>6</v>
      </c>
      <c r="J671">
        <v>3</v>
      </c>
      <c r="K671" t="s">
        <v>29</v>
      </c>
      <c r="L671">
        <v>4</v>
      </c>
      <c r="M671">
        <v>1</v>
      </c>
      <c r="N671" s="3">
        <v>2404</v>
      </c>
      <c r="O671" s="3" t="str">
        <f>IF(Table2[[#This Row],[MonthlyIncome]]&lt;=5000, "$1001 - $5000", IF(Table2[[#This Row],[MonthlyIncome]]&lt;=9000, "$5001 - $9000", IF(Table2[[#This Row],[MonthlyIncome]]&lt;=13000, "$9001 - $13000", IF(Table2[[#This Row],[MonthlyIncome]]&lt;=17000, "$13001 - $17000", IF(Table2[[#This Row],[MonthlyIncome]]&lt;=21000, "$17001 - $21000")))))</f>
        <v>$1001 - $5000</v>
      </c>
      <c r="P671">
        <v>7</v>
      </c>
      <c r="Q671">
        <v>1</v>
      </c>
      <c r="R671">
        <v>2</v>
      </c>
      <c r="S6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72" spans="1:19" ht="14.25" x14ac:dyDescent="0.2">
      <c r="A672">
        <v>79367004</v>
      </c>
      <c r="B672">
        <v>27</v>
      </c>
      <c r="C672" t="s">
        <v>20</v>
      </c>
      <c r="D672" t="s">
        <v>19</v>
      </c>
      <c r="E672" t="s">
        <v>22</v>
      </c>
      <c r="F672">
        <f>IF(Table2[[#This Row],[Attrition]]="Yes", 1, 0)</f>
        <v>0</v>
      </c>
      <c r="G672" t="s">
        <v>26</v>
      </c>
      <c r="H672" t="s">
        <v>23</v>
      </c>
      <c r="I672">
        <v>4</v>
      </c>
      <c r="J672">
        <v>3</v>
      </c>
      <c r="K672" t="s">
        <v>18</v>
      </c>
      <c r="L672">
        <v>2</v>
      </c>
      <c r="M672">
        <v>3</v>
      </c>
      <c r="N672" s="3">
        <v>2318</v>
      </c>
      <c r="O672" s="3" t="str">
        <f>IF(Table2[[#This Row],[MonthlyIncome]]&lt;=5000, "$1001 - $5000", IF(Table2[[#This Row],[MonthlyIncome]]&lt;=9000, "$5001 - $9000", IF(Table2[[#This Row],[MonthlyIncome]]&lt;=13000, "$9001 - $13000", IF(Table2[[#This Row],[MonthlyIncome]]&lt;=17000, "$13001 - $17000", IF(Table2[[#This Row],[MonthlyIncome]]&lt;=21000, "$17001 - $21000")))))</f>
        <v>$1001 - $5000</v>
      </c>
      <c r="P672">
        <v>1</v>
      </c>
      <c r="Q672">
        <v>3</v>
      </c>
      <c r="R672">
        <v>1</v>
      </c>
      <c r="S6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73" spans="1:19" ht="14.25" x14ac:dyDescent="0.2">
      <c r="A673">
        <v>35090960</v>
      </c>
      <c r="B673">
        <v>34</v>
      </c>
      <c r="C673" t="s">
        <v>25</v>
      </c>
      <c r="D673" t="s">
        <v>30</v>
      </c>
      <c r="E673" t="s">
        <v>22</v>
      </c>
      <c r="F673">
        <f>IF(Table2[[#This Row],[Attrition]]="Yes", 1, 0)</f>
        <v>0</v>
      </c>
      <c r="G673" t="s">
        <v>28</v>
      </c>
      <c r="H673" t="s">
        <v>23</v>
      </c>
      <c r="I673">
        <v>10</v>
      </c>
      <c r="J673">
        <v>3</v>
      </c>
      <c r="K673" t="s">
        <v>18</v>
      </c>
      <c r="L673">
        <v>2</v>
      </c>
      <c r="M673">
        <v>2</v>
      </c>
      <c r="N673" s="3">
        <v>2008</v>
      </c>
      <c r="O673" s="3" t="str">
        <f>IF(Table2[[#This Row],[MonthlyIncome]]&lt;=5000, "$1001 - $5000", IF(Table2[[#This Row],[MonthlyIncome]]&lt;=9000, "$5001 - $9000", IF(Table2[[#This Row],[MonthlyIncome]]&lt;=13000, "$9001 - $13000", IF(Table2[[#This Row],[MonthlyIncome]]&lt;=17000, "$13001 - $17000", IF(Table2[[#This Row],[MonthlyIncome]]&lt;=21000, "$17001 - $21000")))))</f>
        <v>$1001 - $5000</v>
      </c>
      <c r="P673">
        <v>1</v>
      </c>
      <c r="Q673">
        <v>3</v>
      </c>
      <c r="R673">
        <v>1</v>
      </c>
      <c r="S6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74" spans="1:19" ht="14.25" x14ac:dyDescent="0.2">
      <c r="A674">
        <v>35393833</v>
      </c>
      <c r="B674">
        <v>42</v>
      </c>
      <c r="C674" t="s">
        <v>20</v>
      </c>
      <c r="D674" t="s">
        <v>19</v>
      </c>
      <c r="E674" t="s">
        <v>22</v>
      </c>
      <c r="F674">
        <f>IF(Table2[[#This Row],[Attrition]]="Yes", 1, 0)</f>
        <v>0</v>
      </c>
      <c r="G674" t="s">
        <v>21</v>
      </c>
      <c r="H674" t="s">
        <v>17</v>
      </c>
      <c r="I674">
        <v>14</v>
      </c>
      <c r="J674">
        <v>2</v>
      </c>
      <c r="K674" t="s">
        <v>29</v>
      </c>
      <c r="L674">
        <v>3</v>
      </c>
      <c r="M674">
        <v>3</v>
      </c>
      <c r="N674" s="3">
        <v>6244</v>
      </c>
      <c r="O674" s="3" t="str">
        <f>IF(Table2[[#This Row],[MonthlyIncome]]&lt;=5000, "$1001 - $5000", IF(Table2[[#This Row],[MonthlyIncome]]&lt;=9000, "$5001 - $9000", IF(Table2[[#This Row],[MonthlyIncome]]&lt;=13000, "$9001 - $13000", IF(Table2[[#This Row],[MonthlyIncome]]&lt;=17000, "$13001 - $17000", IF(Table2[[#This Row],[MonthlyIncome]]&lt;=21000, "$17001 - $21000")))))</f>
        <v>$5001 - $9000</v>
      </c>
      <c r="P674">
        <v>7</v>
      </c>
      <c r="Q674">
        <v>3</v>
      </c>
      <c r="R674">
        <v>5</v>
      </c>
      <c r="S6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75" spans="1:19" ht="14.25" x14ac:dyDescent="0.2">
      <c r="A675">
        <v>45801845</v>
      </c>
      <c r="B675">
        <v>33</v>
      </c>
      <c r="C675" t="s">
        <v>25</v>
      </c>
      <c r="D675" t="s">
        <v>19</v>
      </c>
      <c r="E675" t="s">
        <v>22</v>
      </c>
      <c r="F675">
        <f>IF(Table2[[#This Row],[Attrition]]="Yes", 1, 0)</f>
        <v>0</v>
      </c>
      <c r="G675" t="s">
        <v>26</v>
      </c>
      <c r="H675" t="s">
        <v>23</v>
      </c>
      <c r="I675">
        <v>1</v>
      </c>
      <c r="J675">
        <v>4</v>
      </c>
      <c r="K675" t="s">
        <v>27</v>
      </c>
      <c r="L675">
        <v>3</v>
      </c>
      <c r="M675">
        <v>1</v>
      </c>
      <c r="N675" s="3">
        <v>2799</v>
      </c>
      <c r="O675" s="3" t="str">
        <f>IF(Table2[[#This Row],[MonthlyIncome]]&lt;=5000, "$1001 - $5000", IF(Table2[[#This Row],[MonthlyIncome]]&lt;=9000, "$5001 - $9000", IF(Table2[[#This Row],[MonthlyIncome]]&lt;=13000, "$9001 - $13000", IF(Table2[[#This Row],[MonthlyIncome]]&lt;=17000, "$13001 - $17000", IF(Table2[[#This Row],[MonthlyIncome]]&lt;=21000, "$17001 - $21000")))))</f>
        <v>$1001 - $5000</v>
      </c>
      <c r="P675">
        <v>3</v>
      </c>
      <c r="Q675">
        <v>3</v>
      </c>
      <c r="R675">
        <v>3</v>
      </c>
      <c r="S6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76" spans="1:19" ht="14.25" x14ac:dyDescent="0.2">
      <c r="A676">
        <v>36764237</v>
      </c>
      <c r="B676">
        <v>58</v>
      </c>
      <c r="C676" t="s">
        <v>20</v>
      </c>
      <c r="D676" t="s">
        <v>30</v>
      </c>
      <c r="E676" t="s">
        <v>22</v>
      </c>
      <c r="F676">
        <f>IF(Table2[[#This Row],[Attrition]]="Yes", 1, 0)</f>
        <v>0</v>
      </c>
      <c r="G676" t="s">
        <v>32</v>
      </c>
      <c r="H676" t="s">
        <v>23</v>
      </c>
      <c r="I676">
        <v>5</v>
      </c>
      <c r="J676">
        <v>3</v>
      </c>
      <c r="K676" t="s">
        <v>37</v>
      </c>
      <c r="L676">
        <v>3</v>
      </c>
      <c r="M676">
        <v>2</v>
      </c>
      <c r="N676" s="3">
        <v>10552</v>
      </c>
      <c r="O676" s="3" t="str">
        <f>IF(Table2[[#This Row],[MonthlyIncome]]&lt;=5000, "$1001 - $5000", IF(Table2[[#This Row],[MonthlyIncome]]&lt;=9000, "$5001 - $9000", IF(Table2[[#This Row],[MonthlyIncome]]&lt;=13000, "$9001 - $13000", IF(Table2[[#This Row],[MonthlyIncome]]&lt;=17000, "$13001 - $17000", IF(Table2[[#This Row],[MonthlyIncome]]&lt;=21000, "$17001 - $21000")))))</f>
        <v>$9001 - $13000</v>
      </c>
      <c r="P676">
        <v>2</v>
      </c>
      <c r="Q676">
        <v>3</v>
      </c>
      <c r="R676">
        <v>6</v>
      </c>
      <c r="S6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77" spans="1:19" ht="14.25" x14ac:dyDescent="0.2">
      <c r="A677">
        <v>12577636</v>
      </c>
      <c r="B677">
        <v>31</v>
      </c>
      <c r="C677" t="s">
        <v>25</v>
      </c>
      <c r="D677" t="s">
        <v>24</v>
      </c>
      <c r="E677" t="s">
        <v>22</v>
      </c>
      <c r="F677">
        <f>IF(Table2[[#This Row],[Attrition]]="Yes", 1, 0)</f>
        <v>0</v>
      </c>
      <c r="G677" t="s">
        <v>34</v>
      </c>
      <c r="H677" t="s">
        <v>17</v>
      </c>
      <c r="I677">
        <v>7</v>
      </c>
      <c r="J677">
        <v>4</v>
      </c>
      <c r="K677" t="s">
        <v>18</v>
      </c>
      <c r="L677">
        <v>2</v>
      </c>
      <c r="M677">
        <v>3</v>
      </c>
      <c r="N677" s="3">
        <v>2329</v>
      </c>
      <c r="O677" s="3" t="str">
        <f>IF(Table2[[#This Row],[MonthlyIncome]]&lt;=5000, "$1001 - $5000", IF(Table2[[#This Row],[MonthlyIncome]]&lt;=9000, "$5001 - $9000", IF(Table2[[#This Row],[MonthlyIncome]]&lt;=13000, "$9001 - $13000", IF(Table2[[#This Row],[MonthlyIncome]]&lt;=17000, "$13001 - $17000", IF(Table2[[#This Row],[MonthlyIncome]]&lt;=21000, "$17001 - $21000")))))</f>
        <v>$1001 - $5000</v>
      </c>
      <c r="P677">
        <v>3</v>
      </c>
      <c r="Q677">
        <v>4</v>
      </c>
      <c r="R677">
        <v>7</v>
      </c>
      <c r="S6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78" spans="1:19" ht="14.25" x14ac:dyDescent="0.2">
      <c r="A678">
        <v>79276517</v>
      </c>
      <c r="B678">
        <v>35</v>
      </c>
      <c r="C678" t="s">
        <v>20</v>
      </c>
      <c r="D678" t="s">
        <v>24</v>
      </c>
      <c r="E678" t="s">
        <v>22</v>
      </c>
      <c r="F678">
        <f>IF(Table2[[#This Row],[Attrition]]="Yes", 1, 0)</f>
        <v>0</v>
      </c>
      <c r="G678" t="s">
        <v>32</v>
      </c>
      <c r="H678" t="s">
        <v>23</v>
      </c>
      <c r="I678">
        <v>21</v>
      </c>
      <c r="J678">
        <v>1</v>
      </c>
      <c r="K678" t="s">
        <v>18</v>
      </c>
      <c r="L678">
        <v>4</v>
      </c>
      <c r="M678">
        <v>4</v>
      </c>
      <c r="N678" s="3">
        <v>4014</v>
      </c>
      <c r="O678" s="3" t="str">
        <f>IF(Table2[[#This Row],[MonthlyIncome]]&lt;=5000, "$1001 - $5000", IF(Table2[[#This Row],[MonthlyIncome]]&lt;=9000, "$5001 - $9000", IF(Table2[[#This Row],[MonthlyIncome]]&lt;=13000, "$9001 - $13000", IF(Table2[[#This Row],[MonthlyIncome]]&lt;=17000, "$13001 - $17000", IF(Table2[[#This Row],[MonthlyIncome]]&lt;=21000, "$17001 - $21000")))))</f>
        <v>$1001 - $5000</v>
      </c>
      <c r="P678">
        <v>1</v>
      </c>
      <c r="Q678">
        <v>1</v>
      </c>
      <c r="R678">
        <v>10</v>
      </c>
      <c r="S6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679" spans="1:19" ht="14.25" x14ac:dyDescent="0.2">
      <c r="A679">
        <v>70880239</v>
      </c>
      <c r="B679">
        <v>49</v>
      </c>
      <c r="C679" t="s">
        <v>20</v>
      </c>
      <c r="D679" t="s">
        <v>24</v>
      </c>
      <c r="E679" t="s">
        <v>22</v>
      </c>
      <c r="F679">
        <f>IF(Table2[[#This Row],[Attrition]]="Yes", 1, 0)</f>
        <v>0</v>
      </c>
      <c r="G679" t="s">
        <v>28</v>
      </c>
      <c r="H679" t="s">
        <v>23</v>
      </c>
      <c r="I679">
        <v>8</v>
      </c>
      <c r="J679">
        <v>2</v>
      </c>
      <c r="K679" t="s">
        <v>27</v>
      </c>
      <c r="L679">
        <v>1</v>
      </c>
      <c r="M679">
        <v>2</v>
      </c>
      <c r="N679" s="3">
        <v>7403</v>
      </c>
      <c r="O679" s="3" t="str">
        <f>IF(Table2[[#This Row],[MonthlyIncome]]&lt;=5000, "$1001 - $5000", IF(Table2[[#This Row],[MonthlyIncome]]&lt;=9000, "$5001 - $9000", IF(Table2[[#This Row],[MonthlyIncome]]&lt;=13000, "$9001 - $13000", IF(Table2[[#This Row],[MonthlyIncome]]&lt;=17000, "$13001 - $17000", IF(Table2[[#This Row],[MonthlyIncome]]&lt;=21000, "$17001 - $21000")))))</f>
        <v>$5001 - $9000</v>
      </c>
      <c r="P679">
        <v>4</v>
      </c>
      <c r="Q679">
        <v>2</v>
      </c>
      <c r="R679">
        <v>26</v>
      </c>
      <c r="S6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25 - 30 Years</v>
      </c>
    </row>
    <row r="680" spans="1:19" ht="14.25" x14ac:dyDescent="0.2">
      <c r="A680">
        <v>17264306</v>
      </c>
      <c r="B680">
        <v>48</v>
      </c>
      <c r="C680" t="s">
        <v>25</v>
      </c>
      <c r="D680" t="s">
        <v>24</v>
      </c>
      <c r="E680" t="s">
        <v>22</v>
      </c>
      <c r="F680">
        <f>IF(Table2[[#This Row],[Attrition]]="Yes", 1, 0)</f>
        <v>0</v>
      </c>
      <c r="G680" t="s">
        <v>26</v>
      </c>
      <c r="H680" t="s">
        <v>23</v>
      </c>
      <c r="I680">
        <v>20</v>
      </c>
      <c r="J680">
        <v>4</v>
      </c>
      <c r="K680" t="s">
        <v>29</v>
      </c>
      <c r="L680">
        <v>4</v>
      </c>
      <c r="M680">
        <v>3</v>
      </c>
      <c r="N680" s="3">
        <v>2259</v>
      </c>
      <c r="O680" s="3" t="str">
        <f>IF(Table2[[#This Row],[MonthlyIncome]]&lt;=5000, "$1001 - $5000", IF(Table2[[#This Row],[MonthlyIncome]]&lt;=9000, "$5001 - $9000", IF(Table2[[#This Row],[MonthlyIncome]]&lt;=13000, "$9001 - $13000", IF(Table2[[#This Row],[MonthlyIncome]]&lt;=17000, "$13001 - $17000", IF(Table2[[#This Row],[MonthlyIncome]]&lt;=21000, "$17001 - $21000")))))</f>
        <v>$1001 - $5000</v>
      </c>
      <c r="P680">
        <v>4</v>
      </c>
      <c r="Q680">
        <v>2</v>
      </c>
      <c r="R680">
        <v>0</v>
      </c>
      <c r="S6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81" spans="1:19" ht="14.25" x14ac:dyDescent="0.2">
      <c r="A681">
        <v>79648752</v>
      </c>
      <c r="B681">
        <v>31</v>
      </c>
      <c r="C681" t="s">
        <v>20</v>
      </c>
      <c r="D681" t="s">
        <v>24</v>
      </c>
      <c r="E681" t="s">
        <v>22</v>
      </c>
      <c r="F681">
        <f>IF(Table2[[#This Row],[Attrition]]="Yes", 1, 0)</f>
        <v>0</v>
      </c>
      <c r="G681" t="s">
        <v>21</v>
      </c>
      <c r="H681" t="s">
        <v>17</v>
      </c>
      <c r="I681">
        <v>20</v>
      </c>
      <c r="J681">
        <v>2</v>
      </c>
      <c r="K681" t="s">
        <v>36</v>
      </c>
      <c r="L681">
        <v>4</v>
      </c>
      <c r="M681">
        <v>3</v>
      </c>
      <c r="N681" s="3">
        <v>6932</v>
      </c>
      <c r="O681" s="3" t="str">
        <f>IF(Table2[[#This Row],[MonthlyIncome]]&lt;=5000, "$1001 - $5000", IF(Table2[[#This Row],[MonthlyIncome]]&lt;=9000, "$5001 - $9000", IF(Table2[[#This Row],[MonthlyIncome]]&lt;=13000, "$9001 - $13000", IF(Table2[[#This Row],[MonthlyIncome]]&lt;=17000, "$13001 - $17000", IF(Table2[[#This Row],[MonthlyIncome]]&lt;=21000, "$17001 - $21000")))))</f>
        <v>$5001 - $9000</v>
      </c>
      <c r="P681">
        <v>1</v>
      </c>
      <c r="Q681">
        <v>2</v>
      </c>
      <c r="R681">
        <v>9</v>
      </c>
      <c r="S6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82" spans="1:19" ht="14.25" x14ac:dyDescent="0.2">
      <c r="A682">
        <v>29103668</v>
      </c>
      <c r="B682">
        <v>36</v>
      </c>
      <c r="C682" t="s">
        <v>25</v>
      </c>
      <c r="D682" t="s">
        <v>19</v>
      </c>
      <c r="E682" t="s">
        <v>22</v>
      </c>
      <c r="F682">
        <f>IF(Table2[[#This Row],[Attrition]]="Yes", 1, 0)</f>
        <v>0</v>
      </c>
      <c r="G682" t="s">
        <v>26</v>
      </c>
      <c r="H682" t="s">
        <v>23</v>
      </c>
      <c r="I682">
        <v>7</v>
      </c>
      <c r="J682">
        <v>4</v>
      </c>
      <c r="K682" t="s">
        <v>27</v>
      </c>
      <c r="L682">
        <v>2</v>
      </c>
      <c r="M682">
        <v>4</v>
      </c>
      <c r="N682" s="3">
        <v>4678</v>
      </c>
      <c r="O682" s="3" t="str">
        <f>IF(Table2[[#This Row],[MonthlyIncome]]&lt;=5000, "$1001 - $5000", IF(Table2[[#This Row],[MonthlyIncome]]&lt;=9000, "$5001 - $9000", IF(Table2[[#This Row],[MonthlyIncome]]&lt;=13000, "$9001 - $13000", IF(Table2[[#This Row],[MonthlyIncome]]&lt;=17000, "$13001 - $17000", IF(Table2[[#This Row],[MonthlyIncome]]&lt;=21000, "$17001 - $21000")))))</f>
        <v>$1001 - $5000</v>
      </c>
      <c r="P682">
        <v>2</v>
      </c>
      <c r="Q682">
        <v>3</v>
      </c>
      <c r="R682">
        <v>6</v>
      </c>
      <c r="S6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83" spans="1:19" ht="14.25" x14ac:dyDescent="0.2">
      <c r="A683">
        <v>79988573</v>
      </c>
      <c r="B683">
        <v>38</v>
      </c>
      <c r="C683" t="s">
        <v>20</v>
      </c>
      <c r="D683" t="s">
        <v>24</v>
      </c>
      <c r="E683" t="s">
        <v>22</v>
      </c>
      <c r="F683">
        <f>IF(Table2[[#This Row],[Attrition]]="Yes", 1, 0)</f>
        <v>0</v>
      </c>
      <c r="G683" t="s">
        <v>35</v>
      </c>
      <c r="H683" t="s">
        <v>23</v>
      </c>
      <c r="I683">
        <v>1</v>
      </c>
      <c r="J683">
        <v>3</v>
      </c>
      <c r="K683" t="s">
        <v>37</v>
      </c>
      <c r="L683">
        <v>4</v>
      </c>
      <c r="M683">
        <v>1</v>
      </c>
      <c r="N683" s="3">
        <v>13582</v>
      </c>
      <c r="O683" s="3" t="str">
        <f>IF(Table2[[#This Row],[MonthlyIncome]]&lt;=5000, "$1001 - $5000", IF(Table2[[#This Row],[MonthlyIncome]]&lt;=9000, "$5001 - $9000", IF(Table2[[#This Row],[MonthlyIncome]]&lt;=13000, "$9001 - $13000", IF(Table2[[#This Row],[MonthlyIncome]]&lt;=17000, "$13001 - $17000", IF(Table2[[#This Row],[MonthlyIncome]]&lt;=21000, "$17001 - $21000")))))</f>
        <v>$13001 - $17000</v>
      </c>
      <c r="P683">
        <v>1</v>
      </c>
      <c r="Q683">
        <v>3</v>
      </c>
      <c r="R683">
        <v>15</v>
      </c>
      <c r="S6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684" spans="1:19" ht="14.25" x14ac:dyDescent="0.2">
      <c r="A684">
        <v>70120969</v>
      </c>
      <c r="B684">
        <v>32</v>
      </c>
      <c r="C684" t="s">
        <v>20</v>
      </c>
      <c r="D684" t="s">
        <v>24</v>
      </c>
      <c r="E684" t="s">
        <v>22</v>
      </c>
      <c r="F684">
        <f>IF(Table2[[#This Row],[Attrition]]="Yes", 1, 0)</f>
        <v>0</v>
      </c>
      <c r="G684" t="s">
        <v>28</v>
      </c>
      <c r="H684" t="s">
        <v>23</v>
      </c>
      <c r="I684">
        <v>1</v>
      </c>
      <c r="J684">
        <v>3</v>
      </c>
      <c r="K684" t="s">
        <v>18</v>
      </c>
      <c r="L684">
        <v>3</v>
      </c>
      <c r="M684">
        <v>2</v>
      </c>
      <c r="N684" s="3">
        <v>2332</v>
      </c>
      <c r="O684" s="3" t="str">
        <f>IF(Table2[[#This Row],[MonthlyIncome]]&lt;=5000, "$1001 - $5000", IF(Table2[[#This Row],[MonthlyIncome]]&lt;=9000, "$5001 - $9000", IF(Table2[[#This Row],[MonthlyIncome]]&lt;=13000, "$9001 - $13000", IF(Table2[[#This Row],[MonthlyIncome]]&lt;=17000, "$13001 - $17000", IF(Table2[[#This Row],[MonthlyIncome]]&lt;=21000, "$17001 - $21000")))))</f>
        <v>$1001 - $5000</v>
      </c>
      <c r="P684">
        <v>6</v>
      </c>
      <c r="Q684">
        <v>3</v>
      </c>
      <c r="R684">
        <v>3</v>
      </c>
      <c r="S6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85" spans="1:19" ht="14.25" x14ac:dyDescent="0.2">
      <c r="A685">
        <v>66071119</v>
      </c>
      <c r="B685">
        <v>25</v>
      </c>
      <c r="C685" t="s">
        <v>25</v>
      </c>
      <c r="D685" t="s">
        <v>24</v>
      </c>
      <c r="E685" t="s">
        <v>16</v>
      </c>
      <c r="F685">
        <f>IF(Table2[[#This Row],[Attrition]]="Yes", 1, 0)</f>
        <v>1</v>
      </c>
      <c r="G685" t="s">
        <v>34</v>
      </c>
      <c r="H685" t="s">
        <v>17</v>
      </c>
      <c r="I685">
        <v>19</v>
      </c>
      <c r="J685">
        <v>2</v>
      </c>
      <c r="K685" t="s">
        <v>36</v>
      </c>
      <c r="L685">
        <v>3</v>
      </c>
      <c r="M685">
        <v>2</v>
      </c>
      <c r="N685" s="3">
        <v>2413</v>
      </c>
      <c r="O685" s="3" t="str">
        <f>IF(Table2[[#This Row],[MonthlyIncome]]&lt;=5000, "$1001 - $5000", IF(Table2[[#This Row],[MonthlyIncome]]&lt;=9000, "$5001 - $9000", IF(Table2[[#This Row],[MonthlyIncome]]&lt;=13000, "$9001 - $13000", IF(Table2[[#This Row],[MonthlyIncome]]&lt;=17000, "$13001 - $17000", IF(Table2[[#This Row],[MonthlyIncome]]&lt;=21000, "$17001 - $21000")))))</f>
        <v>$1001 - $5000</v>
      </c>
      <c r="P685">
        <v>1</v>
      </c>
      <c r="Q685">
        <v>3</v>
      </c>
      <c r="R685">
        <v>1</v>
      </c>
      <c r="S6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86" spans="1:19" ht="14.25" x14ac:dyDescent="0.2">
      <c r="A686">
        <v>39892002</v>
      </c>
      <c r="B686">
        <v>40</v>
      </c>
      <c r="C686" t="s">
        <v>25</v>
      </c>
      <c r="D686" t="s">
        <v>30</v>
      </c>
      <c r="E686" t="s">
        <v>22</v>
      </c>
      <c r="F686">
        <f>IF(Table2[[#This Row],[Attrition]]="Yes", 1, 0)</f>
        <v>0</v>
      </c>
      <c r="G686" t="s">
        <v>21</v>
      </c>
      <c r="H686" t="s">
        <v>17</v>
      </c>
      <c r="I686">
        <v>10</v>
      </c>
      <c r="J686">
        <v>4</v>
      </c>
      <c r="K686" t="s">
        <v>36</v>
      </c>
      <c r="L686">
        <v>1</v>
      </c>
      <c r="M686">
        <v>2</v>
      </c>
      <c r="N686" s="3">
        <v>9705</v>
      </c>
      <c r="O686" s="3" t="str">
        <f>IF(Table2[[#This Row],[MonthlyIncome]]&lt;=5000, "$1001 - $5000", IF(Table2[[#This Row],[MonthlyIncome]]&lt;=9000, "$5001 - $9000", IF(Table2[[#This Row],[MonthlyIncome]]&lt;=13000, "$9001 - $13000", IF(Table2[[#This Row],[MonthlyIncome]]&lt;=17000, "$13001 - $17000", IF(Table2[[#This Row],[MonthlyIncome]]&lt;=21000, "$17001 - $21000")))))</f>
        <v>$9001 - $13000</v>
      </c>
      <c r="P686">
        <v>2</v>
      </c>
      <c r="Q686">
        <v>2</v>
      </c>
      <c r="R686">
        <v>1</v>
      </c>
      <c r="S6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87" spans="1:19" ht="14.25" x14ac:dyDescent="0.2">
      <c r="A687">
        <v>20369108</v>
      </c>
      <c r="B687">
        <v>26</v>
      </c>
      <c r="C687" t="s">
        <v>25</v>
      </c>
      <c r="D687" t="s">
        <v>19</v>
      </c>
      <c r="E687" t="s">
        <v>22</v>
      </c>
      <c r="F687">
        <f>IF(Table2[[#This Row],[Attrition]]="Yes", 1, 0)</f>
        <v>0</v>
      </c>
      <c r="G687" t="s">
        <v>21</v>
      </c>
      <c r="H687" t="s">
        <v>17</v>
      </c>
      <c r="I687">
        <v>1</v>
      </c>
      <c r="J687">
        <v>3</v>
      </c>
      <c r="K687" t="s">
        <v>29</v>
      </c>
      <c r="L687">
        <v>3</v>
      </c>
      <c r="M687">
        <v>1</v>
      </c>
      <c r="N687" s="3">
        <v>4294</v>
      </c>
      <c r="O687" s="3" t="str">
        <f>IF(Table2[[#This Row],[MonthlyIncome]]&lt;=5000, "$1001 - $5000", IF(Table2[[#This Row],[MonthlyIncome]]&lt;=9000, "$5001 - $9000", IF(Table2[[#This Row],[MonthlyIncome]]&lt;=13000, "$9001 - $13000", IF(Table2[[#This Row],[MonthlyIncome]]&lt;=17000, "$13001 - $17000", IF(Table2[[#This Row],[MonthlyIncome]]&lt;=21000, "$17001 - $21000")))))</f>
        <v>$1001 - $5000</v>
      </c>
      <c r="P687">
        <v>1</v>
      </c>
      <c r="Q687">
        <v>3</v>
      </c>
      <c r="R687">
        <v>7</v>
      </c>
      <c r="S6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88" spans="1:19" ht="14.25" x14ac:dyDescent="0.2">
      <c r="A688">
        <v>87546732</v>
      </c>
      <c r="B688">
        <v>41</v>
      </c>
      <c r="C688" t="s">
        <v>25</v>
      </c>
      <c r="D688" t="s">
        <v>19</v>
      </c>
      <c r="E688" t="s">
        <v>22</v>
      </c>
      <c r="F688">
        <f>IF(Table2[[#This Row],[Attrition]]="Yes", 1, 0)</f>
        <v>0</v>
      </c>
      <c r="G688" t="s">
        <v>28</v>
      </c>
      <c r="H688" t="s">
        <v>23</v>
      </c>
      <c r="I688">
        <v>6</v>
      </c>
      <c r="J688">
        <v>3</v>
      </c>
      <c r="K688" t="s">
        <v>29</v>
      </c>
      <c r="L688">
        <v>4</v>
      </c>
      <c r="M688">
        <v>1</v>
      </c>
      <c r="N688" s="3">
        <v>4721</v>
      </c>
      <c r="O688" s="3" t="str">
        <f>IF(Table2[[#This Row],[MonthlyIncome]]&lt;=5000, "$1001 - $5000", IF(Table2[[#This Row],[MonthlyIncome]]&lt;=9000, "$5001 - $9000", IF(Table2[[#This Row],[MonthlyIncome]]&lt;=13000, "$9001 - $13000", IF(Table2[[#This Row],[MonthlyIncome]]&lt;=17000, "$13001 - $17000", IF(Table2[[#This Row],[MonthlyIncome]]&lt;=21000, "$17001 - $21000")))))</f>
        <v>$1001 - $5000</v>
      </c>
      <c r="P688">
        <v>2</v>
      </c>
      <c r="Q688">
        <v>3</v>
      </c>
      <c r="R688">
        <v>18</v>
      </c>
      <c r="S6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689" spans="1:19" ht="14.25" x14ac:dyDescent="0.2">
      <c r="A689">
        <v>49260025</v>
      </c>
      <c r="B689">
        <v>36</v>
      </c>
      <c r="C689" t="s">
        <v>25</v>
      </c>
      <c r="D689" t="s">
        <v>19</v>
      </c>
      <c r="E689" t="s">
        <v>22</v>
      </c>
      <c r="F689">
        <f>IF(Table2[[#This Row],[Attrition]]="Yes", 1, 0)</f>
        <v>0</v>
      </c>
      <c r="G689" t="s">
        <v>28</v>
      </c>
      <c r="H689" t="s">
        <v>23</v>
      </c>
      <c r="I689">
        <v>2</v>
      </c>
      <c r="J689">
        <v>4</v>
      </c>
      <c r="K689" t="s">
        <v>29</v>
      </c>
      <c r="L689">
        <v>3</v>
      </c>
      <c r="M689">
        <v>3</v>
      </c>
      <c r="N689" s="3">
        <v>2519</v>
      </c>
      <c r="O689" s="3" t="str">
        <f>IF(Table2[[#This Row],[MonthlyIncome]]&lt;=5000, "$1001 - $5000", IF(Table2[[#This Row],[MonthlyIncome]]&lt;=9000, "$5001 - $9000", IF(Table2[[#This Row],[MonthlyIncome]]&lt;=13000, "$9001 - $13000", IF(Table2[[#This Row],[MonthlyIncome]]&lt;=17000, "$13001 - $17000", IF(Table2[[#This Row],[MonthlyIncome]]&lt;=21000, "$17001 - $21000")))))</f>
        <v>$1001 - $5000</v>
      </c>
      <c r="P689">
        <v>4</v>
      </c>
      <c r="Q689">
        <v>3</v>
      </c>
      <c r="R689">
        <v>11</v>
      </c>
      <c r="S6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690" spans="1:19" ht="14.25" x14ac:dyDescent="0.2">
      <c r="A690">
        <v>30802656</v>
      </c>
      <c r="B690">
        <v>19</v>
      </c>
      <c r="C690" t="s">
        <v>25</v>
      </c>
      <c r="D690" t="s">
        <v>19</v>
      </c>
      <c r="E690" t="s">
        <v>16</v>
      </c>
      <c r="F690">
        <f>IF(Table2[[#This Row],[Attrition]]="Yes", 1, 0)</f>
        <v>1</v>
      </c>
      <c r="G690" t="s">
        <v>34</v>
      </c>
      <c r="H690" t="s">
        <v>17</v>
      </c>
      <c r="I690">
        <v>21</v>
      </c>
      <c r="J690">
        <v>3</v>
      </c>
      <c r="K690" t="s">
        <v>27</v>
      </c>
      <c r="L690">
        <v>4</v>
      </c>
      <c r="M690">
        <v>2</v>
      </c>
      <c r="N690" s="3">
        <v>2121</v>
      </c>
      <c r="O690" s="3" t="str">
        <f>IF(Table2[[#This Row],[MonthlyIncome]]&lt;=5000, "$1001 - $5000", IF(Table2[[#This Row],[MonthlyIncome]]&lt;=9000, "$5001 - $9000", IF(Table2[[#This Row],[MonthlyIncome]]&lt;=13000, "$9001 - $13000", IF(Table2[[#This Row],[MonthlyIncome]]&lt;=17000, "$13001 - $17000", IF(Table2[[#This Row],[MonthlyIncome]]&lt;=21000, "$17001 - $21000")))))</f>
        <v>$1001 - $5000</v>
      </c>
      <c r="P690">
        <v>1</v>
      </c>
      <c r="Q690">
        <v>4</v>
      </c>
      <c r="R690">
        <v>1</v>
      </c>
      <c r="S6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91" spans="1:19" ht="14.25" x14ac:dyDescent="0.2">
      <c r="A691">
        <v>49309394</v>
      </c>
      <c r="B691">
        <v>20</v>
      </c>
      <c r="C691" t="s">
        <v>25</v>
      </c>
      <c r="D691" t="s">
        <v>19</v>
      </c>
      <c r="E691" t="s">
        <v>16</v>
      </c>
      <c r="F691">
        <f>IF(Table2[[#This Row],[Attrition]]="Yes", 1, 0)</f>
        <v>1</v>
      </c>
      <c r="G691" t="s">
        <v>28</v>
      </c>
      <c r="H691" t="s">
        <v>23</v>
      </c>
      <c r="I691">
        <v>4</v>
      </c>
      <c r="J691">
        <v>3</v>
      </c>
      <c r="K691" t="s">
        <v>37</v>
      </c>
      <c r="L691">
        <v>1</v>
      </c>
      <c r="M691">
        <v>1</v>
      </c>
      <c r="N691" s="3">
        <v>2973</v>
      </c>
      <c r="O691" s="3" t="str">
        <f>IF(Table2[[#This Row],[MonthlyIncome]]&lt;=5000, "$1001 - $5000", IF(Table2[[#This Row],[MonthlyIncome]]&lt;=9000, "$5001 - $9000", IF(Table2[[#This Row],[MonthlyIncome]]&lt;=13000, "$9001 - $13000", IF(Table2[[#This Row],[MonthlyIncome]]&lt;=17000, "$13001 - $17000", IF(Table2[[#This Row],[MonthlyIncome]]&lt;=21000, "$17001 - $21000")))))</f>
        <v>$1001 - $5000</v>
      </c>
      <c r="P691">
        <v>1</v>
      </c>
      <c r="Q691">
        <v>3</v>
      </c>
      <c r="R691">
        <v>1</v>
      </c>
      <c r="S6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92" spans="1:19" ht="14.25" x14ac:dyDescent="0.2">
      <c r="A692">
        <v>68615905</v>
      </c>
      <c r="B692">
        <v>31</v>
      </c>
      <c r="C692" t="s">
        <v>20</v>
      </c>
      <c r="D692" t="s">
        <v>24</v>
      </c>
      <c r="E692" t="s">
        <v>22</v>
      </c>
      <c r="F692">
        <f>IF(Table2[[#This Row],[Attrition]]="Yes", 1, 0)</f>
        <v>0</v>
      </c>
      <c r="G692" t="s">
        <v>32</v>
      </c>
      <c r="H692" t="s">
        <v>23</v>
      </c>
      <c r="I692">
        <v>12</v>
      </c>
      <c r="J692">
        <v>3</v>
      </c>
      <c r="K692" t="s">
        <v>29</v>
      </c>
      <c r="L692">
        <v>4</v>
      </c>
      <c r="M692">
        <v>4</v>
      </c>
      <c r="N692" s="3">
        <v>5855</v>
      </c>
      <c r="O692" s="3" t="str">
        <f>IF(Table2[[#This Row],[MonthlyIncome]]&lt;=5000, "$1001 - $5000", IF(Table2[[#This Row],[MonthlyIncome]]&lt;=9000, "$5001 - $9000", IF(Table2[[#This Row],[MonthlyIncome]]&lt;=13000, "$9001 - $13000", IF(Table2[[#This Row],[MonthlyIncome]]&lt;=17000, "$13001 - $17000", IF(Table2[[#This Row],[MonthlyIncome]]&lt;=21000, "$17001 - $21000")))))</f>
        <v>$5001 - $9000</v>
      </c>
      <c r="P692">
        <v>0</v>
      </c>
      <c r="Q692">
        <v>1</v>
      </c>
      <c r="R692">
        <v>9</v>
      </c>
      <c r="S6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93" spans="1:19" ht="14.25" x14ac:dyDescent="0.2">
      <c r="A693">
        <v>20956713</v>
      </c>
      <c r="B693">
        <v>40</v>
      </c>
      <c r="C693" t="s">
        <v>25</v>
      </c>
      <c r="D693" t="s">
        <v>30</v>
      </c>
      <c r="E693" t="s">
        <v>22</v>
      </c>
      <c r="F693">
        <f>IF(Table2[[#This Row],[Attrition]]="Yes", 1, 0)</f>
        <v>0</v>
      </c>
      <c r="G693" t="s">
        <v>26</v>
      </c>
      <c r="H693" t="s">
        <v>23</v>
      </c>
      <c r="I693">
        <v>9</v>
      </c>
      <c r="J693">
        <v>4</v>
      </c>
      <c r="K693" t="s">
        <v>29</v>
      </c>
      <c r="L693">
        <v>4</v>
      </c>
      <c r="M693">
        <v>2</v>
      </c>
      <c r="N693" s="3">
        <v>3617</v>
      </c>
      <c r="O693" s="3" t="str">
        <f>IF(Table2[[#This Row],[MonthlyIncome]]&lt;=5000, "$1001 - $5000", IF(Table2[[#This Row],[MonthlyIncome]]&lt;=9000, "$5001 - $9000", IF(Table2[[#This Row],[MonthlyIncome]]&lt;=13000, "$9001 - $13000", IF(Table2[[#This Row],[MonthlyIncome]]&lt;=17000, "$13001 - $17000", IF(Table2[[#This Row],[MonthlyIncome]]&lt;=21000, "$17001 - $21000")))))</f>
        <v>$1001 - $5000</v>
      </c>
      <c r="P693">
        <v>8</v>
      </c>
      <c r="Q693">
        <v>3</v>
      </c>
      <c r="R693">
        <v>1</v>
      </c>
      <c r="S6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694" spans="1:19" ht="14.25" x14ac:dyDescent="0.2">
      <c r="A694">
        <v>30212442</v>
      </c>
      <c r="B694">
        <v>32</v>
      </c>
      <c r="C694" t="s">
        <v>20</v>
      </c>
      <c r="D694" t="s">
        <v>24</v>
      </c>
      <c r="E694" t="s">
        <v>22</v>
      </c>
      <c r="F694">
        <f>IF(Table2[[#This Row],[Attrition]]="Yes", 1, 0)</f>
        <v>0</v>
      </c>
      <c r="G694" t="s">
        <v>31</v>
      </c>
      <c r="H694" t="s">
        <v>23</v>
      </c>
      <c r="I694">
        <v>3</v>
      </c>
      <c r="J694">
        <v>4</v>
      </c>
      <c r="K694" t="s">
        <v>29</v>
      </c>
      <c r="L694">
        <v>3</v>
      </c>
      <c r="M694">
        <v>1</v>
      </c>
      <c r="N694" s="3">
        <v>6725</v>
      </c>
      <c r="O694" s="3" t="str">
        <f>IF(Table2[[#This Row],[MonthlyIncome]]&lt;=5000, "$1001 - $5000", IF(Table2[[#This Row],[MonthlyIncome]]&lt;=9000, "$5001 - $9000", IF(Table2[[#This Row],[MonthlyIncome]]&lt;=13000, "$9001 - $13000", IF(Table2[[#This Row],[MonthlyIncome]]&lt;=17000, "$13001 - $17000", IF(Table2[[#This Row],[MonthlyIncome]]&lt;=21000, "$17001 - $21000")))))</f>
        <v>$5001 - $9000</v>
      </c>
      <c r="P694">
        <v>1</v>
      </c>
      <c r="Q694">
        <v>4</v>
      </c>
      <c r="R694">
        <v>8</v>
      </c>
      <c r="S6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95" spans="1:19" ht="14.25" x14ac:dyDescent="0.2">
      <c r="A695">
        <v>27995213</v>
      </c>
      <c r="B695">
        <v>36</v>
      </c>
      <c r="C695" t="s">
        <v>25</v>
      </c>
      <c r="D695" t="s">
        <v>24</v>
      </c>
      <c r="E695" t="s">
        <v>16</v>
      </c>
      <c r="F695">
        <f>IF(Table2[[#This Row],[Attrition]]="Yes", 1, 0)</f>
        <v>1</v>
      </c>
      <c r="G695" t="s">
        <v>21</v>
      </c>
      <c r="H695" t="s">
        <v>17</v>
      </c>
      <c r="I695">
        <v>3</v>
      </c>
      <c r="J695">
        <v>1</v>
      </c>
      <c r="K695" t="s">
        <v>18</v>
      </c>
      <c r="L695">
        <v>3</v>
      </c>
      <c r="M695">
        <v>4</v>
      </c>
      <c r="N695" s="3">
        <v>10325</v>
      </c>
      <c r="O695" s="3" t="str">
        <f>IF(Table2[[#This Row],[MonthlyIncome]]&lt;=5000, "$1001 - $5000", IF(Table2[[#This Row],[MonthlyIncome]]&lt;=9000, "$5001 - $9000", IF(Table2[[#This Row],[MonthlyIncome]]&lt;=13000, "$9001 - $13000", IF(Table2[[#This Row],[MonthlyIncome]]&lt;=17000, "$13001 - $17000", IF(Table2[[#This Row],[MonthlyIncome]]&lt;=21000, "$17001 - $21000")))))</f>
        <v>$9001 - $13000</v>
      </c>
      <c r="P695">
        <v>1</v>
      </c>
      <c r="Q695">
        <v>3</v>
      </c>
      <c r="R695">
        <v>16</v>
      </c>
      <c r="S6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696" spans="1:19" ht="14.25" x14ac:dyDescent="0.2">
      <c r="A696">
        <v>73127132</v>
      </c>
      <c r="B696">
        <v>33</v>
      </c>
      <c r="C696" t="s">
        <v>20</v>
      </c>
      <c r="D696" t="s">
        <v>19</v>
      </c>
      <c r="E696" t="s">
        <v>22</v>
      </c>
      <c r="F696">
        <f>IF(Table2[[#This Row],[Attrition]]="Yes", 1, 0)</f>
        <v>0</v>
      </c>
      <c r="G696" t="s">
        <v>32</v>
      </c>
      <c r="H696" t="s">
        <v>23</v>
      </c>
      <c r="I696">
        <v>1</v>
      </c>
      <c r="J696">
        <v>3</v>
      </c>
      <c r="K696" t="s">
        <v>18</v>
      </c>
      <c r="L696">
        <v>2</v>
      </c>
      <c r="M696">
        <v>4</v>
      </c>
      <c r="N696" s="3">
        <v>6949</v>
      </c>
      <c r="O696" s="3" t="str">
        <f>IF(Table2[[#This Row],[MonthlyIncome]]&lt;=5000, "$1001 - $5000", IF(Table2[[#This Row],[MonthlyIncome]]&lt;=9000, "$5001 - $9000", IF(Table2[[#This Row],[MonthlyIncome]]&lt;=13000, "$9001 - $13000", IF(Table2[[#This Row],[MonthlyIncome]]&lt;=17000, "$13001 - $17000", IF(Table2[[#This Row],[MonthlyIncome]]&lt;=21000, "$17001 - $21000")))))</f>
        <v>$5001 - $9000</v>
      </c>
      <c r="P696">
        <v>0</v>
      </c>
      <c r="Q696">
        <v>3</v>
      </c>
      <c r="R696">
        <v>5</v>
      </c>
      <c r="S6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97" spans="1:19" ht="14.25" x14ac:dyDescent="0.2">
      <c r="A697">
        <v>76192263</v>
      </c>
      <c r="B697">
        <v>37</v>
      </c>
      <c r="C697" t="s">
        <v>25</v>
      </c>
      <c r="D697" t="s">
        <v>24</v>
      </c>
      <c r="E697" t="s">
        <v>16</v>
      </c>
      <c r="F697">
        <f>IF(Table2[[#This Row],[Attrition]]="Yes", 1, 0)</f>
        <v>1</v>
      </c>
      <c r="G697" t="s">
        <v>21</v>
      </c>
      <c r="H697" t="s">
        <v>17</v>
      </c>
      <c r="I697">
        <v>1</v>
      </c>
      <c r="J697">
        <v>4</v>
      </c>
      <c r="K697" t="s">
        <v>18</v>
      </c>
      <c r="L697">
        <v>1</v>
      </c>
      <c r="M697">
        <v>3</v>
      </c>
      <c r="N697" s="3">
        <v>10609</v>
      </c>
      <c r="O697" s="3" t="str">
        <f>IF(Table2[[#This Row],[MonthlyIncome]]&lt;=5000, "$1001 - $5000", IF(Table2[[#This Row],[MonthlyIncome]]&lt;=9000, "$5001 - $9000", IF(Table2[[#This Row],[MonthlyIncome]]&lt;=13000, "$9001 - $13000", IF(Table2[[#This Row],[MonthlyIncome]]&lt;=17000, "$13001 - $17000", IF(Table2[[#This Row],[MonthlyIncome]]&lt;=21000, "$17001 - $21000")))))</f>
        <v>$9001 - $13000</v>
      </c>
      <c r="P697">
        <v>5</v>
      </c>
      <c r="Q697">
        <v>1</v>
      </c>
      <c r="R697">
        <v>14</v>
      </c>
      <c r="S6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698" spans="1:19" ht="14.25" x14ac:dyDescent="0.2">
      <c r="A698">
        <v>85416703</v>
      </c>
      <c r="B698">
        <v>45</v>
      </c>
      <c r="C698" t="s">
        <v>25</v>
      </c>
      <c r="D698" t="s">
        <v>24</v>
      </c>
      <c r="E698" t="s">
        <v>22</v>
      </c>
      <c r="F698">
        <f>IF(Table2[[#This Row],[Attrition]]="Yes", 1, 0)</f>
        <v>0</v>
      </c>
      <c r="G698" t="s">
        <v>28</v>
      </c>
      <c r="H698" t="s">
        <v>23</v>
      </c>
      <c r="I698">
        <v>4</v>
      </c>
      <c r="J698">
        <v>2</v>
      </c>
      <c r="K698" t="s">
        <v>18</v>
      </c>
      <c r="L698">
        <v>3</v>
      </c>
      <c r="M698">
        <v>2</v>
      </c>
      <c r="N698" s="3">
        <v>4447</v>
      </c>
      <c r="O698" s="3" t="str">
        <f>IF(Table2[[#This Row],[MonthlyIncome]]&lt;=5000, "$1001 - $5000", IF(Table2[[#This Row],[MonthlyIncome]]&lt;=9000, "$5001 - $9000", IF(Table2[[#This Row],[MonthlyIncome]]&lt;=13000, "$9001 - $13000", IF(Table2[[#This Row],[MonthlyIncome]]&lt;=17000, "$13001 - $17000", IF(Table2[[#This Row],[MonthlyIncome]]&lt;=21000, "$17001 - $21000")))))</f>
        <v>$1001 - $5000</v>
      </c>
      <c r="P698">
        <v>1</v>
      </c>
      <c r="Q698">
        <v>2</v>
      </c>
      <c r="R698">
        <v>9</v>
      </c>
      <c r="S6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699" spans="1:19" ht="14.25" x14ac:dyDescent="0.2">
      <c r="A699">
        <v>88613900</v>
      </c>
      <c r="B699">
        <v>29</v>
      </c>
      <c r="C699" t="s">
        <v>20</v>
      </c>
      <c r="D699" t="s">
        <v>24</v>
      </c>
      <c r="E699" t="s">
        <v>22</v>
      </c>
      <c r="F699">
        <f>IF(Table2[[#This Row],[Attrition]]="Yes", 1, 0)</f>
        <v>0</v>
      </c>
      <c r="G699" t="s">
        <v>34</v>
      </c>
      <c r="H699" t="s">
        <v>17</v>
      </c>
      <c r="I699">
        <v>20</v>
      </c>
      <c r="J699">
        <v>3</v>
      </c>
      <c r="K699" t="s">
        <v>37</v>
      </c>
      <c r="L699">
        <v>3</v>
      </c>
      <c r="M699">
        <v>4</v>
      </c>
      <c r="N699" s="3">
        <v>2157</v>
      </c>
      <c r="O699" s="3" t="str">
        <f>IF(Table2[[#This Row],[MonthlyIncome]]&lt;=5000, "$1001 - $5000", IF(Table2[[#This Row],[MonthlyIncome]]&lt;=9000, "$5001 - $9000", IF(Table2[[#This Row],[MonthlyIncome]]&lt;=13000, "$9001 - $13000", IF(Table2[[#This Row],[MonthlyIncome]]&lt;=17000, "$13001 - $17000", IF(Table2[[#This Row],[MonthlyIncome]]&lt;=21000, "$17001 - $21000")))))</f>
        <v>$1001 - $5000</v>
      </c>
      <c r="P699">
        <v>1</v>
      </c>
      <c r="Q699">
        <v>3</v>
      </c>
      <c r="R699">
        <v>3</v>
      </c>
      <c r="S6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00" spans="1:19" ht="14.25" x14ac:dyDescent="0.2">
      <c r="A700">
        <v>59258971</v>
      </c>
      <c r="B700">
        <v>35</v>
      </c>
      <c r="C700" t="s">
        <v>20</v>
      </c>
      <c r="D700" t="s">
        <v>24</v>
      </c>
      <c r="E700" t="s">
        <v>22</v>
      </c>
      <c r="F700">
        <f>IF(Table2[[#This Row],[Attrition]]="Yes", 1, 0)</f>
        <v>0</v>
      </c>
      <c r="G700" t="s">
        <v>21</v>
      </c>
      <c r="H700" t="s">
        <v>17</v>
      </c>
      <c r="I700">
        <v>18</v>
      </c>
      <c r="J700">
        <v>3</v>
      </c>
      <c r="K700" t="s">
        <v>29</v>
      </c>
      <c r="L700">
        <v>3</v>
      </c>
      <c r="M700">
        <v>3</v>
      </c>
      <c r="N700" s="3">
        <v>4601</v>
      </c>
      <c r="O700" s="3" t="str">
        <f>IF(Table2[[#This Row],[MonthlyIncome]]&lt;=5000, "$1001 - $5000", IF(Table2[[#This Row],[MonthlyIncome]]&lt;=9000, "$5001 - $9000", IF(Table2[[#This Row],[MonthlyIncome]]&lt;=13000, "$9001 - $13000", IF(Table2[[#This Row],[MonthlyIncome]]&lt;=17000, "$13001 - $17000", IF(Table2[[#This Row],[MonthlyIncome]]&lt;=21000, "$17001 - $21000")))))</f>
        <v>$1001 - $5000</v>
      </c>
      <c r="P700">
        <v>1</v>
      </c>
      <c r="Q700">
        <v>3</v>
      </c>
      <c r="R700">
        <v>5</v>
      </c>
      <c r="S7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01" spans="1:19" ht="14.25" x14ac:dyDescent="0.2">
      <c r="A701">
        <v>21123590</v>
      </c>
      <c r="B701">
        <v>52</v>
      </c>
      <c r="C701" t="s">
        <v>25</v>
      </c>
      <c r="D701" t="s">
        <v>24</v>
      </c>
      <c r="E701" t="s">
        <v>22</v>
      </c>
      <c r="F701">
        <f>IF(Table2[[#This Row],[Attrition]]="Yes", 1, 0)</f>
        <v>0</v>
      </c>
      <c r="G701" t="s">
        <v>33</v>
      </c>
      <c r="H701" t="s">
        <v>23</v>
      </c>
      <c r="I701">
        <v>1</v>
      </c>
      <c r="J701">
        <v>2</v>
      </c>
      <c r="K701" t="s">
        <v>18</v>
      </c>
      <c r="L701">
        <v>4</v>
      </c>
      <c r="M701">
        <v>4</v>
      </c>
      <c r="N701" s="3">
        <v>17099</v>
      </c>
      <c r="O701" s="3" t="str">
        <f>IF(Table2[[#This Row],[MonthlyIncome]]&lt;=5000, "$1001 - $5000", IF(Table2[[#This Row],[MonthlyIncome]]&lt;=9000, "$5001 - $9000", IF(Table2[[#This Row],[MonthlyIncome]]&lt;=13000, "$9001 - $13000", IF(Table2[[#This Row],[MonthlyIncome]]&lt;=17000, "$13001 - $17000", IF(Table2[[#This Row],[MonthlyIncome]]&lt;=21000, "$17001 - $21000")))))</f>
        <v>$17001 - $21000</v>
      </c>
      <c r="P701">
        <v>2</v>
      </c>
      <c r="Q701">
        <v>2</v>
      </c>
      <c r="R701">
        <v>9</v>
      </c>
      <c r="S7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02" spans="1:19" ht="14.25" x14ac:dyDescent="0.2">
      <c r="A702">
        <v>74415720</v>
      </c>
      <c r="B702">
        <v>58</v>
      </c>
      <c r="C702" t="s">
        <v>25</v>
      </c>
      <c r="D702" t="s">
        <v>19</v>
      </c>
      <c r="E702" t="s">
        <v>16</v>
      </c>
      <c r="F702">
        <f>IF(Table2[[#This Row],[Attrition]]="Yes", 1, 0)</f>
        <v>1</v>
      </c>
      <c r="G702" t="s">
        <v>26</v>
      </c>
      <c r="H702" t="s">
        <v>23</v>
      </c>
      <c r="I702">
        <v>2</v>
      </c>
      <c r="J702">
        <v>3</v>
      </c>
      <c r="K702" t="s">
        <v>37</v>
      </c>
      <c r="L702">
        <v>4</v>
      </c>
      <c r="M702">
        <v>3</v>
      </c>
      <c r="N702" s="3">
        <v>2479</v>
      </c>
      <c r="O702" s="3" t="str">
        <f>IF(Table2[[#This Row],[MonthlyIncome]]&lt;=5000, "$1001 - $5000", IF(Table2[[#This Row],[MonthlyIncome]]&lt;=9000, "$5001 - $9000", IF(Table2[[#This Row],[MonthlyIncome]]&lt;=13000, "$9001 - $13000", IF(Table2[[#This Row],[MonthlyIncome]]&lt;=17000, "$13001 - $17000", IF(Table2[[#This Row],[MonthlyIncome]]&lt;=21000, "$17001 - $21000")))))</f>
        <v>$1001 - $5000</v>
      </c>
      <c r="P702">
        <v>4</v>
      </c>
      <c r="Q702">
        <v>3</v>
      </c>
      <c r="R702">
        <v>1</v>
      </c>
      <c r="S7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03" spans="1:19" ht="14.25" x14ac:dyDescent="0.2">
      <c r="A703">
        <v>20594362</v>
      </c>
      <c r="B703">
        <v>53</v>
      </c>
      <c r="C703" t="s">
        <v>25</v>
      </c>
      <c r="D703" t="s">
        <v>30</v>
      </c>
      <c r="E703" t="s">
        <v>22</v>
      </c>
      <c r="F703">
        <f>IF(Table2[[#This Row],[Attrition]]="Yes", 1, 0)</f>
        <v>0</v>
      </c>
      <c r="G703" t="s">
        <v>33</v>
      </c>
      <c r="H703" t="s">
        <v>17</v>
      </c>
      <c r="I703">
        <v>2</v>
      </c>
      <c r="J703">
        <v>2</v>
      </c>
      <c r="K703" t="s">
        <v>29</v>
      </c>
      <c r="L703">
        <v>3</v>
      </c>
      <c r="M703">
        <v>3</v>
      </c>
      <c r="N703" s="3">
        <v>14852</v>
      </c>
      <c r="O703" s="3" t="str">
        <f>IF(Table2[[#This Row],[MonthlyIncome]]&lt;=5000, "$1001 - $5000", IF(Table2[[#This Row],[MonthlyIncome]]&lt;=9000, "$5001 - $9000", IF(Table2[[#This Row],[MonthlyIncome]]&lt;=13000, "$9001 - $13000", IF(Table2[[#This Row],[MonthlyIncome]]&lt;=17000, "$13001 - $17000", IF(Table2[[#This Row],[MonthlyIncome]]&lt;=21000, "$17001 - $21000")))))</f>
        <v>$13001 - $17000</v>
      </c>
      <c r="P703">
        <v>6</v>
      </c>
      <c r="Q703">
        <v>4</v>
      </c>
      <c r="R703">
        <v>17</v>
      </c>
      <c r="S7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704" spans="1:19" ht="14.25" x14ac:dyDescent="0.2">
      <c r="A704">
        <v>70817776</v>
      </c>
      <c r="B704">
        <v>30</v>
      </c>
      <c r="C704" t="s">
        <v>25</v>
      </c>
      <c r="D704" t="s">
        <v>30</v>
      </c>
      <c r="E704" t="s">
        <v>22</v>
      </c>
      <c r="F704">
        <f>IF(Table2[[#This Row],[Attrition]]="Yes", 1, 0)</f>
        <v>0</v>
      </c>
      <c r="G704" t="s">
        <v>21</v>
      </c>
      <c r="H704" t="s">
        <v>17</v>
      </c>
      <c r="I704">
        <v>8</v>
      </c>
      <c r="J704">
        <v>2</v>
      </c>
      <c r="K704" t="s">
        <v>27</v>
      </c>
      <c r="L704">
        <v>3</v>
      </c>
      <c r="M704">
        <v>3</v>
      </c>
      <c r="N704" s="3">
        <v>7264</v>
      </c>
      <c r="O704" s="3" t="str">
        <f>IF(Table2[[#This Row],[MonthlyIncome]]&lt;=5000, "$1001 - $5000", IF(Table2[[#This Row],[MonthlyIncome]]&lt;=9000, "$5001 - $9000", IF(Table2[[#This Row],[MonthlyIncome]]&lt;=13000, "$9001 - $13000", IF(Table2[[#This Row],[MonthlyIncome]]&lt;=17000, "$13001 - $17000", IF(Table2[[#This Row],[MonthlyIncome]]&lt;=21000, "$17001 - $21000")))))</f>
        <v>$5001 - $9000</v>
      </c>
      <c r="P704">
        <v>5</v>
      </c>
      <c r="Q704">
        <v>4</v>
      </c>
      <c r="R704">
        <v>8</v>
      </c>
      <c r="S7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05" spans="1:19" ht="14.25" x14ac:dyDescent="0.2">
      <c r="A705">
        <v>40859220</v>
      </c>
      <c r="B705">
        <v>38</v>
      </c>
      <c r="C705" t="s">
        <v>20</v>
      </c>
      <c r="D705" t="s">
        <v>19</v>
      </c>
      <c r="E705" t="s">
        <v>22</v>
      </c>
      <c r="F705">
        <f>IF(Table2[[#This Row],[Attrition]]="Yes", 1, 0)</f>
        <v>0</v>
      </c>
      <c r="G705" t="s">
        <v>21</v>
      </c>
      <c r="H705" t="s">
        <v>17</v>
      </c>
      <c r="I705">
        <v>10</v>
      </c>
      <c r="J705">
        <v>3</v>
      </c>
      <c r="K705" t="s">
        <v>37</v>
      </c>
      <c r="L705">
        <v>3</v>
      </c>
      <c r="M705">
        <v>4</v>
      </c>
      <c r="N705" s="3">
        <v>5666</v>
      </c>
      <c r="O705" s="3" t="str">
        <f>IF(Table2[[#This Row],[MonthlyIncome]]&lt;=5000, "$1001 - $5000", IF(Table2[[#This Row],[MonthlyIncome]]&lt;=9000, "$5001 - $9000", IF(Table2[[#This Row],[MonthlyIncome]]&lt;=13000, "$9001 - $13000", IF(Table2[[#This Row],[MonthlyIncome]]&lt;=17000, "$13001 - $17000", IF(Table2[[#This Row],[MonthlyIncome]]&lt;=21000, "$17001 - $21000")))))</f>
        <v>$5001 - $9000</v>
      </c>
      <c r="P705">
        <v>1</v>
      </c>
      <c r="Q705">
        <v>3</v>
      </c>
      <c r="R705">
        <v>5</v>
      </c>
      <c r="S7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06" spans="1:19" ht="14.25" x14ac:dyDescent="0.2">
      <c r="A706">
        <v>47378034</v>
      </c>
      <c r="B706">
        <v>35</v>
      </c>
      <c r="C706" t="s">
        <v>25</v>
      </c>
      <c r="D706" t="s">
        <v>30</v>
      </c>
      <c r="E706" t="s">
        <v>22</v>
      </c>
      <c r="F706">
        <f>IF(Table2[[#This Row],[Attrition]]="Yes", 1, 0)</f>
        <v>0</v>
      </c>
      <c r="G706" t="s">
        <v>21</v>
      </c>
      <c r="H706" t="s">
        <v>17</v>
      </c>
      <c r="I706">
        <v>3</v>
      </c>
      <c r="J706">
        <v>4</v>
      </c>
      <c r="K706" t="s">
        <v>18</v>
      </c>
      <c r="L706">
        <v>4</v>
      </c>
      <c r="M706">
        <v>4</v>
      </c>
      <c r="N706" s="3">
        <v>7823</v>
      </c>
      <c r="O706" s="3" t="str">
        <f>IF(Table2[[#This Row],[MonthlyIncome]]&lt;=5000, "$1001 - $5000", IF(Table2[[#This Row],[MonthlyIncome]]&lt;=9000, "$5001 - $9000", IF(Table2[[#This Row],[MonthlyIncome]]&lt;=13000, "$9001 - $13000", IF(Table2[[#This Row],[MonthlyIncome]]&lt;=17000, "$13001 - $17000", IF(Table2[[#This Row],[MonthlyIncome]]&lt;=21000, "$17001 - $21000")))))</f>
        <v>$5001 - $9000</v>
      </c>
      <c r="P706">
        <v>6</v>
      </c>
      <c r="Q706">
        <v>3</v>
      </c>
      <c r="R706">
        <v>10</v>
      </c>
      <c r="S7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707" spans="1:19" ht="14.25" x14ac:dyDescent="0.2">
      <c r="A707">
        <v>69178642</v>
      </c>
      <c r="B707">
        <v>39</v>
      </c>
      <c r="C707" t="s">
        <v>25</v>
      </c>
      <c r="D707" t="s">
        <v>19</v>
      </c>
      <c r="E707" t="s">
        <v>22</v>
      </c>
      <c r="F707">
        <f>IF(Table2[[#This Row],[Attrition]]="Yes", 1, 0)</f>
        <v>0</v>
      </c>
      <c r="G707" t="s">
        <v>21</v>
      </c>
      <c r="H707" t="s">
        <v>17</v>
      </c>
      <c r="I707">
        <v>2</v>
      </c>
      <c r="J707">
        <v>5</v>
      </c>
      <c r="K707" t="s">
        <v>18</v>
      </c>
      <c r="L707">
        <v>1</v>
      </c>
      <c r="M707">
        <v>3</v>
      </c>
      <c r="N707" s="3">
        <v>7880</v>
      </c>
      <c r="O707" s="3" t="str">
        <f>IF(Table2[[#This Row],[MonthlyIncome]]&lt;=5000, "$1001 - $5000", IF(Table2[[#This Row],[MonthlyIncome]]&lt;=9000, "$5001 - $9000", IF(Table2[[#This Row],[MonthlyIncome]]&lt;=13000, "$9001 - $13000", IF(Table2[[#This Row],[MonthlyIncome]]&lt;=17000, "$13001 - $17000", IF(Table2[[#This Row],[MonthlyIncome]]&lt;=21000, "$17001 - $21000")))))</f>
        <v>$5001 - $9000</v>
      </c>
      <c r="P707">
        <v>0</v>
      </c>
      <c r="Q707">
        <v>3</v>
      </c>
      <c r="R707">
        <v>8</v>
      </c>
      <c r="S7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08" spans="1:19" ht="14.25" x14ac:dyDescent="0.2">
      <c r="A708">
        <v>26474741</v>
      </c>
      <c r="B708">
        <v>40</v>
      </c>
      <c r="C708" t="s">
        <v>20</v>
      </c>
      <c r="D708" t="s">
        <v>19</v>
      </c>
      <c r="E708" t="s">
        <v>16</v>
      </c>
      <c r="F708">
        <f>IF(Table2[[#This Row],[Attrition]]="Yes", 1, 0)</f>
        <v>1</v>
      </c>
      <c r="G708" t="s">
        <v>21</v>
      </c>
      <c r="H708" t="s">
        <v>17</v>
      </c>
      <c r="I708">
        <v>24</v>
      </c>
      <c r="J708">
        <v>3</v>
      </c>
      <c r="K708" t="s">
        <v>18</v>
      </c>
      <c r="L708">
        <v>2</v>
      </c>
      <c r="M708">
        <v>2</v>
      </c>
      <c r="N708" s="3">
        <v>13194</v>
      </c>
      <c r="O708" s="3" t="str">
        <f>IF(Table2[[#This Row],[MonthlyIncome]]&lt;=5000, "$1001 - $5000", IF(Table2[[#This Row],[MonthlyIncome]]&lt;=9000, "$5001 - $9000", IF(Table2[[#This Row],[MonthlyIncome]]&lt;=13000, "$9001 - $13000", IF(Table2[[#This Row],[MonthlyIncome]]&lt;=17000, "$13001 - $17000", IF(Table2[[#This Row],[MonthlyIncome]]&lt;=21000, "$17001 - $21000")))))</f>
        <v>$13001 - $17000</v>
      </c>
      <c r="P708">
        <v>4</v>
      </c>
      <c r="Q708">
        <v>2</v>
      </c>
      <c r="R708">
        <v>1</v>
      </c>
      <c r="S7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09" spans="1:19" ht="14.25" x14ac:dyDescent="0.2">
      <c r="A709">
        <v>72765129</v>
      </c>
      <c r="B709">
        <v>47</v>
      </c>
      <c r="C709" t="s">
        <v>25</v>
      </c>
      <c r="D709" t="s">
        <v>30</v>
      </c>
      <c r="E709" t="s">
        <v>22</v>
      </c>
      <c r="F709">
        <f>IF(Table2[[#This Row],[Attrition]]="Yes", 1, 0)</f>
        <v>0</v>
      </c>
      <c r="G709" t="s">
        <v>31</v>
      </c>
      <c r="H709" t="s">
        <v>23</v>
      </c>
      <c r="I709">
        <v>16</v>
      </c>
      <c r="J709">
        <v>4</v>
      </c>
      <c r="K709" t="s">
        <v>29</v>
      </c>
      <c r="L709">
        <v>3</v>
      </c>
      <c r="M709">
        <v>3</v>
      </c>
      <c r="N709" s="3">
        <v>5067</v>
      </c>
      <c r="O709" s="3" t="str">
        <f>IF(Table2[[#This Row],[MonthlyIncome]]&lt;=5000, "$1001 - $5000", IF(Table2[[#This Row],[MonthlyIncome]]&lt;=9000, "$5001 - $9000", IF(Table2[[#This Row],[MonthlyIncome]]&lt;=13000, "$9001 - $13000", IF(Table2[[#This Row],[MonthlyIncome]]&lt;=17000, "$13001 - $17000", IF(Table2[[#This Row],[MonthlyIncome]]&lt;=21000, "$17001 - $21000")))))</f>
        <v>$5001 - $9000</v>
      </c>
      <c r="P709">
        <v>1</v>
      </c>
      <c r="Q709">
        <v>4</v>
      </c>
      <c r="R709">
        <v>19</v>
      </c>
      <c r="S7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710" spans="1:19" ht="14.25" x14ac:dyDescent="0.2">
      <c r="A710">
        <v>75713232</v>
      </c>
      <c r="B710">
        <v>36</v>
      </c>
      <c r="C710" t="s">
        <v>25</v>
      </c>
      <c r="D710" t="s">
        <v>30</v>
      </c>
      <c r="E710" t="s">
        <v>22</v>
      </c>
      <c r="F710">
        <f>IF(Table2[[#This Row],[Attrition]]="Yes", 1, 0)</f>
        <v>0</v>
      </c>
      <c r="G710" t="s">
        <v>21</v>
      </c>
      <c r="H710" t="s">
        <v>17</v>
      </c>
      <c r="I710">
        <v>8</v>
      </c>
      <c r="J710">
        <v>4</v>
      </c>
      <c r="K710" t="s">
        <v>37</v>
      </c>
      <c r="L710">
        <v>1</v>
      </c>
      <c r="M710">
        <v>4</v>
      </c>
      <c r="N710" s="3">
        <v>5079</v>
      </c>
      <c r="O710" s="3" t="str">
        <f>IF(Table2[[#This Row],[MonthlyIncome]]&lt;=5000, "$1001 - $5000", IF(Table2[[#This Row],[MonthlyIncome]]&lt;=9000, "$5001 - $9000", IF(Table2[[#This Row],[MonthlyIncome]]&lt;=13000, "$9001 - $13000", IF(Table2[[#This Row],[MonthlyIncome]]&lt;=17000, "$13001 - $17000", IF(Table2[[#This Row],[MonthlyIncome]]&lt;=21000, "$17001 - $21000")))))</f>
        <v>$5001 - $9000</v>
      </c>
      <c r="P710">
        <v>4</v>
      </c>
      <c r="Q710">
        <v>3</v>
      </c>
      <c r="R710">
        <v>7</v>
      </c>
      <c r="S7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11" spans="1:19" ht="14.25" x14ac:dyDescent="0.2">
      <c r="A711">
        <v>69052088</v>
      </c>
      <c r="B711">
        <v>31</v>
      </c>
      <c r="C711" t="s">
        <v>25</v>
      </c>
      <c r="D711" t="s">
        <v>19</v>
      </c>
      <c r="E711" t="s">
        <v>16</v>
      </c>
      <c r="F711">
        <f>IF(Table2[[#This Row],[Attrition]]="Yes", 1, 0)</f>
        <v>1</v>
      </c>
      <c r="G711" t="s">
        <v>26</v>
      </c>
      <c r="H711" t="s">
        <v>23</v>
      </c>
      <c r="I711">
        <v>9</v>
      </c>
      <c r="J711">
        <v>2</v>
      </c>
      <c r="K711" t="s">
        <v>29</v>
      </c>
      <c r="L711">
        <v>3</v>
      </c>
      <c r="M711">
        <v>1</v>
      </c>
      <c r="N711" s="3">
        <v>2321</v>
      </c>
      <c r="O711" s="3" t="str">
        <f>IF(Table2[[#This Row],[MonthlyIncome]]&lt;=5000, "$1001 - $5000", IF(Table2[[#This Row],[MonthlyIncome]]&lt;=9000, "$5001 - $9000", IF(Table2[[#This Row],[MonthlyIncome]]&lt;=13000, "$9001 - $13000", IF(Table2[[#This Row],[MonthlyIncome]]&lt;=17000, "$13001 - $17000", IF(Table2[[#This Row],[MonthlyIncome]]&lt;=21000, "$17001 - $21000")))))</f>
        <v>$1001 - $5000</v>
      </c>
      <c r="P711">
        <v>0</v>
      </c>
      <c r="Q711">
        <v>3</v>
      </c>
      <c r="R711">
        <v>3</v>
      </c>
      <c r="S7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12" spans="1:19" ht="14.25" x14ac:dyDescent="0.2">
      <c r="A712">
        <v>46413961</v>
      </c>
      <c r="B712">
        <v>33</v>
      </c>
      <c r="C712" t="s">
        <v>25</v>
      </c>
      <c r="D712" t="s">
        <v>19</v>
      </c>
      <c r="E712" t="s">
        <v>22</v>
      </c>
      <c r="F712">
        <f>IF(Table2[[#This Row],[Attrition]]="Yes", 1, 0)</f>
        <v>0</v>
      </c>
      <c r="G712" t="s">
        <v>33</v>
      </c>
      <c r="H712" t="s">
        <v>17</v>
      </c>
      <c r="I712">
        <v>17</v>
      </c>
      <c r="J712">
        <v>3</v>
      </c>
      <c r="K712" t="s">
        <v>18</v>
      </c>
      <c r="L712">
        <v>4</v>
      </c>
      <c r="M712">
        <v>3</v>
      </c>
      <c r="N712" s="3">
        <v>17444</v>
      </c>
      <c r="O712" s="3" t="str">
        <f>IF(Table2[[#This Row],[MonthlyIncome]]&lt;=5000, "$1001 - $5000", IF(Table2[[#This Row],[MonthlyIncome]]&lt;=9000, "$5001 - $9000", IF(Table2[[#This Row],[MonthlyIncome]]&lt;=13000, "$9001 - $13000", IF(Table2[[#This Row],[MonthlyIncome]]&lt;=17000, "$13001 - $17000", IF(Table2[[#This Row],[MonthlyIncome]]&lt;=21000, "$17001 - $21000")))))</f>
        <v>$17001 - $21000</v>
      </c>
      <c r="P712">
        <v>1</v>
      </c>
      <c r="Q712">
        <v>3</v>
      </c>
      <c r="R712">
        <v>10</v>
      </c>
      <c r="S7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713" spans="1:19" ht="14.25" x14ac:dyDescent="0.2">
      <c r="A713">
        <v>14188372</v>
      </c>
      <c r="B713">
        <v>29</v>
      </c>
      <c r="C713" t="s">
        <v>20</v>
      </c>
      <c r="D713" t="s">
        <v>19</v>
      </c>
      <c r="E713" t="s">
        <v>16</v>
      </c>
      <c r="F713">
        <f>IF(Table2[[#This Row],[Attrition]]="Yes", 1, 0)</f>
        <v>1</v>
      </c>
      <c r="G713" t="s">
        <v>26</v>
      </c>
      <c r="H713" t="s">
        <v>23</v>
      </c>
      <c r="I713">
        <v>10</v>
      </c>
      <c r="J713">
        <v>3</v>
      </c>
      <c r="K713" t="s">
        <v>18</v>
      </c>
      <c r="L713">
        <v>4</v>
      </c>
      <c r="M713">
        <v>1</v>
      </c>
      <c r="N713" s="3">
        <v>2404</v>
      </c>
      <c r="O713" s="3" t="str">
        <f>IF(Table2[[#This Row],[MonthlyIncome]]&lt;=5000, "$1001 - $5000", IF(Table2[[#This Row],[MonthlyIncome]]&lt;=9000, "$5001 - $9000", IF(Table2[[#This Row],[MonthlyIncome]]&lt;=13000, "$9001 - $13000", IF(Table2[[#This Row],[MonthlyIncome]]&lt;=17000, "$13001 - $17000", IF(Table2[[#This Row],[MonthlyIncome]]&lt;=21000, "$17001 - $21000")))))</f>
        <v>$1001 - $5000</v>
      </c>
      <c r="P713">
        <v>6</v>
      </c>
      <c r="Q713">
        <v>3</v>
      </c>
      <c r="R713">
        <v>0</v>
      </c>
      <c r="S7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14" spans="1:19" ht="14.25" x14ac:dyDescent="0.2">
      <c r="A714">
        <v>57792565</v>
      </c>
      <c r="B714">
        <v>33</v>
      </c>
      <c r="C714" t="s">
        <v>20</v>
      </c>
      <c r="D714" t="s">
        <v>19</v>
      </c>
      <c r="E714" t="s">
        <v>22</v>
      </c>
      <c r="F714">
        <f>IF(Table2[[#This Row],[Attrition]]="Yes", 1, 0)</f>
        <v>0</v>
      </c>
      <c r="G714" t="s">
        <v>26</v>
      </c>
      <c r="H714" t="s">
        <v>23</v>
      </c>
      <c r="I714">
        <v>13</v>
      </c>
      <c r="J714">
        <v>1</v>
      </c>
      <c r="K714" t="s">
        <v>18</v>
      </c>
      <c r="L714">
        <v>2</v>
      </c>
      <c r="M714">
        <v>4</v>
      </c>
      <c r="N714" s="3">
        <v>3452</v>
      </c>
      <c r="O714" s="3" t="str">
        <f>IF(Table2[[#This Row],[MonthlyIncome]]&lt;=5000, "$1001 - $5000", IF(Table2[[#This Row],[MonthlyIncome]]&lt;=9000, "$5001 - $9000", IF(Table2[[#This Row],[MonthlyIncome]]&lt;=13000, "$9001 - $13000", IF(Table2[[#This Row],[MonthlyIncome]]&lt;=17000, "$13001 - $17000", IF(Table2[[#This Row],[MonthlyIncome]]&lt;=21000, "$17001 - $21000")))))</f>
        <v>$1001 - $5000</v>
      </c>
      <c r="P714">
        <v>3</v>
      </c>
      <c r="Q714">
        <v>3</v>
      </c>
      <c r="R714">
        <v>3</v>
      </c>
      <c r="S7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15" spans="1:19" ht="14.25" x14ac:dyDescent="0.2">
      <c r="A715">
        <v>41000649</v>
      </c>
      <c r="B715">
        <v>45</v>
      </c>
      <c r="C715" t="s">
        <v>20</v>
      </c>
      <c r="D715" t="s">
        <v>30</v>
      </c>
      <c r="E715" t="s">
        <v>22</v>
      </c>
      <c r="F715">
        <f>IF(Table2[[#This Row],[Attrition]]="Yes", 1, 0)</f>
        <v>0</v>
      </c>
      <c r="G715" t="s">
        <v>28</v>
      </c>
      <c r="H715" t="s">
        <v>23</v>
      </c>
      <c r="I715">
        <v>1</v>
      </c>
      <c r="J715">
        <v>4</v>
      </c>
      <c r="K715" t="s">
        <v>29</v>
      </c>
      <c r="L715">
        <v>4</v>
      </c>
      <c r="M715">
        <v>4</v>
      </c>
      <c r="N715" s="3">
        <v>2270</v>
      </c>
      <c r="O715" s="3" t="str">
        <f>IF(Table2[[#This Row],[MonthlyIncome]]&lt;=5000, "$1001 - $5000", IF(Table2[[#This Row],[MonthlyIncome]]&lt;=9000, "$5001 - $9000", IF(Table2[[#This Row],[MonthlyIncome]]&lt;=13000, "$9001 - $13000", IF(Table2[[#This Row],[MonthlyIncome]]&lt;=17000, "$13001 - $17000", IF(Table2[[#This Row],[MonthlyIncome]]&lt;=21000, "$17001 - $21000")))))</f>
        <v>$1001 - $5000</v>
      </c>
      <c r="P715">
        <v>3</v>
      </c>
      <c r="Q715">
        <v>3</v>
      </c>
      <c r="R715">
        <v>5</v>
      </c>
      <c r="S7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16" spans="1:19" ht="14.25" x14ac:dyDescent="0.2">
      <c r="A716">
        <v>54947333</v>
      </c>
      <c r="B716">
        <v>50</v>
      </c>
      <c r="C716" t="s">
        <v>25</v>
      </c>
      <c r="D716" t="s">
        <v>30</v>
      </c>
      <c r="E716" t="s">
        <v>22</v>
      </c>
      <c r="F716">
        <f>IF(Table2[[#This Row],[Attrition]]="Yes", 1, 0)</f>
        <v>0</v>
      </c>
      <c r="G716" t="s">
        <v>35</v>
      </c>
      <c r="H716" t="s">
        <v>23</v>
      </c>
      <c r="I716">
        <v>1</v>
      </c>
      <c r="J716">
        <v>2</v>
      </c>
      <c r="K716" t="s">
        <v>29</v>
      </c>
      <c r="L716">
        <v>4</v>
      </c>
      <c r="M716">
        <v>4</v>
      </c>
      <c r="N716" s="3">
        <v>17399</v>
      </c>
      <c r="O716" s="3" t="str">
        <f>IF(Table2[[#This Row],[MonthlyIncome]]&lt;=5000, "$1001 - $5000", IF(Table2[[#This Row],[MonthlyIncome]]&lt;=9000, "$5001 - $9000", IF(Table2[[#This Row],[MonthlyIncome]]&lt;=13000, "$9001 - $13000", IF(Table2[[#This Row],[MonthlyIncome]]&lt;=17000, "$13001 - $17000", IF(Table2[[#This Row],[MonthlyIncome]]&lt;=21000, "$17001 - $21000")))))</f>
        <v>$17001 - $21000</v>
      </c>
      <c r="P716">
        <v>9</v>
      </c>
      <c r="Q716">
        <v>2</v>
      </c>
      <c r="R716">
        <v>5</v>
      </c>
      <c r="S7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17" spans="1:19" ht="14.25" x14ac:dyDescent="0.2">
      <c r="A717">
        <v>10512103</v>
      </c>
      <c r="B717">
        <v>33</v>
      </c>
      <c r="C717" t="s">
        <v>20</v>
      </c>
      <c r="D717" t="s">
        <v>24</v>
      </c>
      <c r="E717" t="s">
        <v>22</v>
      </c>
      <c r="F717">
        <f>IF(Table2[[#This Row],[Attrition]]="Yes", 1, 0)</f>
        <v>0</v>
      </c>
      <c r="G717" t="s">
        <v>32</v>
      </c>
      <c r="H717" t="s">
        <v>23</v>
      </c>
      <c r="I717">
        <v>1</v>
      </c>
      <c r="J717">
        <v>4</v>
      </c>
      <c r="K717" t="s">
        <v>27</v>
      </c>
      <c r="L717">
        <v>3</v>
      </c>
      <c r="M717">
        <v>2</v>
      </c>
      <c r="N717" s="3">
        <v>5488</v>
      </c>
      <c r="O717" s="3" t="str">
        <f>IF(Table2[[#This Row],[MonthlyIncome]]&lt;=5000, "$1001 - $5000", IF(Table2[[#This Row],[MonthlyIncome]]&lt;=9000, "$5001 - $9000", IF(Table2[[#This Row],[MonthlyIncome]]&lt;=13000, "$9001 - $13000", IF(Table2[[#This Row],[MonthlyIncome]]&lt;=17000, "$13001 - $17000", IF(Table2[[#This Row],[MonthlyIncome]]&lt;=21000, "$17001 - $21000")))))</f>
        <v>$5001 - $9000</v>
      </c>
      <c r="P717">
        <v>1</v>
      </c>
      <c r="Q717">
        <v>3</v>
      </c>
      <c r="R717">
        <v>6</v>
      </c>
      <c r="S7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18" spans="1:19" ht="14.25" x14ac:dyDescent="0.2">
      <c r="A718">
        <v>67272685</v>
      </c>
      <c r="B718">
        <v>41</v>
      </c>
      <c r="C718" t="s">
        <v>25</v>
      </c>
      <c r="D718" t="s">
        <v>30</v>
      </c>
      <c r="E718" t="s">
        <v>22</v>
      </c>
      <c r="F718">
        <f>IF(Table2[[#This Row],[Attrition]]="Yes", 1, 0)</f>
        <v>0</v>
      </c>
      <c r="G718" t="s">
        <v>35</v>
      </c>
      <c r="H718" t="s">
        <v>23</v>
      </c>
      <c r="I718">
        <v>9</v>
      </c>
      <c r="J718">
        <v>3</v>
      </c>
      <c r="K718" t="s">
        <v>29</v>
      </c>
      <c r="L718">
        <v>1</v>
      </c>
      <c r="M718">
        <v>3</v>
      </c>
      <c r="N718" s="3">
        <v>19419</v>
      </c>
      <c r="O718" s="3" t="str">
        <f>IF(Table2[[#This Row],[MonthlyIncome]]&lt;=5000, "$1001 - $5000", IF(Table2[[#This Row],[MonthlyIncome]]&lt;=9000, "$5001 - $9000", IF(Table2[[#This Row],[MonthlyIncome]]&lt;=13000, "$9001 - $13000", IF(Table2[[#This Row],[MonthlyIncome]]&lt;=17000, "$13001 - $17000", IF(Table2[[#This Row],[MonthlyIncome]]&lt;=21000, "$17001 - $21000")))))</f>
        <v>$17001 - $21000</v>
      </c>
      <c r="P718">
        <v>2</v>
      </c>
      <c r="Q718">
        <v>4</v>
      </c>
      <c r="R718">
        <v>18</v>
      </c>
      <c r="S7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719" spans="1:19" ht="14.25" x14ac:dyDescent="0.2">
      <c r="A719">
        <v>62454437</v>
      </c>
      <c r="B719">
        <v>27</v>
      </c>
      <c r="C719" t="s">
        <v>20</v>
      </c>
      <c r="D719" t="s">
        <v>24</v>
      </c>
      <c r="E719" t="s">
        <v>22</v>
      </c>
      <c r="F719">
        <f>IF(Table2[[#This Row],[Attrition]]="Yes", 1, 0)</f>
        <v>0</v>
      </c>
      <c r="G719" t="s">
        <v>28</v>
      </c>
      <c r="H719" t="s">
        <v>23</v>
      </c>
      <c r="I719">
        <v>16</v>
      </c>
      <c r="J719">
        <v>4</v>
      </c>
      <c r="K719" t="s">
        <v>37</v>
      </c>
      <c r="L719">
        <v>3</v>
      </c>
      <c r="M719">
        <v>2</v>
      </c>
      <c r="N719" s="3">
        <v>2811</v>
      </c>
      <c r="O719" s="3" t="str">
        <f>IF(Table2[[#This Row],[MonthlyIncome]]&lt;=5000, "$1001 - $5000", IF(Table2[[#This Row],[MonthlyIncome]]&lt;=9000, "$5001 - $9000", IF(Table2[[#This Row],[MonthlyIncome]]&lt;=13000, "$9001 - $13000", IF(Table2[[#This Row],[MonthlyIncome]]&lt;=17000, "$13001 - $17000", IF(Table2[[#This Row],[MonthlyIncome]]&lt;=21000, "$17001 - $21000")))))</f>
        <v>$1001 - $5000</v>
      </c>
      <c r="P719">
        <v>9</v>
      </c>
      <c r="Q719">
        <v>3</v>
      </c>
      <c r="R719">
        <v>2</v>
      </c>
      <c r="S7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20" spans="1:19" ht="14.25" x14ac:dyDescent="0.2">
      <c r="A720">
        <v>13640307</v>
      </c>
      <c r="B720">
        <v>45</v>
      </c>
      <c r="C720" t="s">
        <v>25</v>
      </c>
      <c r="D720" t="s">
        <v>24</v>
      </c>
      <c r="E720" t="s">
        <v>22</v>
      </c>
      <c r="F720">
        <f>IF(Table2[[#This Row],[Attrition]]="Yes", 1, 0)</f>
        <v>0</v>
      </c>
      <c r="G720" t="s">
        <v>28</v>
      </c>
      <c r="H720" t="s">
        <v>23</v>
      </c>
      <c r="I720">
        <v>23</v>
      </c>
      <c r="J720">
        <v>2</v>
      </c>
      <c r="K720" t="s">
        <v>18</v>
      </c>
      <c r="L720">
        <v>4</v>
      </c>
      <c r="M720">
        <v>1</v>
      </c>
      <c r="N720" s="3">
        <v>3633</v>
      </c>
      <c r="O720" s="3" t="str">
        <f>IF(Table2[[#This Row],[MonthlyIncome]]&lt;=5000, "$1001 - $5000", IF(Table2[[#This Row],[MonthlyIncome]]&lt;=9000, "$5001 - $9000", IF(Table2[[#This Row],[MonthlyIncome]]&lt;=13000, "$9001 - $13000", IF(Table2[[#This Row],[MonthlyIncome]]&lt;=17000, "$13001 - $17000", IF(Table2[[#This Row],[MonthlyIncome]]&lt;=21000, "$17001 - $21000")))))</f>
        <v>$1001 - $5000</v>
      </c>
      <c r="P720">
        <v>1</v>
      </c>
      <c r="Q720">
        <v>3</v>
      </c>
      <c r="R720">
        <v>9</v>
      </c>
      <c r="S7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21" spans="1:19" ht="14.25" x14ac:dyDescent="0.2">
      <c r="A721">
        <v>25167742</v>
      </c>
      <c r="B721">
        <v>47</v>
      </c>
      <c r="C721" t="s">
        <v>20</v>
      </c>
      <c r="D721" t="s">
        <v>19</v>
      </c>
      <c r="E721" t="s">
        <v>22</v>
      </c>
      <c r="F721">
        <f>IF(Table2[[#This Row],[Attrition]]="Yes", 1, 0)</f>
        <v>0</v>
      </c>
      <c r="G721" t="s">
        <v>21</v>
      </c>
      <c r="H721" t="s">
        <v>17</v>
      </c>
      <c r="I721">
        <v>4</v>
      </c>
      <c r="J721">
        <v>2</v>
      </c>
      <c r="K721" t="s">
        <v>18</v>
      </c>
      <c r="L721">
        <v>4</v>
      </c>
      <c r="M721">
        <v>4</v>
      </c>
      <c r="N721" s="3">
        <v>4163</v>
      </c>
      <c r="O721" s="3" t="str">
        <f>IF(Table2[[#This Row],[MonthlyIncome]]&lt;=5000, "$1001 - $5000", IF(Table2[[#This Row],[MonthlyIncome]]&lt;=9000, "$5001 - $9000", IF(Table2[[#This Row],[MonthlyIncome]]&lt;=13000, "$9001 - $13000", IF(Table2[[#This Row],[MonthlyIncome]]&lt;=17000, "$13001 - $17000", IF(Table2[[#This Row],[MonthlyIncome]]&lt;=21000, "$17001 - $21000")))))</f>
        <v>$1001 - $5000</v>
      </c>
      <c r="P721">
        <v>1</v>
      </c>
      <c r="Q721">
        <v>3</v>
      </c>
      <c r="R721">
        <v>9</v>
      </c>
      <c r="S7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22" spans="1:19" ht="14.25" x14ac:dyDescent="0.2">
      <c r="A722">
        <v>89646447</v>
      </c>
      <c r="B722">
        <v>30</v>
      </c>
      <c r="C722" t="s">
        <v>20</v>
      </c>
      <c r="D722" t="s">
        <v>24</v>
      </c>
      <c r="E722" t="s">
        <v>16</v>
      </c>
      <c r="F722">
        <f>IF(Table2[[#This Row],[Attrition]]="Yes", 1, 0)</f>
        <v>1</v>
      </c>
      <c r="G722" t="s">
        <v>26</v>
      </c>
      <c r="H722" t="s">
        <v>23</v>
      </c>
      <c r="I722">
        <v>22</v>
      </c>
      <c r="J722">
        <v>3</v>
      </c>
      <c r="K722" t="s">
        <v>18</v>
      </c>
      <c r="L722">
        <v>1</v>
      </c>
      <c r="M722">
        <v>3</v>
      </c>
      <c r="N722" s="3">
        <v>2132</v>
      </c>
      <c r="O722" s="3" t="str">
        <f>IF(Table2[[#This Row],[MonthlyIncome]]&lt;=5000, "$1001 - $5000", IF(Table2[[#This Row],[MonthlyIncome]]&lt;=9000, "$5001 - $9000", IF(Table2[[#This Row],[MonthlyIncome]]&lt;=13000, "$9001 - $13000", IF(Table2[[#This Row],[MonthlyIncome]]&lt;=17000, "$13001 - $17000", IF(Table2[[#This Row],[MonthlyIncome]]&lt;=21000, "$17001 - $21000")))))</f>
        <v>$1001 - $5000</v>
      </c>
      <c r="P722">
        <v>4</v>
      </c>
      <c r="Q722">
        <v>3</v>
      </c>
      <c r="R722">
        <v>5</v>
      </c>
      <c r="S7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23" spans="1:19" ht="14.25" x14ac:dyDescent="0.2">
      <c r="A723">
        <v>64994621</v>
      </c>
      <c r="B723">
        <v>50</v>
      </c>
      <c r="C723" t="s">
        <v>25</v>
      </c>
      <c r="D723" t="s">
        <v>24</v>
      </c>
      <c r="E723" t="s">
        <v>22</v>
      </c>
      <c r="F723">
        <f>IF(Table2[[#This Row],[Attrition]]="Yes", 1, 0)</f>
        <v>0</v>
      </c>
      <c r="G723" t="s">
        <v>31</v>
      </c>
      <c r="H723" t="s">
        <v>23</v>
      </c>
      <c r="I723">
        <v>24</v>
      </c>
      <c r="J723">
        <v>3</v>
      </c>
      <c r="K723" t="s">
        <v>18</v>
      </c>
      <c r="L723">
        <v>4</v>
      </c>
      <c r="M723">
        <v>3</v>
      </c>
      <c r="N723" s="3">
        <v>13973</v>
      </c>
      <c r="O723" s="3" t="str">
        <f>IF(Table2[[#This Row],[MonthlyIncome]]&lt;=5000, "$1001 - $5000", IF(Table2[[#This Row],[MonthlyIncome]]&lt;=9000, "$5001 - $9000", IF(Table2[[#This Row],[MonthlyIncome]]&lt;=13000, "$9001 - $13000", IF(Table2[[#This Row],[MonthlyIncome]]&lt;=17000, "$13001 - $17000", IF(Table2[[#This Row],[MonthlyIncome]]&lt;=21000, "$17001 - $21000")))))</f>
        <v>$13001 - $17000</v>
      </c>
      <c r="P723">
        <v>3</v>
      </c>
      <c r="Q723">
        <v>3</v>
      </c>
      <c r="R723">
        <v>12</v>
      </c>
      <c r="S7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724" spans="1:19" ht="14.25" x14ac:dyDescent="0.2">
      <c r="A724">
        <v>66286183</v>
      </c>
      <c r="B724">
        <v>38</v>
      </c>
      <c r="C724" t="s">
        <v>25</v>
      </c>
      <c r="D724" t="s">
        <v>24</v>
      </c>
      <c r="E724" t="s">
        <v>22</v>
      </c>
      <c r="F724">
        <f>IF(Table2[[#This Row],[Attrition]]="Yes", 1, 0)</f>
        <v>0</v>
      </c>
      <c r="G724" t="s">
        <v>26</v>
      </c>
      <c r="H724" t="s">
        <v>23</v>
      </c>
      <c r="I724">
        <v>10</v>
      </c>
      <c r="J724">
        <v>1</v>
      </c>
      <c r="K724" t="s">
        <v>29</v>
      </c>
      <c r="L724">
        <v>3</v>
      </c>
      <c r="M724">
        <v>3</v>
      </c>
      <c r="N724" s="3">
        <v>2684</v>
      </c>
      <c r="O724" s="3" t="str">
        <f>IF(Table2[[#This Row],[MonthlyIncome]]&lt;=5000, "$1001 - $5000", IF(Table2[[#This Row],[MonthlyIncome]]&lt;=9000, "$5001 - $9000", IF(Table2[[#This Row],[MonthlyIncome]]&lt;=13000, "$9001 - $13000", IF(Table2[[#This Row],[MonthlyIncome]]&lt;=17000, "$13001 - $17000", IF(Table2[[#This Row],[MonthlyIncome]]&lt;=21000, "$17001 - $21000")))))</f>
        <v>$1001 - $5000</v>
      </c>
      <c r="P724">
        <v>0</v>
      </c>
      <c r="Q724">
        <v>2</v>
      </c>
      <c r="R724">
        <v>2</v>
      </c>
      <c r="S7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25" spans="1:19" ht="14.25" x14ac:dyDescent="0.2">
      <c r="A725">
        <v>24408512</v>
      </c>
      <c r="B725">
        <v>46</v>
      </c>
      <c r="C725" t="s">
        <v>25</v>
      </c>
      <c r="D725" t="s">
        <v>30</v>
      </c>
      <c r="E725" t="s">
        <v>22</v>
      </c>
      <c r="F725">
        <f>IF(Table2[[#This Row],[Attrition]]="Yes", 1, 0)</f>
        <v>0</v>
      </c>
      <c r="G725" t="s">
        <v>31</v>
      </c>
      <c r="H725" t="s">
        <v>23</v>
      </c>
      <c r="I725">
        <v>7</v>
      </c>
      <c r="J725">
        <v>2</v>
      </c>
      <c r="K725" t="s">
        <v>29</v>
      </c>
      <c r="L725">
        <v>4</v>
      </c>
      <c r="M725">
        <v>3</v>
      </c>
      <c r="N725" s="3">
        <v>10845</v>
      </c>
      <c r="O725" s="3" t="str">
        <f>IF(Table2[[#This Row],[MonthlyIncome]]&lt;=5000, "$1001 - $5000", IF(Table2[[#This Row],[MonthlyIncome]]&lt;=9000, "$5001 - $9000", IF(Table2[[#This Row],[MonthlyIncome]]&lt;=13000, "$9001 - $13000", IF(Table2[[#This Row],[MonthlyIncome]]&lt;=17000, "$13001 - $17000", IF(Table2[[#This Row],[MonthlyIncome]]&lt;=21000, "$17001 - $21000")))))</f>
        <v>$9001 - $13000</v>
      </c>
      <c r="P725">
        <v>6</v>
      </c>
      <c r="Q725">
        <v>3</v>
      </c>
      <c r="R725">
        <v>8</v>
      </c>
      <c r="S7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26" spans="1:19" ht="14.25" x14ac:dyDescent="0.2">
      <c r="A726">
        <v>88080971</v>
      </c>
      <c r="B726">
        <v>24</v>
      </c>
      <c r="C726" t="s">
        <v>20</v>
      </c>
      <c r="D726" t="s">
        <v>30</v>
      </c>
      <c r="E726" t="s">
        <v>22</v>
      </c>
      <c r="F726">
        <f>IF(Table2[[#This Row],[Attrition]]="Yes", 1, 0)</f>
        <v>0</v>
      </c>
      <c r="G726" t="s">
        <v>31</v>
      </c>
      <c r="H726" t="s">
        <v>23</v>
      </c>
      <c r="I726">
        <v>17</v>
      </c>
      <c r="J726">
        <v>1</v>
      </c>
      <c r="K726" t="s">
        <v>29</v>
      </c>
      <c r="L726">
        <v>4</v>
      </c>
      <c r="M726">
        <v>3</v>
      </c>
      <c r="N726" s="3">
        <v>4377</v>
      </c>
      <c r="O726" s="3" t="str">
        <f>IF(Table2[[#This Row],[MonthlyIncome]]&lt;=5000, "$1001 - $5000", IF(Table2[[#This Row],[MonthlyIncome]]&lt;=9000, "$5001 - $9000", IF(Table2[[#This Row],[MonthlyIncome]]&lt;=13000, "$9001 - $13000", IF(Table2[[#This Row],[MonthlyIncome]]&lt;=17000, "$13001 - $17000", IF(Table2[[#This Row],[MonthlyIncome]]&lt;=21000, "$17001 - $21000")))))</f>
        <v>$1001 - $5000</v>
      </c>
      <c r="P726">
        <v>1</v>
      </c>
      <c r="Q726">
        <v>3</v>
      </c>
      <c r="R726">
        <v>4</v>
      </c>
      <c r="S7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27" spans="1:19" ht="14.25" x14ac:dyDescent="0.2">
      <c r="A727">
        <v>34788113</v>
      </c>
      <c r="B727">
        <v>35</v>
      </c>
      <c r="C727" t="s">
        <v>25</v>
      </c>
      <c r="D727" t="s">
        <v>30</v>
      </c>
      <c r="E727" t="s">
        <v>16</v>
      </c>
      <c r="F727">
        <f>IF(Table2[[#This Row],[Attrition]]="Yes", 1, 0)</f>
        <v>1</v>
      </c>
      <c r="G727" t="s">
        <v>28</v>
      </c>
      <c r="H727" t="s">
        <v>23</v>
      </c>
      <c r="I727">
        <v>14</v>
      </c>
      <c r="J727">
        <v>4</v>
      </c>
      <c r="K727" t="s">
        <v>27</v>
      </c>
      <c r="L727">
        <v>3</v>
      </c>
      <c r="M727">
        <v>2</v>
      </c>
      <c r="N727" s="3">
        <v>3743</v>
      </c>
      <c r="O727" s="3" t="str">
        <f>IF(Table2[[#This Row],[MonthlyIncome]]&lt;=5000, "$1001 - $5000", IF(Table2[[#This Row],[MonthlyIncome]]&lt;=9000, "$5001 - $9000", IF(Table2[[#This Row],[MonthlyIncome]]&lt;=13000, "$9001 - $13000", IF(Table2[[#This Row],[MonthlyIncome]]&lt;=17000, "$13001 - $17000", IF(Table2[[#This Row],[MonthlyIncome]]&lt;=21000, "$17001 - $21000")))))</f>
        <v>$1001 - $5000</v>
      </c>
      <c r="P727">
        <v>1</v>
      </c>
      <c r="Q727">
        <v>1</v>
      </c>
      <c r="R727">
        <v>4</v>
      </c>
      <c r="S7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28" spans="1:19" ht="14.25" x14ac:dyDescent="0.2">
      <c r="A728">
        <v>13079076</v>
      </c>
      <c r="B728">
        <v>31</v>
      </c>
      <c r="C728" t="s">
        <v>20</v>
      </c>
      <c r="D728" t="s">
        <v>24</v>
      </c>
      <c r="E728" t="s">
        <v>22</v>
      </c>
      <c r="F728">
        <f>IF(Table2[[#This Row],[Attrition]]="Yes", 1, 0)</f>
        <v>0</v>
      </c>
      <c r="G728" t="s">
        <v>31</v>
      </c>
      <c r="H728" t="s">
        <v>23</v>
      </c>
      <c r="I728">
        <v>1</v>
      </c>
      <c r="J728">
        <v>1</v>
      </c>
      <c r="K728" t="s">
        <v>18</v>
      </c>
      <c r="L728">
        <v>3</v>
      </c>
      <c r="M728">
        <v>1</v>
      </c>
      <c r="N728" s="3">
        <v>4148</v>
      </c>
      <c r="O728" s="3" t="str">
        <f>IF(Table2[[#This Row],[MonthlyIncome]]&lt;=5000, "$1001 - $5000", IF(Table2[[#This Row],[MonthlyIncome]]&lt;=9000, "$5001 - $9000", IF(Table2[[#This Row],[MonthlyIncome]]&lt;=13000, "$9001 - $13000", IF(Table2[[#This Row],[MonthlyIncome]]&lt;=17000, "$13001 - $17000", IF(Table2[[#This Row],[MonthlyIncome]]&lt;=21000, "$17001 - $21000")))))</f>
        <v>$1001 - $5000</v>
      </c>
      <c r="P728">
        <v>1</v>
      </c>
      <c r="Q728">
        <v>3</v>
      </c>
      <c r="R728">
        <v>4</v>
      </c>
      <c r="S7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29" spans="1:19" ht="14.25" x14ac:dyDescent="0.2">
      <c r="A729">
        <v>11481132</v>
      </c>
      <c r="B729">
        <v>18</v>
      </c>
      <c r="C729" t="s">
        <v>25</v>
      </c>
      <c r="D729" t="s">
        <v>19</v>
      </c>
      <c r="E729" t="s">
        <v>22</v>
      </c>
      <c r="F729">
        <f>IF(Table2[[#This Row],[Attrition]]="Yes", 1, 0)</f>
        <v>0</v>
      </c>
      <c r="G729" t="s">
        <v>26</v>
      </c>
      <c r="H729" t="s">
        <v>23</v>
      </c>
      <c r="I729">
        <v>5</v>
      </c>
      <c r="J729">
        <v>2</v>
      </c>
      <c r="K729" t="s">
        <v>18</v>
      </c>
      <c r="L729">
        <v>2</v>
      </c>
      <c r="M729">
        <v>4</v>
      </c>
      <c r="N729" s="3">
        <v>1051</v>
      </c>
      <c r="O729" s="3" t="str">
        <f>IF(Table2[[#This Row],[MonthlyIncome]]&lt;=5000, "$1001 - $5000", IF(Table2[[#This Row],[MonthlyIncome]]&lt;=9000, "$5001 - $9000", IF(Table2[[#This Row],[MonthlyIncome]]&lt;=13000, "$9001 - $13000", IF(Table2[[#This Row],[MonthlyIncome]]&lt;=17000, "$13001 - $17000", IF(Table2[[#This Row],[MonthlyIncome]]&lt;=21000, "$17001 - $21000")))))</f>
        <v>$1001 - $5000</v>
      </c>
      <c r="P729">
        <v>1</v>
      </c>
      <c r="Q729">
        <v>3</v>
      </c>
      <c r="R729">
        <v>0</v>
      </c>
      <c r="S7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30" spans="1:19" ht="14.25" x14ac:dyDescent="0.2">
      <c r="A730">
        <v>51938988</v>
      </c>
      <c r="B730">
        <v>54</v>
      </c>
      <c r="C730" t="s">
        <v>20</v>
      </c>
      <c r="D730" t="s">
        <v>24</v>
      </c>
      <c r="E730" t="s">
        <v>22</v>
      </c>
      <c r="F730">
        <f>IF(Table2[[#This Row],[Attrition]]="Yes", 1, 0)</f>
        <v>0</v>
      </c>
      <c r="G730" t="s">
        <v>31</v>
      </c>
      <c r="H730" t="s">
        <v>23</v>
      </c>
      <c r="I730">
        <v>17</v>
      </c>
      <c r="J730">
        <v>3</v>
      </c>
      <c r="K730" t="s">
        <v>37</v>
      </c>
      <c r="L730">
        <v>3</v>
      </c>
      <c r="M730">
        <v>3</v>
      </c>
      <c r="N730" s="3">
        <v>10739</v>
      </c>
      <c r="O730" s="3" t="str">
        <f>IF(Table2[[#This Row],[MonthlyIncome]]&lt;=5000, "$1001 - $5000", IF(Table2[[#This Row],[MonthlyIncome]]&lt;=9000, "$5001 - $9000", IF(Table2[[#This Row],[MonthlyIncome]]&lt;=13000, "$9001 - $13000", IF(Table2[[#This Row],[MonthlyIncome]]&lt;=17000, "$13001 - $17000", IF(Table2[[#This Row],[MonthlyIncome]]&lt;=21000, "$17001 - $21000")))))</f>
        <v>$9001 - $13000</v>
      </c>
      <c r="P730">
        <v>8</v>
      </c>
      <c r="Q730">
        <v>3</v>
      </c>
      <c r="R730">
        <v>10</v>
      </c>
      <c r="S7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731" spans="1:19" ht="14.25" x14ac:dyDescent="0.2">
      <c r="A731">
        <v>79711581</v>
      </c>
      <c r="B731">
        <v>35</v>
      </c>
      <c r="C731" t="s">
        <v>20</v>
      </c>
      <c r="D731" t="s">
        <v>30</v>
      </c>
      <c r="E731" t="s">
        <v>22</v>
      </c>
      <c r="F731">
        <f>IF(Table2[[#This Row],[Attrition]]="Yes", 1, 0)</f>
        <v>0</v>
      </c>
      <c r="G731" t="s">
        <v>32</v>
      </c>
      <c r="H731" t="s">
        <v>23</v>
      </c>
      <c r="I731">
        <v>25</v>
      </c>
      <c r="J731">
        <v>4</v>
      </c>
      <c r="K731" t="s">
        <v>29</v>
      </c>
      <c r="L731">
        <v>3</v>
      </c>
      <c r="M731">
        <v>3</v>
      </c>
      <c r="N731" s="3">
        <v>10388</v>
      </c>
      <c r="O731" s="3" t="str">
        <f>IF(Table2[[#This Row],[MonthlyIncome]]&lt;=5000, "$1001 - $5000", IF(Table2[[#This Row],[MonthlyIncome]]&lt;=9000, "$5001 - $9000", IF(Table2[[#This Row],[MonthlyIncome]]&lt;=13000, "$9001 - $13000", IF(Table2[[#This Row],[MonthlyIncome]]&lt;=17000, "$13001 - $17000", IF(Table2[[#This Row],[MonthlyIncome]]&lt;=21000, "$17001 - $21000")))))</f>
        <v>$9001 - $13000</v>
      </c>
      <c r="P731">
        <v>1</v>
      </c>
      <c r="Q731">
        <v>2</v>
      </c>
      <c r="R731">
        <v>16</v>
      </c>
      <c r="S7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732" spans="1:19" ht="14.25" x14ac:dyDescent="0.2">
      <c r="A732">
        <v>73854130</v>
      </c>
      <c r="B732">
        <v>30</v>
      </c>
      <c r="C732" t="s">
        <v>20</v>
      </c>
      <c r="D732" t="s">
        <v>24</v>
      </c>
      <c r="E732" t="s">
        <v>22</v>
      </c>
      <c r="F732">
        <f>IF(Table2[[#This Row],[Attrition]]="Yes", 1, 0)</f>
        <v>0</v>
      </c>
      <c r="G732" t="s">
        <v>35</v>
      </c>
      <c r="H732" t="s">
        <v>23</v>
      </c>
      <c r="I732">
        <v>8</v>
      </c>
      <c r="J732">
        <v>2</v>
      </c>
      <c r="K732" t="s">
        <v>18</v>
      </c>
      <c r="L732">
        <v>2</v>
      </c>
      <c r="M732">
        <v>1</v>
      </c>
      <c r="N732" s="3">
        <v>11416</v>
      </c>
      <c r="O732" s="3" t="str">
        <f>IF(Table2[[#This Row],[MonthlyIncome]]&lt;=5000, "$1001 - $5000", IF(Table2[[#This Row],[MonthlyIncome]]&lt;=9000, "$5001 - $9000", IF(Table2[[#This Row],[MonthlyIncome]]&lt;=13000, "$9001 - $13000", IF(Table2[[#This Row],[MonthlyIncome]]&lt;=17000, "$13001 - $17000", IF(Table2[[#This Row],[MonthlyIncome]]&lt;=21000, "$17001 - $21000")))))</f>
        <v>$9001 - $13000</v>
      </c>
      <c r="P732">
        <v>0</v>
      </c>
      <c r="Q732">
        <v>2</v>
      </c>
      <c r="R732">
        <v>8</v>
      </c>
      <c r="S7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33" spans="1:19" ht="14.25" x14ac:dyDescent="0.2">
      <c r="A733">
        <v>65803707</v>
      </c>
      <c r="B733">
        <v>20</v>
      </c>
      <c r="C733" t="s">
        <v>20</v>
      </c>
      <c r="D733" t="s">
        <v>19</v>
      </c>
      <c r="E733" t="s">
        <v>16</v>
      </c>
      <c r="F733">
        <f>IF(Table2[[#This Row],[Attrition]]="Yes", 1, 0)</f>
        <v>1</v>
      </c>
      <c r="G733" t="s">
        <v>26</v>
      </c>
      <c r="H733" t="s">
        <v>23</v>
      </c>
      <c r="I733">
        <v>11</v>
      </c>
      <c r="J733">
        <v>3</v>
      </c>
      <c r="K733" t="s">
        <v>29</v>
      </c>
      <c r="L733">
        <v>4</v>
      </c>
      <c r="M733">
        <v>1</v>
      </c>
      <c r="N733" s="3">
        <v>2600</v>
      </c>
      <c r="O733" s="3" t="str">
        <f>IF(Table2[[#This Row],[MonthlyIncome]]&lt;=5000, "$1001 - $5000", IF(Table2[[#This Row],[MonthlyIncome]]&lt;=9000, "$5001 - $9000", IF(Table2[[#This Row],[MonthlyIncome]]&lt;=13000, "$9001 - $13000", IF(Table2[[#This Row],[MonthlyIncome]]&lt;=17000, "$13001 - $17000", IF(Table2[[#This Row],[MonthlyIncome]]&lt;=21000, "$17001 - $21000")))))</f>
        <v>$1001 - $5000</v>
      </c>
      <c r="P733">
        <v>1</v>
      </c>
      <c r="Q733">
        <v>3</v>
      </c>
      <c r="R733">
        <v>1</v>
      </c>
      <c r="S7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34" spans="1:19" ht="14.25" x14ac:dyDescent="0.2">
      <c r="A734">
        <v>57482801</v>
      </c>
      <c r="B734">
        <v>30</v>
      </c>
      <c r="C734" t="s">
        <v>20</v>
      </c>
      <c r="D734" t="s">
        <v>19</v>
      </c>
      <c r="E734" t="s">
        <v>16</v>
      </c>
      <c r="F734">
        <f>IF(Table2[[#This Row],[Attrition]]="Yes", 1, 0)</f>
        <v>1</v>
      </c>
      <c r="G734" t="s">
        <v>28</v>
      </c>
      <c r="H734" t="s">
        <v>23</v>
      </c>
      <c r="I734">
        <v>5</v>
      </c>
      <c r="J734">
        <v>3</v>
      </c>
      <c r="K734" t="s">
        <v>29</v>
      </c>
      <c r="L734">
        <v>2</v>
      </c>
      <c r="M734">
        <v>2</v>
      </c>
      <c r="N734" s="3">
        <v>2422</v>
      </c>
      <c r="O734" s="3" t="str">
        <f>IF(Table2[[#This Row],[MonthlyIncome]]&lt;=5000, "$1001 - $5000", IF(Table2[[#This Row],[MonthlyIncome]]&lt;=9000, "$5001 - $9000", IF(Table2[[#This Row],[MonthlyIncome]]&lt;=13000, "$9001 - $13000", IF(Table2[[#This Row],[MonthlyIncome]]&lt;=17000, "$13001 - $17000", IF(Table2[[#This Row],[MonthlyIncome]]&lt;=21000, "$17001 - $21000")))))</f>
        <v>$1001 - $5000</v>
      </c>
      <c r="P734">
        <v>0</v>
      </c>
      <c r="Q734">
        <v>3</v>
      </c>
      <c r="R734">
        <v>3</v>
      </c>
      <c r="S7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35" spans="1:19" ht="14.25" x14ac:dyDescent="0.2">
      <c r="A735">
        <v>46892510</v>
      </c>
      <c r="B735">
        <v>26</v>
      </c>
      <c r="C735" t="s">
        <v>25</v>
      </c>
      <c r="D735" t="s">
        <v>24</v>
      </c>
      <c r="E735" t="s">
        <v>22</v>
      </c>
      <c r="F735">
        <f>IF(Table2[[#This Row],[Attrition]]="Yes", 1, 0)</f>
        <v>0</v>
      </c>
      <c r="G735" t="s">
        <v>31</v>
      </c>
      <c r="H735" t="s">
        <v>23</v>
      </c>
      <c r="I735">
        <v>2</v>
      </c>
      <c r="J735">
        <v>2</v>
      </c>
      <c r="K735" t="s">
        <v>29</v>
      </c>
      <c r="L735">
        <v>4</v>
      </c>
      <c r="M735">
        <v>4</v>
      </c>
      <c r="N735" s="3">
        <v>5472</v>
      </c>
      <c r="O735" s="3" t="str">
        <f>IF(Table2[[#This Row],[MonthlyIncome]]&lt;=5000, "$1001 - $5000", IF(Table2[[#This Row],[MonthlyIncome]]&lt;=9000, "$5001 - $9000", IF(Table2[[#This Row],[MonthlyIncome]]&lt;=13000, "$9001 - $13000", IF(Table2[[#This Row],[MonthlyIncome]]&lt;=17000, "$13001 - $17000", IF(Table2[[#This Row],[MonthlyIncome]]&lt;=21000, "$17001 - $21000")))))</f>
        <v>$5001 - $9000</v>
      </c>
      <c r="P735">
        <v>1</v>
      </c>
      <c r="Q735">
        <v>3</v>
      </c>
      <c r="R735">
        <v>8</v>
      </c>
      <c r="S7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36" spans="1:19" ht="14.25" x14ac:dyDescent="0.2">
      <c r="A736">
        <v>56747092</v>
      </c>
      <c r="B736">
        <v>22</v>
      </c>
      <c r="C736" t="s">
        <v>25</v>
      </c>
      <c r="D736" t="s">
        <v>24</v>
      </c>
      <c r="E736" t="s">
        <v>22</v>
      </c>
      <c r="F736">
        <f>IF(Table2[[#This Row],[Attrition]]="Yes", 1, 0)</f>
        <v>0</v>
      </c>
      <c r="G736" t="s">
        <v>28</v>
      </c>
      <c r="H736" t="s">
        <v>23</v>
      </c>
      <c r="I736">
        <v>8</v>
      </c>
      <c r="J736">
        <v>1</v>
      </c>
      <c r="K736" t="s">
        <v>18</v>
      </c>
      <c r="L736">
        <v>2</v>
      </c>
      <c r="M736">
        <v>1</v>
      </c>
      <c r="N736" s="3">
        <v>2451</v>
      </c>
      <c r="O736" s="3" t="str">
        <f>IF(Table2[[#This Row],[MonthlyIncome]]&lt;=5000, "$1001 - $5000", IF(Table2[[#This Row],[MonthlyIncome]]&lt;=9000, "$5001 - $9000", IF(Table2[[#This Row],[MonthlyIncome]]&lt;=13000, "$9001 - $13000", IF(Table2[[#This Row],[MonthlyIncome]]&lt;=17000, "$13001 - $17000", IF(Table2[[#This Row],[MonthlyIncome]]&lt;=21000, "$17001 - $21000")))))</f>
        <v>$1001 - $5000</v>
      </c>
      <c r="P736">
        <v>1</v>
      </c>
      <c r="Q736">
        <v>2</v>
      </c>
      <c r="R736">
        <v>4</v>
      </c>
      <c r="S7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37" spans="1:19" ht="14.25" x14ac:dyDescent="0.2">
      <c r="A737">
        <v>72188700</v>
      </c>
      <c r="B737">
        <v>48</v>
      </c>
      <c r="C737" t="s">
        <v>25</v>
      </c>
      <c r="D737" t="s">
        <v>19</v>
      </c>
      <c r="E737" t="s">
        <v>22</v>
      </c>
      <c r="F737">
        <f>IF(Table2[[#This Row],[Attrition]]="Yes", 1, 0)</f>
        <v>0</v>
      </c>
      <c r="G737" t="s">
        <v>32</v>
      </c>
      <c r="H737" t="s">
        <v>23</v>
      </c>
      <c r="I737">
        <v>6</v>
      </c>
      <c r="J737">
        <v>3</v>
      </c>
      <c r="K737" t="s">
        <v>18</v>
      </c>
      <c r="L737">
        <v>1</v>
      </c>
      <c r="M737">
        <v>3</v>
      </c>
      <c r="N737" s="3">
        <v>4240</v>
      </c>
      <c r="O737" s="3" t="str">
        <f>IF(Table2[[#This Row],[MonthlyIncome]]&lt;=5000, "$1001 - $5000", IF(Table2[[#This Row],[MonthlyIncome]]&lt;=9000, "$5001 - $9000", IF(Table2[[#This Row],[MonthlyIncome]]&lt;=13000, "$9001 - $13000", IF(Table2[[#This Row],[MonthlyIncome]]&lt;=17000, "$13001 - $17000", IF(Table2[[#This Row],[MonthlyIncome]]&lt;=21000, "$17001 - $21000")))))</f>
        <v>$1001 - $5000</v>
      </c>
      <c r="P737">
        <v>2</v>
      </c>
      <c r="Q737">
        <v>3</v>
      </c>
      <c r="R737">
        <v>2</v>
      </c>
      <c r="S7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38" spans="1:19" ht="14.25" x14ac:dyDescent="0.2">
      <c r="A738">
        <v>65324509</v>
      </c>
      <c r="B738">
        <v>48</v>
      </c>
      <c r="C738" t="s">
        <v>25</v>
      </c>
      <c r="D738" t="s">
        <v>19</v>
      </c>
      <c r="E738" t="s">
        <v>22</v>
      </c>
      <c r="F738">
        <f>IF(Table2[[#This Row],[Attrition]]="Yes", 1, 0)</f>
        <v>0</v>
      </c>
      <c r="G738" t="s">
        <v>32</v>
      </c>
      <c r="H738" t="s">
        <v>23</v>
      </c>
      <c r="I738">
        <v>4</v>
      </c>
      <c r="J738">
        <v>4</v>
      </c>
      <c r="K738" t="s">
        <v>18</v>
      </c>
      <c r="L738">
        <v>3</v>
      </c>
      <c r="M738">
        <v>3</v>
      </c>
      <c r="N738" s="3">
        <v>10999</v>
      </c>
      <c r="O738" s="3" t="str">
        <f>IF(Table2[[#This Row],[MonthlyIncome]]&lt;=5000, "$1001 - $5000", IF(Table2[[#This Row],[MonthlyIncome]]&lt;=9000, "$5001 - $9000", IF(Table2[[#This Row],[MonthlyIncome]]&lt;=13000, "$9001 - $13000", IF(Table2[[#This Row],[MonthlyIncome]]&lt;=17000, "$13001 - $17000", IF(Table2[[#This Row],[MonthlyIncome]]&lt;=21000, "$17001 - $21000")))))</f>
        <v>$9001 - $13000</v>
      </c>
      <c r="P738">
        <v>7</v>
      </c>
      <c r="Q738">
        <v>3</v>
      </c>
      <c r="R738">
        <v>15</v>
      </c>
      <c r="S7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739" spans="1:19" ht="14.25" x14ac:dyDescent="0.2">
      <c r="A739">
        <v>66715110</v>
      </c>
      <c r="B739">
        <v>41</v>
      </c>
      <c r="C739" t="s">
        <v>20</v>
      </c>
      <c r="D739" t="s">
        <v>19</v>
      </c>
      <c r="E739" t="s">
        <v>22</v>
      </c>
      <c r="F739">
        <f>IF(Table2[[#This Row],[Attrition]]="Yes", 1, 0)</f>
        <v>0</v>
      </c>
      <c r="G739" t="s">
        <v>31</v>
      </c>
      <c r="H739" t="s">
        <v>23</v>
      </c>
      <c r="I739">
        <v>7</v>
      </c>
      <c r="J739">
        <v>2</v>
      </c>
      <c r="K739" t="s">
        <v>29</v>
      </c>
      <c r="L739">
        <v>4</v>
      </c>
      <c r="M739">
        <v>3</v>
      </c>
      <c r="N739" s="3">
        <v>5003</v>
      </c>
      <c r="O739" s="3" t="str">
        <f>IF(Table2[[#This Row],[MonthlyIncome]]&lt;=5000, "$1001 - $5000", IF(Table2[[#This Row],[MonthlyIncome]]&lt;=9000, "$5001 - $9000", IF(Table2[[#This Row],[MonthlyIncome]]&lt;=13000, "$9001 - $13000", IF(Table2[[#This Row],[MonthlyIncome]]&lt;=17000, "$13001 - $17000", IF(Table2[[#This Row],[MonthlyIncome]]&lt;=21000, "$17001 - $21000")))))</f>
        <v>$5001 - $9000</v>
      </c>
      <c r="P739">
        <v>6</v>
      </c>
      <c r="Q739">
        <v>3</v>
      </c>
      <c r="R739">
        <v>2</v>
      </c>
      <c r="S7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40" spans="1:19" ht="14.25" x14ac:dyDescent="0.2">
      <c r="A740">
        <v>74403840</v>
      </c>
      <c r="B740">
        <v>39</v>
      </c>
      <c r="C740" t="s">
        <v>20</v>
      </c>
      <c r="D740" t="s">
        <v>24</v>
      </c>
      <c r="E740" t="s">
        <v>22</v>
      </c>
      <c r="F740">
        <f>IF(Table2[[#This Row],[Attrition]]="Yes", 1, 0)</f>
        <v>0</v>
      </c>
      <c r="G740" t="s">
        <v>31</v>
      </c>
      <c r="H740" t="s">
        <v>23</v>
      </c>
      <c r="I740">
        <v>1</v>
      </c>
      <c r="J740">
        <v>1</v>
      </c>
      <c r="K740" t="s">
        <v>18</v>
      </c>
      <c r="L740">
        <v>4</v>
      </c>
      <c r="M740">
        <v>4</v>
      </c>
      <c r="N740" s="3">
        <v>12742</v>
      </c>
      <c r="O740" s="3" t="str">
        <f>IF(Table2[[#This Row],[MonthlyIncome]]&lt;=5000, "$1001 - $5000", IF(Table2[[#This Row],[MonthlyIncome]]&lt;=9000, "$5001 - $9000", IF(Table2[[#This Row],[MonthlyIncome]]&lt;=13000, "$9001 - $13000", IF(Table2[[#This Row],[MonthlyIncome]]&lt;=17000, "$13001 - $17000", IF(Table2[[#This Row],[MonthlyIncome]]&lt;=21000, "$17001 - $21000")))))</f>
        <v>$9001 - $13000</v>
      </c>
      <c r="P740">
        <v>1</v>
      </c>
      <c r="Q740">
        <v>3</v>
      </c>
      <c r="R740">
        <v>21</v>
      </c>
      <c r="S7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741" spans="1:19" ht="14.25" x14ac:dyDescent="0.2">
      <c r="A741">
        <v>28438023</v>
      </c>
      <c r="B741">
        <v>27</v>
      </c>
      <c r="C741" t="s">
        <v>20</v>
      </c>
      <c r="D741" t="s">
        <v>24</v>
      </c>
      <c r="E741" t="s">
        <v>22</v>
      </c>
      <c r="F741">
        <f>IF(Table2[[#This Row],[Attrition]]="Yes", 1, 0)</f>
        <v>0</v>
      </c>
      <c r="G741" t="s">
        <v>31</v>
      </c>
      <c r="H741" t="s">
        <v>23</v>
      </c>
      <c r="I741">
        <v>2</v>
      </c>
      <c r="J741">
        <v>4</v>
      </c>
      <c r="K741" t="s">
        <v>18</v>
      </c>
      <c r="L741">
        <v>1</v>
      </c>
      <c r="M741">
        <v>4</v>
      </c>
      <c r="N741" s="3">
        <v>4227</v>
      </c>
      <c r="O741" s="3" t="str">
        <f>IF(Table2[[#This Row],[MonthlyIncome]]&lt;=5000, "$1001 - $5000", IF(Table2[[#This Row],[MonthlyIncome]]&lt;=9000, "$5001 - $9000", IF(Table2[[#This Row],[MonthlyIncome]]&lt;=13000, "$9001 - $13000", IF(Table2[[#This Row],[MonthlyIncome]]&lt;=17000, "$13001 - $17000", IF(Table2[[#This Row],[MonthlyIncome]]&lt;=21000, "$17001 - $21000")))))</f>
        <v>$1001 - $5000</v>
      </c>
      <c r="P741">
        <v>0</v>
      </c>
      <c r="Q741">
        <v>3</v>
      </c>
      <c r="R741">
        <v>3</v>
      </c>
      <c r="S7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42" spans="1:19" ht="14.25" x14ac:dyDescent="0.2">
      <c r="A742">
        <v>12621297</v>
      </c>
      <c r="B742">
        <v>35</v>
      </c>
      <c r="C742" t="s">
        <v>25</v>
      </c>
      <c r="D742" t="s">
        <v>30</v>
      </c>
      <c r="E742" t="s">
        <v>22</v>
      </c>
      <c r="F742">
        <f>IF(Table2[[#This Row],[Attrition]]="Yes", 1, 0)</f>
        <v>0</v>
      </c>
      <c r="G742" t="s">
        <v>28</v>
      </c>
      <c r="H742" t="s">
        <v>23</v>
      </c>
      <c r="I742">
        <v>10</v>
      </c>
      <c r="J742">
        <v>3</v>
      </c>
      <c r="K742" t="s">
        <v>27</v>
      </c>
      <c r="L742">
        <v>2</v>
      </c>
      <c r="M742">
        <v>4</v>
      </c>
      <c r="N742" s="3">
        <v>3917</v>
      </c>
      <c r="O742" s="3" t="str">
        <f>IF(Table2[[#This Row],[MonthlyIncome]]&lt;=5000, "$1001 - $5000", IF(Table2[[#This Row],[MonthlyIncome]]&lt;=9000, "$5001 - $9000", IF(Table2[[#This Row],[MonthlyIncome]]&lt;=13000, "$9001 - $13000", IF(Table2[[#This Row],[MonthlyIncome]]&lt;=17000, "$13001 - $17000", IF(Table2[[#This Row],[MonthlyIncome]]&lt;=21000, "$17001 - $21000")))))</f>
        <v>$1001 - $5000</v>
      </c>
      <c r="P742">
        <v>1</v>
      </c>
      <c r="Q742">
        <v>2</v>
      </c>
      <c r="R742">
        <v>3</v>
      </c>
      <c r="S7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43" spans="1:19" ht="14.25" x14ac:dyDescent="0.2">
      <c r="A743">
        <v>22718211</v>
      </c>
      <c r="B743">
        <v>42</v>
      </c>
      <c r="C743" t="s">
        <v>25</v>
      </c>
      <c r="D743" t="s">
        <v>24</v>
      </c>
      <c r="E743" t="s">
        <v>22</v>
      </c>
      <c r="F743">
        <f>IF(Table2[[#This Row],[Attrition]]="Yes", 1, 0)</f>
        <v>0</v>
      </c>
      <c r="G743" t="s">
        <v>33</v>
      </c>
      <c r="H743" t="s">
        <v>17</v>
      </c>
      <c r="I743">
        <v>5</v>
      </c>
      <c r="J743">
        <v>2</v>
      </c>
      <c r="K743" t="s">
        <v>36</v>
      </c>
      <c r="L743">
        <v>4</v>
      </c>
      <c r="M743">
        <v>3</v>
      </c>
      <c r="N743" s="3">
        <v>18303</v>
      </c>
      <c r="O743" s="3" t="str">
        <f>IF(Table2[[#This Row],[MonthlyIncome]]&lt;=5000, "$1001 - $5000", IF(Table2[[#This Row],[MonthlyIncome]]&lt;=9000, "$5001 - $9000", IF(Table2[[#This Row],[MonthlyIncome]]&lt;=13000, "$9001 - $13000", IF(Table2[[#This Row],[MonthlyIncome]]&lt;=17000, "$13001 - $17000", IF(Table2[[#This Row],[MonthlyIncome]]&lt;=21000, "$17001 - $21000")))))</f>
        <v>$17001 - $21000</v>
      </c>
      <c r="P743">
        <v>6</v>
      </c>
      <c r="Q743">
        <v>4</v>
      </c>
      <c r="R743">
        <v>1</v>
      </c>
      <c r="S7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44" spans="1:19" ht="14.25" x14ac:dyDescent="0.2">
      <c r="A744">
        <v>86620660</v>
      </c>
      <c r="B744">
        <v>50</v>
      </c>
      <c r="C744" t="s">
        <v>25</v>
      </c>
      <c r="D744" t="s">
        <v>24</v>
      </c>
      <c r="E744" t="s">
        <v>22</v>
      </c>
      <c r="F744">
        <f>IF(Table2[[#This Row],[Attrition]]="Yes", 1, 0)</f>
        <v>0</v>
      </c>
      <c r="G744" t="s">
        <v>28</v>
      </c>
      <c r="H744" t="s">
        <v>23</v>
      </c>
      <c r="I744">
        <v>9</v>
      </c>
      <c r="J744">
        <v>3</v>
      </c>
      <c r="K744" t="s">
        <v>18</v>
      </c>
      <c r="L744">
        <v>1</v>
      </c>
      <c r="M744">
        <v>4</v>
      </c>
      <c r="N744" s="3">
        <v>2380</v>
      </c>
      <c r="O744" s="3" t="str">
        <f>IF(Table2[[#This Row],[MonthlyIncome]]&lt;=5000, "$1001 - $5000", IF(Table2[[#This Row],[MonthlyIncome]]&lt;=9000, "$5001 - $9000", IF(Table2[[#This Row],[MonthlyIncome]]&lt;=13000, "$9001 - $13000", IF(Table2[[#This Row],[MonthlyIncome]]&lt;=17000, "$13001 - $17000", IF(Table2[[#This Row],[MonthlyIncome]]&lt;=21000, "$17001 - $21000")))))</f>
        <v>$1001 - $5000</v>
      </c>
      <c r="P744">
        <v>4</v>
      </c>
      <c r="Q744">
        <v>3</v>
      </c>
      <c r="R744">
        <v>1</v>
      </c>
      <c r="S7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45" spans="1:19" ht="14.25" x14ac:dyDescent="0.2">
      <c r="A745">
        <v>57258332</v>
      </c>
      <c r="B745">
        <v>59</v>
      </c>
      <c r="C745" t="s">
        <v>20</v>
      </c>
      <c r="D745" t="s">
        <v>19</v>
      </c>
      <c r="E745" t="s">
        <v>22</v>
      </c>
      <c r="F745">
        <f>IF(Table2[[#This Row],[Attrition]]="Yes", 1, 0)</f>
        <v>0</v>
      </c>
      <c r="G745" t="s">
        <v>31</v>
      </c>
      <c r="H745" t="s">
        <v>23</v>
      </c>
      <c r="I745">
        <v>2</v>
      </c>
      <c r="J745">
        <v>3</v>
      </c>
      <c r="K745" t="s">
        <v>18</v>
      </c>
      <c r="L745">
        <v>3</v>
      </c>
      <c r="M745">
        <v>4</v>
      </c>
      <c r="N745" s="3">
        <v>13726</v>
      </c>
      <c r="O745" s="3" t="str">
        <f>IF(Table2[[#This Row],[MonthlyIncome]]&lt;=5000, "$1001 - $5000", IF(Table2[[#This Row],[MonthlyIncome]]&lt;=9000, "$5001 - $9000", IF(Table2[[#This Row],[MonthlyIncome]]&lt;=13000, "$9001 - $13000", IF(Table2[[#This Row],[MonthlyIncome]]&lt;=17000, "$13001 - $17000", IF(Table2[[#This Row],[MonthlyIncome]]&lt;=21000, "$17001 - $21000")))))</f>
        <v>$13001 - $17000</v>
      </c>
      <c r="P745">
        <v>3</v>
      </c>
      <c r="Q745">
        <v>3</v>
      </c>
      <c r="R745">
        <v>5</v>
      </c>
      <c r="S7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46" spans="1:19" ht="14.25" x14ac:dyDescent="0.2">
      <c r="A746">
        <v>58781460</v>
      </c>
      <c r="B746">
        <v>37</v>
      </c>
      <c r="C746" t="s">
        <v>20</v>
      </c>
      <c r="D746" t="s">
        <v>24</v>
      </c>
      <c r="E746" t="s">
        <v>16</v>
      </c>
      <c r="F746">
        <f>IF(Table2[[#This Row],[Attrition]]="Yes", 1, 0)</f>
        <v>1</v>
      </c>
      <c r="G746" t="s">
        <v>32</v>
      </c>
      <c r="H746" t="s">
        <v>23</v>
      </c>
      <c r="I746">
        <v>11</v>
      </c>
      <c r="J746">
        <v>2</v>
      </c>
      <c r="K746" t="s">
        <v>29</v>
      </c>
      <c r="L746">
        <v>1</v>
      </c>
      <c r="M746">
        <v>2</v>
      </c>
      <c r="N746" s="3">
        <v>4777</v>
      </c>
      <c r="O746" s="3" t="str">
        <f>IF(Table2[[#This Row],[MonthlyIncome]]&lt;=5000, "$1001 - $5000", IF(Table2[[#This Row],[MonthlyIncome]]&lt;=9000, "$5001 - $9000", IF(Table2[[#This Row],[MonthlyIncome]]&lt;=13000, "$9001 - $13000", IF(Table2[[#This Row],[MonthlyIncome]]&lt;=17000, "$13001 - $17000", IF(Table2[[#This Row],[MonthlyIncome]]&lt;=21000, "$17001 - $21000")))))</f>
        <v>$1001 - $5000</v>
      </c>
      <c r="P746">
        <v>5</v>
      </c>
      <c r="Q746">
        <v>1</v>
      </c>
      <c r="R746">
        <v>1</v>
      </c>
      <c r="S7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47" spans="1:19" ht="14.25" x14ac:dyDescent="0.2">
      <c r="A747">
        <v>26451878</v>
      </c>
      <c r="B747">
        <v>55</v>
      </c>
      <c r="C747" t="s">
        <v>25</v>
      </c>
      <c r="D747" t="s">
        <v>24</v>
      </c>
      <c r="E747" t="s">
        <v>22</v>
      </c>
      <c r="F747">
        <f>IF(Table2[[#This Row],[Attrition]]="Yes", 1, 0)</f>
        <v>0</v>
      </c>
      <c r="G747" t="s">
        <v>32</v>
      </c>
      <c r="H747" t="s">
        <v>23</v>
      </c>
      <c r="I747">
        <v>18</v>
      </c>
      <c r="J747">
        <v>4</v>
      </c>
      <c r="K747" t="s">
        <v>29</v>
      </c>
      <c r="L747">
        <v>3</v>
      </c>
      <c r="M747">
        <v>2</v>
      </c>
      <c r="N747" s="3">
        <v>6385</v>
      </c>
      <c r="O747" s="3" t="str">
        <f>IF(Table2[[#This Row],[MonthlyIncome]]&lt;=5000, "$1001 - $5000", IF(Table2[[#This Row],[MonthlyIncome]]&lt;=9000, "$5001 - $9000", IF(Table2[[#This Row],[MonthlyIncome]]&lt;=13000, "$9001 - $13000", IF(Table2[[#This Row],[MonthlyIncome]]&lt;=17000, "$13001 - $17000", IF(Table2[[#This Row],[MonthlyIncome]]&lt;=21000, "$17001 - $21000")))))</f>
        <v>$5001 - $9000</v>
      </c>
      <c r="P747">
        <v>3</v>
      </c>
      <c r="Q747">
        <v>3</v>
      </c>
      <c r="R747">
        <v>8</v>
      </c>
      <c r="S7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48" spans="1:19" ht="14.25" x14ac:dyDescent="0.2">
      <c r="A748">
        <v>21508587</v>
      </c>
      <c r="B748">
        <v>41</v>
      </c>
      <c r="C748" t="s">
        <v>20</v>
      </c>
      <c r="D748" t="s">
        <v>30</v>
      </c>
      <c r="E748" t="s">
        <v>22</v>
      </c>
      <c r="F748">
        <f>IF(Table2[[#This Row],[Attrition]]="Yes", 1, 0)</f>
        <v>0</v>
      </c>
      <c r="G748" t="s">
        <v>35</v>
      </c>
      <c r="H748" t="s">
        <v>23</v>
      </c>
      <c r="I748">
        <v>7</v>
      </c>
      <c r="J748">
        <v>1</v>
      </c>
      <c r="K748" t="s">
        <v>18</v>
      </c>
      <c r="L748">
        <v>2</v>
      </c>
      <c r="M748">
        <v>3</v>
      </c>
      <c r="N748" s="3">
        <v>19973</v>
      </c>
      <c r="O748" s="3" t="str">
        <f>IF(Table2[[#This Row],[MonthlyIncome]]&lt;=5000, "$1001 - $5000", IF(Table2[[#This Row],[MonthlyIncome]]&lt;=9000, "$5001 - $9000", IF(Table2[[#This Row],[MonthlyIncome]]&lt;=13000, "$9001 - $13000", IF(Table2[[#This Row],[MonthlyIncome]]&lt;=17000, "$13001 - $17000", IF(Table2[[#This Row],[MonthlyIncome]]&lt;=21000, "$17001 - $21000")))))</f>
        <v>$17001 - $21000</v>
      </c>
      <c r="P748">
        <v>1</v>
      </c>
      <c r="Q748">
        <v>3</v>
      </c>
      <c r="R748">
        <v>21</v>
      </c>
      <c r="S7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749" spans="1:19" ht="14.25" x14ac:dyDescent="0.2">
      <c r="A749">
        <v>49225686</v>
      </c>
      <c r="B749">
        <v>38</v>
      </c>
      <c r="C749" t="s">
        <v>25</v>
      </c>
      <c r="D749" t="s">
        <v>19</v>
      </c>
      <c r="E749" t="s">
        <v>22</v>
      </c>
      <c r="F749">
        <f>IF(Table2[[#This Row],[Attrition]]="Yes", 1, 0)</f>
        <v>0</v>
      </c>
      <c r="G749" t="s">
        <v>21</v>
      </c>
      <c r="H749" t="s">
        <v>17</v>
      </c>
      <c r="I749">
        <v>3</v>
      </c>
      <c r="J749">
        <v>4</v>
      </c>
      <c r="K749" t="s">
        <v>18</v>
      </c>
      <c r="L749">
        <v>2</v>
      </c>
      <c r="M749">
        <v>4</v>
      </c>
      <c r="N749" s="3">
        <v>6861</v>
      </c>
      <c r="O749" s="3" t="str">
        <f>IF(Table2[[#This Row],[MonthlyIncome]]&lt;=5000, "$1001 - $5000", IF(Table2[[#This Row],[MonthlyIncome]]&lt;=9000, "$5001 - $9000", IF(Table2[[#This Row],[MonthlyIncome]]&lt;=13000, "$9001 - $13000", IF(Table2[[#This Row],[MonthlyIncome]]&lt;=17000, "$13001 - $17000", IF(Table2[[#This Row],[MonthlyIncome]]&lt;=21000, "$17001 - $21000")))))</f>
        <v>$5001 - $9000</v>
      </c>
      <c r="P749">
        <v>8</v>
      </c>
      <c r="Q749">
        <v>3</v>
      </c>
      <c r="R749">
        <v>1</v>
      </c>
      <c r="S7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50" spans="1:19" ht="14.25" x14ac:dyDescent="0.2">
      <c r="A750">
        <v>88992056</v>
      </c>
      <c r="B750">
        <v>26</v>
      </c>
      <c r="C750" t="s">
        <v>25</v>
      </c>
      <c r="D750" t="s">
        <v>19</v>
      </c>
      <c r="E750" t="s">
        <v>16</v>
      </c>
      <c r="F750">
        <f>IF(Table2[[#This Row],[Attrition]]="Yes", 1, 0)</f>
        <v>1</v>
      </c>
      <c r="G750" t="s">
        <v>21</v>
      </c>
      <c r="H750" t="s">
        <v>17</v>
      </c>
      <c r="I750">
        <v>29</v>
      </c>
      <c r="J750">
        <v>2</v>
      </c>
      <c r="K750" t="s">
        <v>29</v>
      </c>
      <c r="L750">
        <v>2</v>
      </c>
      <c r="M750">
        <v>1</v>
      </c>
      <c r="N750" s="3">
        <v>4969</v>
      </c>
      <c r="O750" s="3" t="str">
        <f>IF(Table2[[#This Row],[MonthlyIncome]]&lt;=5000, "$1001 - $5000", IF(Table2[[#This Row],[MonthlyIncome]]&lt;=9000, "$5001 - $9000", IF(Table2[[#This Row],[MonthlyIncome]]&lt;=13000, "$9001 - $13000", IF(Table2[[#This Row],[MonthlyIncome]]&lt;=17000, "$13001 - $17000", IF(Table2[[#This Row],[MonthlyIncome]]&lt;=21000, "$17001 - $21000")))))</f>
        <v>$1001 - $5000</v>
      </c>
      <c r="P750">
        <v>8</v>
      </c>
      <c r="Q750">
        <v>3</v>
      </c>
      <c r="R750">
        <v>2</v>
      </c>
      <c r="S7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51" spans="1:19" ht="14.25" x14ac:dyDescent="0.2">
      <c r="A751">
        <v>32419826</v>
      </c>
      <c r="B751">
        <v>52</v>
      </c>
      <c r="C751" t="s">
        <v>20</v>
      </c>
      <c r="D751" t="s">
        <v>24</v>
      </c>
      <c r="E751" t="s">
        <v>16</v>
      </c>
      <c r="F751">
        <f>IF(Table2[[#This Row],[Attrition]]="Yes", 1, 0)</f>
        <v>1</v>
      </c>
      <c r="G751" t="s">
        <v>33</v>
      </c>
      <c r="H751" t="s">
        <v>17</v>
      </c>
      <c r="I751">
        <v>2</v>
      </c>
      <c r="J751">
        <v>1</v>
      </c>
      <c r="K751" t="s">
        <v>36</v>
      </c>
      <c r="L751">
        <v>1</v>
      </c>
      <c r="M751">
        <v>4</v>
      </c>
      <c r="N751" s="3">
        <v>19845</v>
      </c>
      <c r="O751" s="3" t="str">
        <f>IF(Table2[[#This Row],[MonthlyIncome]]&lt;=5000, "$1001 - $5000", IF(Table2[[#This Row],[MonthlyIncome]]&lt;=9000, "$5001 - $9000", IF(Table2[[#This Row],[MonthlyIncome]]&lt;=13000, "$9001 - $13000", IF(Table2[[#This Row],[MonthlyIncome]]&lt;=17000, "$13001 - $17000", IF(Table2[[#This Row],[MonthlyIncome]]&lt;=21000, "$17001 - $21000")))))</f>
        <v>$17001 - $21000</v>
      </c>
      <c r="P751">
        <v>1</v>
      </c>
      <c r="Q751">
        <v>3</v>
      </c>
      <c r="R751">
        <v>32</v>
      </c>
      <c r="S7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30 - 35 Years</v>
      </c>
    </row>
    <row r="752" spans="1:19" ht="14.25" x14ac:dyDescent="0.2">
      <c r="A752">
        <v>15223648</v>
      </c>
      <c r="B752">
        <v>44</v>
      </c>
      <c r="C752" t="s">
        <v>20</v>
      </c>
      <c r="D752" t="s">
        <v>24</v>
      </c>
      <c r="E752" t="s">
        <v>22</v>
      </c>
      <c r="F752">
        <f>IF(Table2[[#This Row],[Attrition]]="Yes", 1, 0)</f>
        <v>0</v>
      </c>
      <c r="G752" t="s">
        <v>21</v>
      </c>
      <c r="H752" t="s">
        <v>17</v>
      </c>
      <c r="I752">
        <v>28</v>
      </c>
      <c r="J752">
        <v>3</v>
      </c>
      <c r="K752" t="s">
        <v>29</v>
      </c>
      <c r="L752">
        <v>4</v>
      </c>
      <c r="M752">
        <v>4</v>
      </c>
      <c r="N752" s="3">
        <v>13320</v>
      </c>
      <c r="O752" s="3" t="str">
        <f>IF(Table2[[#This Row],[MonthlyIncome]]&lt;=5000, "$1001 - $5000", IF(Table2[[#This Row],[MonthlyIncome]]&lt;=9000, "$5001 - $9000", IF(Table2[[#This Row],[MonthlyIncome]]&lt;=13000, "$9001 - $13000", IF(Table2[[#This Row],[MonthlyIncome]]&lt;=17000, "$13001 - $17000", IF(Table2[[#This Row],[MonthlyIncome]]&lt;=21000, "$17001 - $21000")))))</f>
        <v>$13001 - $17000</v>
      </c>
      <c r="P752">
        <v>3</v>
      </c>
      <c r="Q752">
        <v>3</v>
      </c>
      <c r="R752">
        <v>12</v>
      </c>
      <c r="S7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753" spans="1:19" ht="14.25" x14ac:dyDescent="0.2">
      <c r="A753">
        <v>51944180</v>
      </c>
      <c r="B753">
        <v>50</v>
      </c>
      <c r="C753" t="s">
        <v>20</v>
      </c>
      <c r="D753" t="s">
        <v>24</v>
      </c>
      <c r="E753" t="s">
        <v>22</v>
      </c>
      <c r="F753">
        <f>IF(Table2[[#This Row],[Attrition]]="Yes", 1, 0)</f>
        <v>0</v>
      </c>
      <c r="G753" t="s">
        <v>21</v>
      </c>
      <c r="H753" t="s">
        <v>17</v>
      </c>
      <c r="I753">
        <v>1</v>
      </c>
      <c r="J753">
        <v>3</v>
      </c>
      <c r="K753" t="s">
        <v>18</v>
      </c>
      <c r="L753">
        <v>4</v>
      </c>
      <c r="M753">
        <v>3</v>
      </c>
      <c r="N753" s="3">
        <v>6347</v>
      </c>
      <c r="O753" s="3" t="str">
        <f>IF(Table2[[#This Row],[MonthlyIncome]]&lt;=5000, "$1001 - $5000", IF(Table2[[#This Row],[MonthlyIncome]]&lt;=9000, "$5001 - $9000", IF(Table2[[#This Row],[MonthlyIncome]]&lt;=13000, "$9001 - $13000", IF(Table2[[#This Row],[MonthlyIncome]]&lt;=17000, "$13001 - $17000", IF(Table2[[#This Row],[MonthlyIncome]]&lt;=21000, "$17001 - $21000")))))</f>
        <v>$5001 - $9000</v>
      </c>
      <c r="P753">
        <v>0</v>
      </c>
      <c r="Q753">
        <v>3</v>
      </c>
      <c r="R753">
        <v>18</v>
      </c>
      <c r="S7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754" spans="1:19" ht="14.25" x14ac:dyDescent="0.2">
      <c r="A754">
        <v>39871255</v>
      </c>
      <c r="B754">
        <v>36</v>
      </c>
      <c r="C754" t="s">
        <v>20</v>
      </c>
      <c r="D754" t="s">
        <v>19</v>
      </c>
      <c r="E754" t="s">
        <v>16</v>
      </c>
      <c r="F754">
        <f>IF(Table2[[#This Row],[Attrition]]="Yes", 1, 0)</f>
        <v>1</v>
      </c>
      <c r="G754" t="s">
        <v>28</v>
      </c>
      <c r="H754" t="s">
        <v>23</v>
      </c>
      <c r="I754">
        <v>16</v>
      </c>
      <c r="J754">
        <v>4</v>
      </c>
      <c r="K754" t="s">
        <v>18</v>
      </c>
      <c r="L754">
        <v>3</v>
      </c>
      <c r="M754">
        <v>1</v>
      </c>
      <c r="N754" s="3">
        <v>2743</v>
      </c>
      <c r="O754" s="3" t="str">
        <f>IF(Table2[[#This Row],[MonthlyIncome]]&lt;=5000, "$1001 - $5000", IF(Table2[[#This Row],[MonthlyIncome]]&lt;=9000, "$5001 - $9000", IF(Table2[[#This Row],[MonthlyIncome]]&lt;=13000, "$9001 - $13000", IF(Table2[[#This Row],[MonthlyIncome]]&lt;=17000, "$13001 - $17000", IF(Table2[[#This Row],[MonthlyIncome]]&lt;=21000, "$17001 - $21000")))))</f>
        <v>$1001 - $5000</v>
      </c>
      <c r="P754">
        <v>1</v>
      </c>
      <c r="Q754">
        <v>3</v>
      </c>
      <c r="R754">
        <v>17</v>
      </c>
      <c r="S7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755" spans="1:19" ht="14.25" x14ac:dyDescent="0.2">
      <c r="A755">
        <v>32463226</v>
      </c>
      <c r="B755">
        <v>39</v>
      </c>
      <c r="C755" t="s">
        <v>20</v>
      </c>
      <c r="D755" t="s">
        <v>19</v>
      </c>
      <c r="E755" t="s">
        <v>22</v>
      </c>
      <c r="F755">
        <f>IF(Table2[[#This Row],[Attrition]]="Yes", 1, 0)</f>
        <v>0</v>
      </c>
      <c r="G755" t="s">
        <v>31</v>
      </c>
      <c r="H755" t="s">
        <v>23</v>
      </c>
      <c r="I755">
        <v>22</v>
      </c>
      <c r="J755">
        <v>3</v>
      </c>
      <c r="K755" t="s">
        <v>29</v>
      </c>
      <c r="L755">
        <v>4</v>
      </c>
      <c r="M755">
        <v>1</v>
      </c>
      <c r="N755" s="3">
        <v>10880</v>
      </c>
      <c r="O755" s="3" t="str">
        <f>IF(Table2[[#This Row],[MonthlyIncome]]&lt;=5000, "$1001 - $5000", IF(Table2[[#This Row],[MonthlyIncome]]&lt;=9000, "$5001 - $9000", IF(Table2[[#This Row],[MonthlyIncome]]&lt;=13000, "$9001 - $13000", IF(Table2[[#This Row],[MonthlyIncome]]&lt;=17000, "$13001 - $17000", IF(Table2[[#This Row],[MonthlyIncome]]&lt;=21000, "$17001 - $21000")))))</f>
        <v>$9001 - $13000</v>
      </c>
      <c r="P755">
        <v>1</v>
      </c>
      <c r="Q755">
        <v>3</v>
      </c>
      <c r="R755">
        <v>21</v>
      </c>
      <c r="S7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756" spans="1:19" ht="14.25" x14ac:dyDescent="0.2">
      <c r="A756">
        <v>11041294</v>
      </c>
      <c r="B756">
        <v>33</v>
      </c>
      <c r="C756" t="s">
        <v>20</v>
      </c>
      <c r="D756" t="s">
        <v>19</v>
      </c>
      <c r="E756" t="s">
        <v>22</v>
      </c>
      <c r="F756">
        <f>IF(Table2[[#This Row],[Attrition]]="Yes", 1, 0)</f>
        <v>0</v>
      </c>
      <c r="G756" t="s">
        <v>34</v>
      </c>
      <c r="H756" t="s">
        <v>17</v>
      </c>
      <c r="I756">
        <v>8</v>
      </c>
      <c r="J756">
        <v>1</v>
      </c>
      <c r="K756" t="s">
        <v>18</v>
      </c>
      <c r="L756">
        <v>2</v>
      </c>
      <c r="M756">
        <v>4</v>
      </c>
      <c r="N756" s="3">
        <v>2342</v>
      </c>
      <c r="O756" s="3" t="str">
        <f>IF(Table2[[#This Row],[MonthlyIncome]]&lt;=5000, "$1001 - $5000", IF(Table2[[#This Row],[MonthlyIncome]]&lt;=9000, "$5001 - $9000", IF(Table2[[#This Row],[MonthlyIncome]]&lt;=13000, "$9001 - $13000", IF(Table2[[#This Row],[MonthlyIncome]]&lt;=17000, "$13001 - $17000", IF(Table2[[#This Row],[MonthlyIncome]]&lt;=21000, "$17001 - $21000")))))</f>
        <v>$1001 - $5000</v>
      </c>
      <c r="P756">
        <v>0</v>
      </c>
      <c r="Q756">
        <v>2</v>
      </c>
      <c r="R756">
        <v>2</v>
      </c>
      <c r="S7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57" spans="1:19" ht="14.25" x14ac:dyDescent="0.2">
      <c r="A757">
        <v>19754149</v>
      </c>
      <c r="B757">
        <v>45</v>
      </c>
      <c r="C757" t="s">
        <v>20</v>
      </c>
      <c r="D757" t="s">
        <v>24</v>
      </c>
      <c r="E757" t="s">
        <v>22</v>
      </c>
      <c r="F757">
        <f>IF(Table2[[#This Row],[Attrition]]="Yes", 1, 0)</f>
        <v>0</v>
      </c>
      <c r="G757" t="s">
        <v>33</v>
      </c>
      <c r="H757" t="s">
        <v>17</v>
      </c>
      <c r="I757">
        <v>11</v>
      </c>
      <c r="J757">
        <v>2</v>
      </c>
      <c r="K757" t="s">
        <v>18</v>
      </c>
      <c r="L757">
        <v>4</v>
      </c>
      <c r="M757">
        <v>4</v>
      </c>
      <c r="N757" s="3">
        <v>17650</v>
      </c>
      <c r="O757" s="3" t="str">
        <f>IF(Table2[[#This Row],[MonthlyIncome]]&lt;=5000, "$1001 - $5000", IF(Table2[[#This Row],[MonthlyIncome]]&lt;=9000, "$5001 - $9000", IF(Table2[[#This Row],[MonthlyIncome]]&lt;=13000, "$9001 - $13000", IF(Table2[[#This Row],[MonthlyIncome]]&lt;=17000, "$13001 - $17000", IF(Table2[[#This Row],[MonthlyIncome]]&lt;=21000, "$17001 - $21000")))))</f>
        <v>$17001 - $21000</v>
      </c>
      <c r="P757">
        <v>3</v>
      </c>
      <c r="Q757">
        <v>4</v>
      </c>
      <c r="R757">
        <v>9</v>
      </c>
      <c r="S7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58" spans="1:19" ht="14.25" x14ac:dyDescent="0.2">
      <c r="A758">
        <v>83798564</v>
      </c>
      <c r="B758">
        <v>32</v>
      </c>
      <c r="C758" t="s">
        <v>20</v>
      </c>
      <c r="D758" t="s">
        <v>19</v>
      </c>
      <c r="E758" t="s">
        <v>22</v>
      </c>
      <c r="F758">
        <f>IF(Table2[[#This Row],[Attrition]]="Yes", 1, 0)</f>
        <v>0</v>
      </c>
      <c r="G758" t="s">
        <v>28</v>
      </c>
      <c r="H758" t="s">
        <v>23</v>
      </c>
      <c r="I758">
        <v>29</v>
      </c>
      <c r="J758">
        <v>4</v>
      </c>
      <c r="K758" t="s">
        <v>29</v>
      </c>
      <c r="L758">
        <v>4</v>
      </c>
      <c r="M758">
        <v>3</v>
      </c>
      <c r="N758" s="3">
        <v>4025</v>
      </c>
      <c r="O758" s="3" t="str">
        <f>IF(Table2[[#This Row],[MonthlyIncome]]&lt;=5000, "$1001 - $5000", IF(Table2[[#This Row],[MonthlyIncome]]&lt;=9000, "$5001 - $9000", IF(Table2[[#This Row],[MonthlyIncome]]&lt;=13000, "$9001 - $13000", IF(Table2[[#This Row],[MonthlyIncome]]&lt;=17000, "$13001 - $17000", IF(Table2[[#This Row],[MonthlyIncome]]&lt;=21000, "$17001 - $21000")))))</f>
        <v>$1001 - $5000</v>
      </c>
      <c r="P758">
        <v>9</v>
      </c>
      <c r="Q758">
        <v>3</v>
      </c>
      <c r="R758">
        <v>8</v>
      </c>
      <c r="S7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59" spans="1:19" ht="14.25" x14ac:dyDescent="0.2">
      <c r="A759">
        <v>58095069</v>
      </c>
      <c r="B759">
        <v>34</v>
      </c>
      <c r="C759" t="s">
        <v>25</v>
      </c>
      <c r="D759" t="s">
        <v>30</v>
      </c>
      <c r="E759" t="s">
        <v>22</v>
      </c>
      <c r="F759">
        <f>IF(Table2[[#This Row],[Attrition]]="Yes", 1, 0)</f>
        <v>0</v>
      </c>
      <c r="G759" t="s">
        <v>21</v>
      </c>
      <c r="H759" t="s">
        <v>17</v>
      </c>
      <c r="I759">
        <v>1</v>
      </c>
      <c r="J759">
        <v>4</v>
      </c>
      <c r="K759" t="s">
        <v>36</v>
      </c>
      <c r="L759">
        <v>2</v>
      </c>
      <c r="M759">
        <v>4</v>
      </c>
      <c r="N759" s="3">
        <v>9725</v>
      </c>
      <c r="O759" s="3" t="str">
        <f>IF(Table2[[#This Row],[MonthlyIncome]]&lt;=5000, "$1001 - $5000", IF(Table2[[#This Row],[MonthlyIncome]]&lt;=9000, "$5001 - $9000", IF(Table2[[#This Row],[MonthlyIncome]]&lt;=13000, "$9001 - $13000", IF(Table2[[#This Row],[MonthlyIncome]]&lt;=17000, "$13001 - $17000", IF(Table2[[#This Row],[MonthlyIncome]]&lt;=21000, "$17001 - $21000")))))</f>
        <v>$9001 - $13000</v>
      </c>
      <c r="P759">
        <v>0</v>
      </c>
      <c r="Q759">
        <v>2</v>
      </c>
      <c r="R759">
        <v>15</v>
      </c>
      <c r="S7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760" spans="1:19" ht="14.25" x14ac:dyDescent="0.2">
      <c r="A760">
        <v>39110679</v>
      </c>
      <c r="B760">
        <v>59</v>
      </c>
      <c r="C760" t="s">
        <v>25</v>
      </c>
      <c r="D760" t="s">
        <v>24</v>
      </c>
      <c r="E760" t="s">
        <v>22</v>
      </c>
      <c r="F760">
        <f>IF(Table2[[#This Row],[Attrition]]="Yes", 1, 0)</f>
        <v>0</v>
      </c>
      <c r="G760" t="s">
        <v>33</v>
      </c>
      <c r="H760" t="s">
        <v>17</v>
      </c>
      <c r="I760">
        <v>1</v>
      </c>
      <c r="J760">
        <v>2</v>
      </c>
      <c r="K760" t="s">
        <v>37</v>
      </c>
      <c r="L760">
        <v>2</v>
      </c>
      <c r="M760">
        <v>4</v>
      </c>
      <c r="N760" s="3">
        <v>11904</v>
      </c>
      <c r="O760" s="3" t="str">
        <f>IF(Table2[[#This Row],[MonthlyIncome]]&lt;=5000, "$1001 - $5000", IF(Table2[[#This Row],[MonthlyIncome]]&lt;=9000, "$5001 - $9000", IF(Table2[[#This Row],[MonthlyIncome]]&lt;=13000, "$9001 - $13000", IF(Table2[[#This Row],[MonthlyIncome]]&lt;=17000, "$13001 - $17000", IF(Table2[[#This Row],[MonthlyIncome]]&lt;=21000, "$17001 - $21000")))))</f>
        <v>$9001 - $13000</v>
      </c>
      <c r="P760">
        <v>3</v>
      </c>
      <c r="Q760">
        <v>1</v>
      </c>
      <c r="R760">
        <v>6</v>
      </c>
      <c r="S7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61" spans="1:19" ht="14.25" x14ac:dyDescent="0.2">
      <c r="A761">
        <v>58721473</v>
      </c>
      <c r="B761">
        <v>45</v>
      </c>
      <c r="C761" t="s">
        <v>25</v>
      </c>
      <c r="D761" t="s">
        <v>19</v>
      </c>
      <c r="E761" t="s">
        <v>22</v>
      </c>
      <c r="F761">
        <f>IF(Table2[[#This Row],[Attrition]]="Yes", 1, 0)</f>
        <v>0</v>
      </c>
      <c r="G761" t="s">
        <v>38</v>
      </c>
      <c r="H761" t="s">
        <v>38</v>
      </c>
      <c r="I761">
        <v>24</v>
      </c>
      <c r="J761">
        <v>4</v>
      </c>
      <c r="K761" t="s">
        <v>29</v>
      </c>
      <c r="L761">
        <v>2</v>
      </c>
      <c r="M761">
        <v>2</v>
      </c>
      <c r="N761" s="3">
        <v>2177</v>
      </c>
      <c r="O761" s="3" t="str">
        <f>IF(Table2[[#This Row],[MonthlyIncome]]&lt;=5000, "$1001 - $5000", IF(Table2[[#This Row],[MonthlyIncome]]&lt;=9000, "$5001 - $9000", IF(Table2[[#This Row],[MonthlyIncome]]&lt;=13000, "$9001 - $13000", IF(Table2[[#This Row],[MonthlyIncome]]&lt;=17000, "$13001 - $17000", IF(Table2[[#This Row],[MonthlyIncome]]&lt;=21000, "$17001 - $21000")))))</f>
        <v>$1001 - $5000</v>
      </c>
      <c r="P761">
        <v>1</v>
      </c>
      <c r="Q761">
        <v>3</v>
      </c>
      <c r="R761">
        <v>6</v>
      </c>
      <c r="S7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62" spans="1:19" ht="14.25" x14ac:dyDescent="0.2">
      <c r="A762">
        <v>70194406</v>
      </c>
      <c r="B762">
        <v>53</v>
      </c>
      <c r="C762" t="s">
        <v>20</v>
      </c>
      <c r="D762" t="s">
        <v>24</v>
      </c>
      <c r="E762" t="s">
        <v>22</v>
      </c>
      <c r="F762">
        <f>IF(Table2[[#This Row],[Attrition]]="Yes", 1, 0)</f>
        <v>0</v>
      </c>
      <c r="G762" t="s">
        <v>21</v>
      </c>
      <c r="H762" t="s">
        <v>17</v>
      </c>
      <c r="I762">
        <v>2</v>
      </c>
      <c r="J762">
        <v>3</v>
      </c>
      <c r="K762" t="s">
        <v>36</v>
      </c>
      <c r="L762">
        <v>3</v>
      </c>
      <c r="M762">
        <v>2</v>
      </c>
      <c r="N762" s="3">
        <v>7525</v>
      </c>
      <c r="O762" s="3" t="str">
        <f>IF(Table2[[#This Row],[MonthlyIncome]]&lt;=5000, "$1001 - $5000", IF(Table2[[#This Row],[MonthlyIncome]]&lt;=9000, "$5001 - $9000", IF(Table2[[#This Row],[MonthlyIncome]]&lt;=13000, "$9001 - $13000", IF(Table2[[#This Row],[MonthlyIncome]]&lt;=17000, "$13001 - $17000", IF(Table2[[#This Row],[MonthlyIncome]]&lt;=21000, "$17001 - $21000")))))</f>
        <v>$5001 - $9000</v>
      </c>
      <c r="P762">
        <v>2</v>
      </c>
      <c r="Q762">
        <v>3</v>
      </c>
      <c r="R762">
        <v>15</v>
      </c>
      <c r="S7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763" spans="1:19" ht="14.25" x14ac:dyDescent="0.2">
      <c r="A763">
        <v>81670721</v>
      </c>
      <c r="B763">
        <v>36</v>
      </c>
      <c r="C763" t="s">
        <v>25</v>
      </c>
      <c r="D763" t="s">
        <v>30</v>
      </c>
      <c r="E763" t="s">
        <v>16</v>
      </c>
      <c r="F763">
        <f>IF(Table2[[#This Row],[Attrition]]="Yes", 1, 0)</f>
        <v>1</v>
      </c>
      <c r="G763" t="s">
        <v>28</v>
      </c>
      <c r="H763" t="s">
        <v>23</v>
      </c>
      <c r="I763">
        <v>15</v>
      </c>
      <c r="J763">
        <v>3</v>
      </c>
      <c r="K763" t="s">
        <v>27</v>
      </c>
      <c r="L763">
        <v>1</v>
      </c>
      <c r="M763">
        <v>3</v>
      </c>
      <c r="N763" s="3">
        <v>4834</v>
      </c>
      <c r="O763" s="3" t="str">
        <f>IF(Table2[[#This Row],[MonthlyIncome]]&lt;=5000, "$1001 - $5000", IF(Table2[[#This Row],[MonthlyIncome]]&lt;=9000, "$5001 - $9000", IF(Table2[[#This Row],[MonthlyIncome]]&lt;=13000, "$9001 - $13000", IF(Table2[[#This Row],[MonthlyIncome]]&lt;=17000, "$13001 - $17000", IF(Table2[[#This Row],[MonthlyIncome]]&lt;=21000, "$17001 - $21000")))))</f>
        <v>$1001 - $5000</v>
      </c>
      <c r="P763">
        <v>7</v>
      </c>
      <c r="Q763">
        <v>2</v>
      </c>
      <c r="R763">
        <v>1</v>
      </c>
      <c r="S7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64" spans="1:19" ht="14.25" x14ac:dyDescent="0.2">
      <c r="A764">
        <v>41583022</v>
      </c>
      <c r="B764">
        <v>26</v>
      </c>
      <c r="C764" t="s">
        <v>25</v>
      </c>
      <c r="D764" t="s">
        <v>24</v>
      </c>
      <c r="E764" t="s">
        <v>16</v>
      </c>
      <c r="F764">
        <f>IF(Table2[[#This Row],[Attrition]]="Yes", 1, 0)</f>
        <v>1</v>
      </c>
      <c r="G764" t="s">
        <v>26</v>
      </c>
      <c r="H764" t="s">
        <v>23</v>
      </c>
      <c r="I764">
        <v>2</v>
      </c>
      <c r="J764">
        <v>3</v>
      </c>
      <c r="K764" t="s">
        <v>18</v>
      </c>
      <c r="L764">
        <v>1</v>
      </c>
      <c r="M764">
        <v>1</v>
      </c>
      <c r="N764" s="3">
        <v>2042</v>
      </c>
      <c r="O764" s="3" t="str">
        <f>IF(Table2[[#This Row],[MonthlyIncome]]&lt;=5000, "$1001 - $5000", IF(Table2[[#This Row],[MonthlyIncome]]&lt;=9000, "$5001 - $9000", IF(Table2[[#This Row],[MonthlyIncome]]&lt;=13000, "$9001 - $13000", IF(Table2[[#This Row],[MonthlyIncome]]&lt;=17000, "$13001 - $17000", IF(Table2[[#This Row],[MonthlyIncome]]&lt;=21000, "$17001 - $21000")))))</f>
        <v>$1001 - $5000</v>
      </c>
      <c r="P764">
        <v>6</v>
      </c>
      <c r="Q764">
        <v>3</v>
      </c>
      <c r="R764">
        <v>3</v>
      </c>
      <c r="S7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65" spans="1:19" ht="14.25" x14ac:dyDescent="0.2">
      <c r="A765">
        <v>24340296</v>
      </c>
      <c r="B765">
        <v>34</v>
      </c>
      <c r="C765" t="s">
        <v>20</v>
      </c>
      <c r="D765" t="s">
        <v>24</v>
      </c>
      <c r="E765" t="s">
        <v>22</v>
      </c>
      <c r="F765">
        <f>IF(Table2[[#This Row],[Attrition]]="Yes", 1, 0)</f>
        <v>0</v>
      </c>
      <c r="G765" t="s">
        <v>34</v>
      </c>
      <c r="H765" t="s">
        <v>17</v>
      </c>
      <c r="I765">
        <v>10</v>
      </c>
      <c r="J765">
        <v>4</v>
      </c>
      <c r="K765" t="s">
        <v>18</v>
      </c>
      <c r="L765">
        <v>3</v>
      </c>
      <c r="M765">
        <v>3</v>
      </c>
      <c r="N765" s="3">
        <v>2220</v>
      </c>
      <c r="O765" s="3" t="str">
        <f>IF(Table2[[#This Row],[MonthlyIncome]]&lt;=5000, "$1001 - $5000", IF(Table2[[#This Row],[MonthlyIncome]]&lt;=9000, "$5001 - $9000", IF(Table2[[#This Row],[MonthlyIncome]]&lt;=13000, "$9001 - $13000", IF(Table2[[#This Row],[MonthlyIncome]]&lt;=17000, "$13001 - $17000", IF(Table2[[#This Row],[MonthlyIncome]]&lt;=21000, "$17001 - $21000")))))</f>
        <v>$1001 - $5000</v>
      </c>
      <c r="P765">
        <v>1</v>
      </c>
      <c r="Q765">
        <v>3</v>
      </c>
      <c r="R765">
        <v>1</v>
      </c>
      <c r="S7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66" spans="1:19" ht="14.25" x14ac:dyDescent="0.2">
      <c r="A766">
        <v>22535909</v>
      </c>
      <c r="B766">
        <v>28</v>
      </c>
      <c r="C766" t="s">
        <v>25</v>
      </c>
      <c r="D766" t="s">
        <v>24</v>
      </c>
      <c r="E766" t="s">
        <v>22</v>
      </c>
      <c r="F766">
        <f>IF(Table2[[#This Row],[Attrition]]="Yes", 1, 0)</f>
        <v>0</v>
      </c>
      <c r="G766" t="s">
        <v>34</v>
      </c>
      <c r="H766" t="s">
        <v>17</v>
      </c>
      <c r="I766">
        <v>10</v>
      </c>
      <c r="J766">
        <v>1</v>
      </c>
      <c r="K766" t="s">
        <v>29</v>
      </c>
      <c r="L766">
        <v>4</v>
      </c>
      <c r="M766">
        <v>2</v>
      </c>
      <c r="N766" s="3">
        <v>1052</v>
      </c>
      <c r="O766" s="3" t="str">
        <f>IF(Table2[[#This Row],[MonthlyIncome]]&lt;=5000, "$1001 - $5000", IF(Table2[[#This Row],[MonthlyIncome]]&lt;=9000, "$5001 - $9000", IF(Table2[[#This Row],[MonthlyIncome]]&lt;=13000, "$9001 - $13000", IF(Table2[[#This Row],[MonthlyIncome]]&lt;=17000, "$13001 - $17000", IF(Table2[[#This Row],[MonthlyIncome]]&lt;=21000, "$17001 - $21000")))))</f>
        <v>$1001 - $5000</v>
      </c>
      <c r="P766">
        <v>1</v>
      </c>
      <c r="Q766">
        <v>3</v>
      </c>
      <c r="R766">
        <v>1</v>
      </c>
      <c r="S7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67" spans="1:19" ht="14.25" x14ac:dyDescent="0.2">
      <c r="A767">
        <v>65821779</v>
      </c>
      <c r="B767">
        <v>38</v>
      </c>
      <c r="C767" t="s">
        <v>25</v>
      </c>
      <c r="D767" t="s">
        <v>24</v>
      </c>
      <c r="E767" t="s">
        <v>22</v>
      </c>
      <c r="F767">
        <f>IF(Table2[[#This Row],[Attrition]]="Yes", 1, 0)</f>
        <v>0</v>
      </c>
      <c r="G767" t="s">
        <v>26</v>
      </c>
      <c r="H767" t="s">
        <v>23</v>
      </c>
      <c r="I767">
        <v>3</v>
      </c>
      <c r="J767">
        <v>4</v>
      </c>
      <c r="K767" t="s">
        <v>27</v>
      </c>
      <c r="L767">
        <v>3</v>
      </c>
      <c r="M767">
        <v>3</v>
      </c>
      <c r="N767" s="3">
        <v>2821</v>
      </c>
      <c r="O767" s="3" t="str">
        <f>IF(Table2[[#This Row],[MonthlyIncome]]&lt;=5000, "$1001 - $5000", IF(Table2[[#This Row],[MonthlyIncome]]&lt;=9000, "$5001 - $9000", IF(Table2[[#This Row],[MonthlyIncome]]&lt;=13000, "$9001 - $13000", IF(Table2[[#This Row],[MonthlyIncome]]&lt;=17000, "$13001 - $17000", IF(Table2[[#This Row],[MonthlyIncome]]&lt;=21000, "$17001 - $21000")))))</f>
        <v>$1001 - $5000</v>
      </c>
      <c r="P767">
        <v>3</v>
      </c>
      <c r="Q767">
        <v>3</v>
      </c>
      <c r="R767">
        <v>2</v>
      </c>
      <c r="S7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68" spans="1:19" ht="14.25" x14ac:dyDescent="0.2">
      <c r="A768">
        <v>47108643</v>
      </c>
      <c r="B768">
        <v>50</v>
      </c>
      <c r="C768" t="s">
        <v>25</v>
      </c>
      <c r="D768" t="s">
        <v>24</v>
      </c>
      <c r="E768" t="s">
        <v>22</v>
      </c>
      <c r="F768">
        <f>IF(Table2[[#This Row],[Attrition]]="Yes", 1, 0)</f>
        <v>0</v>
      </c>
      <c r="G768" t="s">
        <v>35</v>
      </c>
      <c r="H768" t="s">
        <v>23</v>
      </c>
      <c r="I768">
        <v>2</v>
      </c>
      <c r="J768">
        <v>4</v>
      </c>
      <c r="K768" t="s">
        <v>29</v>
      </c>
      <c r="L768">
        <v>2</v>
      </c>
      <c r="M768">
        <v>3</v>
      </c>
      <c r="N768" s="3">
        <v>19237</v>
      </c>
      <c r="O768" s="3" t="str">
        <f>IF(Table2[[#This Row],[MonthlyIncome]]&lt;=5000, "$1001 - $5000", IF(Table2[[#This Row],[MonthlyIncome]]&lt;=9000, "$5001 - $9000", IF(Table2[[#This Row],[MonthlyIncome]]&lt;=13000, "$9001 - $13000", IF(Table2[[#This Row],[MonthlyIncome]]&lt;=17000, "$13001 - $17000", IF(Table2[[#This Row],[MonthlyIncome]]&lt;=21000, "$17001 - $21000")))))</f>
        <v>$17001 - $21000</v>
      </c>
      <c r="P768">
        <v>2</v>
      </c>
      <c r="Q768">
        <v>2</v>
      </c>
      <c r="R768">
        <v>8</v>
      </c>
      <c r="S7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69" spans="1:19" ht="14.25" x14ac:dyDescent="0.2">
      <c r="A769">
        <v>21743074</v>
      </c>
      <c r="B769">
        <v>37</v>
      </c>
      <c r="C769" t="s">
        <v>20</v>
      </c>
      <c r="D769" t="s">
        <v>19</v>
      </c>
      <c r="E769" t="s">
        <v>22</v>
      </c>
      <c r="F769">
        <f>IF(Table2[[#This Row],[Attrition]]="Yes", 1, 0)</f>
        <v>0</v>
      </c>
      <c r="G769" t="s">
        <v>32</v>
      </c>
      <c r="H769" t="s">
        <v>23</v>
      </c>
      <c r="I769">
        <v>3</v>
      </c>
      <c r="J769">
        <v>3</v>
      </c>
      <c r="K769" t="s">
        <v>27</v>
      </c>
      <c r="L769">
        <v>4</v>
      </c>
      <c r="M769">
        <v>2</v>
      </c>
      <c r="N769" s="3">
        <v>4107</v>
      </c>
      <c r="O769" s="3" t="str">
        <f>IF(Table2[[#This Row],[MonthlyIncome]]&lt;=5000, "$1001 - $5000", IF(Table2[[#This Row],[MonthlyIncome]]&lt;=9000, "$5001 - $9000", IF(Table2[[#This Row],[MonthlyIncome]]&lt;=13000, "$9001 - $13000", IF(Table2[[#This Row],[MonthlyIncome]]&lt;=17000, "$13001 - $17000", IF(Table2[[#This Row],[MonthlyIncome]]&lt;=21000, "$17001 - $21000")))))</f>
        <v>$1001 - $5000</v>
      </c>
      <c r="P769">
        <v>3</v>
      </c>
      <c r="Q769">
        <v>2</v>
      </c>
      <c r="R769">
        <v>4</v>
      </c>
      <c r="S7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70" spans="1:19" ht="14.25" x14ac:dyDescent="0.2">
      <c r="A770">
        <v>53221042</v>
      </c>
      <c r="B770">
        <v>40</v>
      </c>
      <c r="C770" t="s">
        <v>25</v>
      </c>
      <c r="D770" t="s">
        <v>24</v>
      </c>
      <c r="E770" t="s">
        <v>22</v>
      </c>
      <c r="F770">
        <f>IF(Table2[[#This Row],[Attrition]]="Yes", 1, 0)</f>
        <v>0</v>
      </c>
      <c r="G770" t="s">
        <v>21</v>
      </c>
      <c r="H770" t="s">
        <v>17</v>
      </c>
      <c r="I770">
        <v>26</v>
      </c>
      <c r="J770">
        <v>3</v>
      </c>
      <c r="K770" t="s">
        <v>36</v>
      </c>
      <c r="L770">
        <v>3</v>
      </c>
      <c r="M770">
        <v>1</v>
      </c>
      <c r="N770" s="3">
        <v>8396</v>
      </c>
      <c r="O770" s="3" t="str">
        <f>IF(Table2[[#This Row],[MonthlyIncome]]&lt;=5000, "$1001 - $5000", IF(Table2[[#This Row],[MonthlyIncome]]&lt;=9000, "$5001 - $9000", IF(Table2[[#This Row],[MonthlyIncome]]&lt;=13000, "$9001 - $13000", IF(Table2[[#This Row],[MonthlyIncome]]&lt;=17000, "$13001 - $17000", IF(Table2[[#This Row],[MonthlyIncome]]&lt;=21000, "$17001 - $21000")))))</f>
        <v>$5001 - $9000</v>
      </c>
      <c r="P770">
        <v>1</v>
      </c>
      <c r="Q770">
        <v>2</v>
      </c>
      <c r="R770">
        <v>7</v>
      </c>
      <c r="S7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71" spans="1:19" ht="14.25" x14ac:dyDescent="0.2">
      <c r="A771">
        <v>84647287</v>
      </c>
      <c r="B771">
        <v>26</v>
      </c>
      <c r="C771" t="s">
        <v>20</v>
      </c>
      <c r="D771" t="s">
        <v>30</v>
      </c>
      <c r="E771" t="s">
        <v>22</v>
      </c>
      <c r="F771">
        <f>IF(Table2[[#This Row],[Attrition]]="Yes", 1, 0)</f>
        <v>0</v>
      </c>
      <c r="G771" t="s">
        <v>26</v>
      </c>
      <c r="H771" t="s">
        <v>23</v>
      </c>
      <c r="I771">
        <v>1</v>
      </c>
      <c r="J771">
        <v>1</v>
      </c>
      <c r="K771" t="s">
        <v>29</v>
      </c>
      <c r="L771">
        <v>1</v>
      </c>
      <c r="M771">
        <v>3</v>
      </c>
      <c r="N771" s="3">
        <v>2007</v>
      </c>
      <c r="O771" s="3" t="str">
        <f>IF(Table2[[#This Row],[MonthlyIncome]]&lt;=5000, "$1001 - $5000", IF(Table2[[#This Row],[MonthlyIncome]]&lt;=9000, "$5001 - $9000", IF(Table2[[#This Row],[MonthlyIncome]]&lt;=13000, "$9001 - $13000", IF(Table2[[#This Row],[MonthlyIncome]]&lt;=17000, "$13001 - $17000", IF(Table2[[#This Row],[MonthlyIncome]]&lt;=21000, "$17001 - $21000")))))</f>
        <v>$1001 - $5000</v>
      </c>
      <c r="P771">
        <v>1</v>
      </c>
      <c r="Q771">
        <v>3</v>
      </c>
      <c r="R771">
        <v>5</v>
      </c>
      <c r="S7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72" spans="1:19" ht="14.25" x14ac:dyDescent="0.2">
      <c r="A772">
        <v>33609362</v>
      </c>
      <c r="B772">
        <v>46</v>
      </c>
      <c r="C772" t="s">
        <v>25</v>
      </c>
      <c r="D772" t="s">
        <v>30</v>
      </c>
      <c r="E772" t="s">
        <v>22</v>
      </c>
      <c r="F772">
        <f>IF(Table2[[#This Row],[Attrition]]="Yes", 1, 0)</f>
        <v>0</v>
      </c>
      <c r="G772" t="s">
        <v>35</v>
      </c>
      <c r="H772" t="s">
        <v>23</v>
      </c>
      <c r="I772">
        <v>1</v>
      </c>
      <c r="J772">
        <v>4</v>
      </c>
      <c r="K772" t="s">
        <v>29</v>
      </c>
      <c r="L772">
        <v>4</v>
      </c>
      <c r="M772">
        <v>4</v>
      </c>
      <c r="N772" s="3">
        <v>19627</v>
      </c>
      <c r="O772" s="3" t="str">
        <f>IF(Table2[[#This Row],[MonthlyIncome]]&lt;=5000, "$1001 - $5000", IF(Table2[[#This Row],[MonthlyIncome]]&lt;=9000, "$5001 - $9000", IF(Table2[[#This Row],[MonthlyIncome]]&lt;=13000, "$9001 - $13000", IF(Table2[[#This Row],[MonthlyIncome]]&lt;=17000, "$13001 - $17000", IF(Table2[[#This Row],[MonthlyIncome]]&lt;=21000, "$17001 - $21000")))))</f>
        <v>$17001 - $21000</v>
      </c>
      <c r="P772">
        <v>9</v>
      </c>
      <c r="Q772">
        <v>3</v>
      </c>
      <c r="R772">
        <v>2</v>
      </c>
      <c r="S7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73" spans="1:19" ht="14.25" x14ac:dyDescent="0.2">
      <c r="A773">
        <v>50763117</v>
      </c>
      <c r="B773">
        <v>54</v>
      </c>
      <c r="C773" t="s">
        <v>20</v>
      </c>
      <c r="D773" t="s">
        <v>24</v>
      </c>
      <c r="E773" t="s">
        <v>22</v>
      </c>
      <c r="F773">
        <f>IF(Table2[[#This Row],[Attrition]]="Yes", 1, 0)</f>
        <v>0</v>
      </c>
      <c r="G773" t="s">
        <v>21</v>
      </c>
      <c r="H773" t="s">
        <v>17</v>
      </c>
      <c r="I773">
        <v>2</v>
      </c>
      <c r="J773">
        <v>4</v>
      </c>
      <c r="K773" t="s">
        <v>18</v>
      </c>
      <c r="L773">
        <v>3</v>
      </c>
      <c r="M773">
        <v>3</v>
      </c>
      <c r="N773" s="3">
        <v>10686</v>
      </c>
      <c r="O773" s="3" t="str">
        <f>IF(Table2[[#This Row],[MonthlyIncome]]&lt;=5000, "$1001 - $5000", IF(Table2[[#This Row],[MonthlyIncome]]&lt;=9000, "$5001 - $9000", IF(Table2[[#This Row],[MonthlyIncome]]&lt;=13000, "$9001 - $13000", IF(Table2[[#This Row],[MonthlyIncome]]&lt;=17000, "$13001 - $17000", IF(Table2[[#This Row],[MonthlyIncome]]&lt;=21000, "$17001 - $21000")))))</f>
        <v>$9001 - $13000</v>
      </c>
      <c r="P773">
        <v>6</v>
      </c>
      <c r="Q773">
        <v>3</v>
      </c>
      <c r="R773">
        <v>9</v>
      </c>
      <c r="S7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74" spans="1:19" ht="14.25" x14ac:dyDescent="0.2">
      <c r="A774">
        <v>53000558</v>
      </c>
      <c r="B774">
        <v>56</v>
      </c>
      <c r="C774" t="s">
        <v>20</v>
      </c>
      <c r="D774" t="s">
        <v>24</v>
      </c>
      <c r="E774" t="s">
        <v>22</v>
      </c>
      <c r="F774">
        <f>IF(Table2[[#This Row],[Attrition]]="Yes", 1, 0)</f>
        <v>0</v>
      </c>
      <c r="G774" t="s">
        <v>26</v>
      </c>
      <c r="H774" t="s">
        <v>23</v>
      </c>
      <c r="I774">
        <v>9</v>
      </c>
      <c r="J774">
        <v>3</v>
      </c>
      <c r="K774" t="s">
        <v>29</v>
      </c>
      <c r="L774">
        <v>1</v>
      </c>
      <c r="M774">
        <v>3</v>
      </c>
      <c r="N774" s="3">
        <v>2942</v>
      </c>
      <c r="O774" s="3" t="str">
        <f>IF(Table2[[#This Row],[MonthlyIncome]]&lt;=5000, "$1001 - $5000", IF(Table2[[#This Row],[MonthlyIncome]]&lt;=9000, "$5001 - $9000", IF(Table2[[#This Row],[MonthlyIncome]]&lt;=13000, "$9001 - $13000", IF(Table2[[#This Row],[MonthlyIncome]]&lt;=17000, "$13001 - $17000", IF(Table2[[#This Row],[MonthlyIncome]]&lt;=21000, "$17001 - $21000")))))</f>
        <v>$1001 - $5000</v>
      </c>
      <c r="P774">
        <v>2</v>
      </c>
      <c r="Q774">
        <v>3</v>
      </c>
      <c r="R774">
        <v>5</v>
      </c>
      <c r="S7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75" spans="1:19" ht="14.25" x14ac:dyDescent="0.2">
      <c r="A775">
        <v>47129640</v>
      </c>
      <c r="B775">
        <v>36</v>
      </c>
      <c r="C775" t="s">
        <v>20</v>
      </c>
      <c r="D775" t="s">
        <v>19</v>
      </c>
      <c r="E775" t="s">
        <v>22</v>
      </c>
      <c r="F775">
        <f>IF(Table2[[#This Row],[Attrition]]="Yes", 1, 0)</f>
        <v>0</v>
      </c>
      <c r="G775" t="s">
        <v>31</v>
      </c>
      <c r="H775" t="s">
        <v>23</v>
      </c>
      <c r="I775">
        <v>12</v>
      </c>
      <c r="J775">
        <v>5</v>
      </c>
      <c r="K775" t="s">
        <v>29</v>
      </c>
      <c r="L775">
        <v>4</v>
      </c>
      <c r="M775">
        <v>4</v>
      </c>
      <c r="N775" s="3">
        <v>8858</v>
      </c>
      <c r="O775" s="3" t="str">
        <f>IF(Table2[[#This Row],[MonthlyIncome]]&lt;=5000, "$1001 - $5000", IF(Table2[[#This Row],[MonthlyIncome]]&lt;=9000, "$5001 - $9000", IF(Table2[[#This Row],[MonthlyIncome]]&lt;=13000, "$9001 - $13000", IF(Table2[[#This Row],[MonthlyIncome]]&lt;=17000, "$13001 - $17000", IF(Table2[[#This Row],[MonthlyIncome]]&lt;=21000, "$17001 - $21000")))))</f>
        <v>$5001 - $9000</v>
      </c>
      <c r="P775">
        <v>0</v>
      </c>
      <c r="Q775">
        <v>2</v>
      </c>
      <c r="R775">
        <v>14</v>
      </c>
      <c r="S7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776" spans="1:19" ht="14.25" x14ac:dyDescent="0.2">
      <c r="A776">
        <v>76313034</v>
      </c>
      <c r="B776">
        <v>55</v>
      </c>
      <c r="C776" t="s">
        <v>25</v>
      </c>
      <c r="D776" t="s">
        <v>19</v>
      </c>
      <c r="E776" t="s">
        <v>22</v>
      </c>
      <c r="F776">
        <f>IF(Table2[[#This Row],[Attrition]]="Yes", 1, 0)</f>
        <v>0</v>
      </c>
      <c r="G776" t="s">
        <v>33</v>
      </c>
      <c r="H776" t="s">
        <v>23</v>
      </c>
      <c r="I776">
        <v>2</v>
      </c>
      <c r="J776">
        <v>1</v>
      </c>
      <c r="K776" t="s">
        <v>29</v>
      </c>
      <c r="L776">
        <v>3</v>
      </c>
      <c r="M776">
        <v>1</v>
      </c>
      <c r="N776" s="3">
        <v>16756</v>
      </c>
      <c r="O776" s="3" t="str">
        <f>IF(Table2[[#This Row],[MonthlyIncome]]&lt;=5000, "$1001 - $5000", IF(Table2[[#This Row],[MonthlyIncome]]&lt;=9000, "$5001 - $9000", IF(Table2[[#This Row],[MonthlyIncome]]&lt;=13000, "$9001 - $13000", IF(Table2[[#This Row],[MonthlyIncome]]&lt;=17000, "$13001 - $17000", IF(Table2[[#This Row],[MonthlyIncome]]&lt;=21000, "$17001 - $21000")))))</f>
        <v>$13001 - $17000</v>
      </c>
      <c r="P776">
        <v>7</v>
      </c>
      <c r="Q776">
        <v>4</v>
      </c>
      <c r="R776">
        <v>9</v>
      </c>
      <c r="S7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77" spans="1:19" ht="14.25" x14ac:dyDescent="0.2">
      <c r="A777">
        <v>13744607</v>
      </c>
      <c r="B777">
        <v>43</v>
      </c>
      <c r="C777" t="s">
        <v>25</v>
      </c>
      <c r="D777" t="s">
        <v>30</v>
      </c>
      <c r="E777" t="s">
        <v>22</v>
      </c>
      <c r="F777">
        <f>IF(Table2[[#This Row],[Attrition]]="Yes", 1, 0)</f>
        <v>0</v>
      </c>
      <c r="G777" t="s">
        <v>21</v>
      </c>
      <c r="H777" t="s">
        <v>17</v>
      </c>
      <c r="I777">
        <v>25</v>
      </c>
      <c r="J777">
        <v>3</v>
      </c>
      <c r="K777" t="s">
        <v>29</v>
      </c>
      <c r="L777">
        <v>3</v>
      </c>
      <c r="M777">
        <v>4</v>
      </c>
      <c r="N777" s="3">
        <v>10798</v>
      </c>
      <c r="O777" s="3" t="str">
        <f>IF(Table2[[#This Row],[MonthlyIncome]]&lt;=5000, "$1001 - $5000", IF(Table2[[#This Row],[MonthlyIncome]]&lt;=9000, "$5001 - $9000", IF(Table2[[#This Row],[MonthlyIncome]]&lt;=13000, "$9001 - $13000", IF(Table2[[#This Row],[MonthlyIncome]]&lt;=17000, "$13001 - $17000", IF(Table2[[#This Row],[MonthlyIncome]]&lt;=21000, "$17001 - $21000")))))</f>
        <v>$9001 - $13000</v>
      </c>
      <c r="P777">
        <v>5</v>
      </c>
      <c r="Q777">
        <v>3</v>
      </c>
      <c r="R777">
        <v>1</v>
      </c>
      <c r="S7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78" spans="1:19" ht="14.25" x14ac:dyDescent="0.2">
      <c r="A778">
        <v>52556922</v>
      </c>
      <c r="B778">
        <v>20</v>
      </c>
      <c r="C778" t="s">
        <v>20</v>
      </c>
      <c r="D778" t="s">
        <v>19</v>
      </c>
      <c r="E778" t="s">
        <v>16</v>
      </c>
      <c r="F778">
        <f>IF(Table2[[#This Row],[Attrition]]="Yes", 1, 0)</f>
        <v>1</v>
      </c>
      <c r="G778" t="s">
        <v>34</v>
      </c>
      <c r="H778" t="s">
        <v>17</v>
      </c>
      <c r="I778">
        <v>9</v>
      </c>
      <c r="J778">
        <v>3</v>
      </c>
      <c r="K778" t="s">
        <v>36</v>
      </c>
      <c r="L778">
        <v>4</v>
      </c>
      <c r="M778">
        <v>4</v>
      </c>
      <c r="N778" s="3">
        <v>2323</v>
      </c>
      <c r="O778" s="3" t="str">
        <f>IF(Table2[[#This Row],[MonthlyIncome]]&lt;=5000, "$1001 - $5000", IF(Table2[[#This Row],[MonthlyIncome]]&lt;=9000, "$5001 - $9000", IF(Table2[[#This Row],[MonthlyIncome]]&lt;=13000, "$9001 - $13000", IF(Table2[[#This Row],[MonthlyIncome]]&lt;=17000, "$13001 - $17000", IF(Table2[[#This Row],[MonthlyIncome]]&lt;=21000, "$17001 - $21000")))))</f>
        <v>$1001 - $5000</v>
      </c>
      <c r="P778">
        <v>1</v>
      </c>
      <c r="Q778">
        <v>3</v>
      </c>
      <c r="R778">
        <v>2</v>
      </c>
      <c r="S7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79" spans="1:19" ht="14.25" x14ac:dyDescent="0.2">
      <c r="A779">
        <v>47416210</v>
      </c>
      <c r="B779">
        <v>21</v>
      </c>
      <c r="C779" t="s">
        <v>20</v>
      </c>
      <c r="D779" t="s">
        <v>19</v>
      </c>
      <c r="E779" t="s">
        <v>16</v>
      </c>
      <c r="F779">
        <f>IF(Table2[[#This Row],[Attrition]]="Yes", 1, 0)</f>
        <v>1</v>
      </c>
      <c r="G779" t="s">
        <v>28</v>
      </c>
      <c r="H779" t="s">
        <v>23</v>
      </c>
      <c r="I779">
        <v>10</v>
      </c>
      <c r="J779">
        <v>3</v>
      </c>
      <c r="K779" t="s">
        <v>18</v>
      </c>
      <c r="L779">
        <v>3</v>
      </c>
      <c r="M779">
        <v>1</v>
      </c>
      <c r="N779" s="3">
        <v>1416</v>
      </c>
      <c r="O779" s="3" t="str">
        <f>IF(Table2[[#This Row],[MonthlyIncome]]&lt;=5000, "$1001 - $5000", IF(Table2[[#This Row],[MonthlyIncome]]&lt;=9000, "$5001 - $9000", IF(Table2[[#This Row],[MonthlyIncome]]&lt;=13000, "$9001 - $13000", IF(Table2[[#This Row],[MonthlyIncome]]&lt;=17000, "$13001 - $17000", IF(Table2[[#This Row],[MonthlyIncome]]&lt;=21000, "$17001 - $21000")))))</f>
        <v>$1001 - $5000</v>
      </c>
      <c r="P779">
        <v>1</v>
      </c>
      <c r="Q779">
        <v>2</v>
      </c>
      <c r="R779">
        <v>1</v>
      </c>
      <c r="S7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80" spans="1:19" ht="14.25" x14ac:dyDescent="0.2">
      <c r="A780">
        <v>42576855</v>
      </c>
      <c r="B780">
        <v>46</v>
      </c>
      <c r="C780" t="s">
        <v>20</v>
      </c>
      <c r="D780" t="s">
        <v>30</v>
      </c>
      <c r="E780" t="s">
        <v>22</v>
      </c>
      <c r="F780">
        <f>IF(Table2[[#This Row],[Attrition]]="Yes", 1, 0)</f>
        <v>0</v>
      </c>
      <c r="G780" t="s">
        <v>26</v>
      </c>
      <c r="H780" t="s">
        <v>23</v>
      </c>
      <c r="I780">
        <v>8</v>
      </c>
      <c r="J780">
        <v>4</v>
      </c>
      <c r="K780" t="s">
        <v>18</v>
      </c>
      <c r="L780">
        <v>4</v>
      </c>
      <c r="M780">
        <v>1</v>
      </c>
      <c r="N780" s="3">
        <v>4615</v>
      </c>
      <c r="O780" s="3" t="str">
        <f>IF(Table2[[#This Row],[MonthlyIncome]]&lt;=5000, "$1001 - $5000", IF(Table2[[#This Row],[MonthlyIncome]]&lt;=9000, "$5001 - $9000", IF(Table2[[#This Row],[MonthlyIncome]]&lt;=13000, "$9001 - $13000", IF(Table2[[#This Row],[MonthlyIncome]]&lt;=17000, "$13001 - $17000", IF(Table2[[#This Row],[MonthlyIncome]]&lt;=21000, "$17001 - $21000")))))</f>
        <v>$1001 - $5000</v>
      </c>
      <c r="P780">
        <v>8</v>
      </c>
      <c r="Q780">
        <v>3</v>
      </c>
      <c r="R780">
        <v>16</v>
      </c>
      <c r="S7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781" spans="1:19" ht="14.25" x14ac:dyDescent="0.2">
      <c r="A781">
        <v>88505691</v>
      </c>
      <c r="B781">
        <v>51</v>
      </c>
      <c r="C781" t="s">
        <v>25</v>
      </c>
      <c r="D781" t="s">
        <v>24</v>
      </c>
      <c r="E781" t="s">
        <v>16</v>
      </c>
      <c r="F781">
        <f>IF(Table2[[#This Row],[Attrition]]="Yes", 1, 0)</f>
        <v>1</v>
      </c>
      <c r="G781" t="s">
        <v>26</v>
      </c>
      <c r="H781" t="s">
        <v>23</v>
      </c>
      <c r="I781">
        <v>4</v>
      </c>
      <c r="J781">
        <v>4</v>
      </c>
      <c r="K781" t="s">
        <v>18</v>
      </c>
      <c r="L781">
        <v>1</v>
      </c>
      <c r="M781">
        <v>3</v>
      </c>
      <c r="N781" s="3">
        <v>2461</v>
      </c>
      <c r="O781" s="3" t="str">
        <f>IF(Table2[[#This Row],[MonthlyIncome]]&lt;=5000, "$1001 - $5000", IF(Table2[[#This Row],[MonthlyIncome]]&lt;=9000, "$5001 - $9000", IF(Table2[[#This Row],[MonthlyIncome]]&lt;=13000, "$9001 - $13000", IF(Table2[[#This Row],[MonthlyIncome]]&lt;=17000, "$13001 - $17000", IF(Table2[[#This Row],[MonthlyIncome]]&lt;=21000, "$17001 - $21000")))))</f>
        <v>$1001 - $5000</v>
      </c>
      <c r="P781">
        <v>9</v>
      </c>
      <c r="Q781">
        <v>4</v>
      </c>
      <c r="R781">
        <v>10</v>
      </c>
      <c r="S7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782" spans="1:19" ht="14.25" x14ac:dyDescent="0.2">
      <c r="A782">
        <v>55181939</v>
      </c>
      <c r="B782">
        <v>28</v>
      </c>
      <c r="C782" t="s">
        <v>25</v>
      </c>
      <c r="D782" t="s">
        <v>19</v>
      </c>
      <c r="E782" t="s">
        <v>16</v>
      </c>
      <c r="F782">
        <f>IF(Table2[[#This Row],[Attrition]]="Yes", 1, 0)</f>
        <v>1</v>
      </c>
      <c r="G782" t="s">
        <v>32</v>
      </c>
      <c r="H782" t="s">
        <v>23</v>
      </c>
      <c r="I782">
        <v>24</v>
      </c>
      <c r="J782">
        <v>2</v>
      </c>
      <c r="K782" t="s">
        <v>37</v>
      </c>
      <c r="L782">
        <v>2</v>
      </c>
      <c r="M782">
        <v>1</v>
      </c>
      <c r="N782" s="3">
        <v>8722</v>
      </c>
      <c r="O782" s="3" t="str">
        <f>IF(Table2[[#This Row],[MonthlyIncome]]&lt;=5000, "$1001 - $5000", IF(Table2[[#This Row],[MonthlyIncome]]&lt;=9000, "$5001 - $9000", IF(Table2[[#This Row],[MonthlyIncome]]&lt;=13000, "$9001 - $13000", IF(Table2[[#This Row],[MonthlyIncome]]&lt;=17000, "$13001 - $17000", IF(Table2[[#This Row],[MonthlyIncome]]&lt;=21000, "$17001 - $21000")))))</f>
        <v>$5001 - $9000</v>
      </c>
      <c r="P782">
        <v>1</v>
      </c>
      <c r="Q782">
        <v>2</v>
      </c>
      <c r="R782">
        <v>10</v>
      </c>
      <c r="S7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783" spans="1:19" ht="14.25" x14ac:dyDescent="0.2">
      <c r="A783">
        <v>42276217</v>
      </c>
      <c r="B783">
        <v>26</v>
      </c>
      <c r="C783" t="s">
        <v>25</v>
      </c>
      <c r="D783" t="s">
        <v>24</v>
      </c>
      <c r="E783" t="s">
        <v>22</v>
      </c>
      <c r="F783">
        <f>IF(Table2[[#This Row],[Attrition]]="Yes", 1, 0)</f>
        <v>0</v>
      </c>
      <c r="G783" t="s">
        <v>28</v>
      </c>
      <c r="H783" t="s">
        <v>23</v>
      </c>
      <c r="I783">
        <v>1</v>
      </c>
      <c r="J783">
        <v>2</v>
      </c>
      <c r="K783" t="s">
        <v>29</v>
      </c>
      <c r="L783">
        <v>1</v>
      </c>
      <c r="M783">
        <v>1</v>
      </c>
      <c r="N783" s="3">
        <v>3955</v>
      </c>
      <c r="O783" s="3" t="str">
        <f>IF(Table2[[#This Row],[MonthlyIncome]]&lt;=5000, "$1001 - $5000", IF(Table2[[#This Row],[MonthlyIncome]]&lt;=9000, "$5001 - $9000", IF(Table2[[#This Row],[MonthlyIncome]]&lt;=13000, "$9001 - $13000", IF(Table2[[#This Row],[MonthlyIncome]]&lt;=17000, "$13001 - $17000", IF(Table2[[#This Row],[MonthlyIncome]]&lt;=21000, "$17001 - $21000")))))</f>
        <v>$1001 - $5000</v>
      </c>
      <c r="P783">
        <v>1</v>
      </c>
      <c r="Q783">
        <v>3</v>
      </c>
      <c r="R783">
        <v>5</v>
      </c>
      <c r="S7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84" spans="1:19" ht="14.25" x14ac:dyDescent="0.2">
      <c r="A784">
        <v>66058372</v>
      </c>
      <c r="B784">
        <v>30</v>
      </c>
      <c r="C784" t="s">
        <v>25</v>
      </c>
      <c r="D784" t="s">
        <v>24</v>
      </c>
      <c r="E784" t="s">
        <v>22</v>
      </c>
      <c r="F784">
        <f>IF(Table2[[#This Row],[Attrition]]="Yes", 1, 0)</f>
        <v>0</v>
      </c>
      <c r="G784" t="s">
        <v>31</v>
      </c>
      <c r="H784" t="s">
        <v>23</v>
      </c>
      <c r="I784">
        <v>20</v>
      </c>
      <c r="J784">
        <v>3</v>
      </c>
      <c r="K784" t="s">
        <v>27</v>
      </c>
      <c r="L784">
        <v>3</v>
      </c>
      <c r="M784">
        <v>1</v>
      </c>
      <c r="N784" s="3">
        <v>9957</v>
      </c>
      <c r="O784" s="3" t="str">
        <f>IF(Table2[[#This Row],[MonthlyIncome]]&lt;=5000, "$1001 - $5000", IF(Table2[[#This Row],[MonthlyIncome]]&lt;=9000, "$5001 - $9000", IF(Table2[[#This Row],[MonthlyIncome]]&lt;=13000, "$9001 - $13000", IF(Table2[[#This Row],[MonthlyIncome]]&lt;=17000, "$13001 - $17000", IF(Table2[[#This Row],[MonthlyIncome]]&lt;=21000, "$17001 - $21000")))))</f>
        <v>$9001 - $13000</v>
      </c>
      <c r="P784">
        <v>0</v>
      </c>
      <c r="Q784">
        <v>2</v>
      </c>
      <c r="R784">
        <v>6</v>
      </c>
      <c r="S7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85" spans="1:19" ht="14.25" x14ac:dyDescent="0.2">
      <c r="A785">
        <v>82177102</v>
      </c>
      <c r="B785">
        <v>41</v>
      </c>
      <c r="C785" t="s">
        <v>20</v>
      </c>
      <c r="D785" t="s">
        <v>24</v>
      </c>
      <c r="E785" t="s">
        <v>22</v>
      </c>
      <c r="F785">
        <f>IF(Table2[[#This Row],[Attrition]]="Yes", 1, 0)</f>
        <v>0</v>
      </c>
      <c r="G785" t="s">
        <v>26</v>
      </c>
      <c r="H785" t="s">
        <v>23</v>
      </c>
      <c r="I785">
        <v>7</v>
      </c>
      <c r="J785">
        <v>2</v>
      </c>
      <c r="K785" t="s">
        <v>37</v>
      </c>
      <c r="L785">
        <v>2</v>
      </c>
      <c r="M785">
        <v>3</v>
      </c>
      <c r="N785" s="3">
        <v>3376</v>
      </c>
      <c r="O785" s="3" t="str">
        <f>IF(Table2[[#This Row],[MonthlyIncome]]&lt;=5000, "$1001 - $5000", IF(Table2[[#This Row],[MonthlyIncome]]&lt;=9000, "$5001 - $9000", IF(Table2[[#This Row],[MonthlyIncome]]&lt;=13000, "$9001 - $13000", IF(Table2[[#This Row],[MonthlyIncome]]&lt;=17000, "$13001 - $17000", IF(Table2[[#This Row],[MonthlyIncome]]&lt;=21000, "$17001 - $21000")))))</f>
        <v>$1001 - $5000</v>
      </c>
      <c r="P785">
        <v>1</v>
      </c>
      <c r="Q785">
        <v>3</v>
      </c>
      <c r="R785">
        <v>10</v>
      </c>
      <c r="S7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786" spans="1:19" ht="14.25" x14ac:dyDescent="0.2">
      <c r="A786">
        <v>33885669</v>
      </c>
      <c r="B786">
        <v>38</v>
      </c>
      <c r="C786" t="s">
        <v>20</v>
      </c>
      <c r="D786" t="s">
        <v>24</v>
      </c>
      <c r="E786" t="s">
        <v>22</v>
      </c>
      <c r="F786">
        <f>IF(Table2[[#This Row],[Attrition]]="Yes", 1, 0)</f>
        <v>0</v>
      </c>
      <c r="G786" t="s">
        <v>32</v>
      </c>
      <c r="H786" t="s">
        <v>23</v>
      </c>
      <c r="I786">
        <v>17</v>
      </c>
      <c r="J786">
        <v>1</v>
      </c>
      <c r="K786" t="s">
        <v>18</v>
      </c>
      <c r="L786">
        <v>3</v>
      </c>
      <c r="M786">
        <v>3</v>
      </c>
      <c r="N786" s="3">
        <v>8823</v>
      </c>
      <c r="O786" s="3" t="str">
        <f>IF(Table2[[#This Row],[MonthlyIncome]]&lt;=5000, "$1001 - $5000", IF(Table2[[#This Row],[MonthlyIncome]]&lt;=9000, "$5001 - $9000", IF(Table2[[#This Row],[MonthlyIncome]]&lt;=13000, "$9001 - $13000", IF(Table2[[#This Row],[MonthlyIncome]]&lt;=17000, "$13001 - $17000", IF(Table2[[#This Row],[MonthlyIncome]]&lt;=21000, "$17001 - $21000")))))</f>
        <v>$5001 - $9000</v>
      </c>
      <c r="P786">
        <v>0</v>
      </c>
      <c r="Q786">
        <v>2</v>
      </c>
      <c r="R786">
        <v>19</v>
      </c>
      <c r="S7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787" spans="1:19" ht="14.25" x14ac:dyDescent="0.2">
      <c r="A787">
        <v>52017523</v>
      </c>
      <c r="B787">
        <v>40</v>
      </c>
      <c r="C787" t="s">
        <v>25</v>
      </c>
      <c r="D787" t="s">
        <v>24</v>
      </c>
      <c r="E787" t="s">
        <v>22</v>
      </c>
      <c r="F787">
        <f>IF(Table2[[#This Row],[Attrition]]="Yes", 1, 0)</f>
        <v>0</v>
      </c>
      <c r="G787" t="s">
        <v>32</v>
      </c>
      <c r="H787" t="s">
        <v>23</v>
      </c>
      <c r="I787">
        <v>20</v>
      </c>
      <c r="J787">
        <v>4</v>
      </c>
      <c r="K787" t="s">
        <v>37</v>
      </c>
      <c r="L787">
        <v>1</v>
      </c>
      <c r="M787">
        <v>4</v>
      </c>
      <c r="N787" s="3">
        <v>10322</v>
      </c>
      <c r="O787" s="3" t="str">
        <f>IF(Table2[[#This Row],[MonthlyIncome]]&lt;=5000, "$1001 - $5000", IF(Table2[[#This Row],[MonthlyIncome]]&lt;=9000, "$5001 - $9000", IF(Table2[[#This Row],[MonthlyIncome]]&lt;=13000, "$9001 - $13000", IF(Table2[[#This Row],[MonthlyIncome]]&lt;=17000, "$13001 - $17000", IF(Table2[[#This Row],[MonthlyIncome]]&lt;=21000, "$17001 - $21000")))))</f>
        <v>$9001 - $13000</v>
      </c>
      <c r="P787">
        <v>4</v>
      </c>
      <c r="Q787">
        <v>3</v>
      </c>
      <c r="R787">
        <v>11</v>
      </c>
      <c r="S7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788" spans="1:19" ht="14.25" x14ac:dyDescent="0.2">
      <c r="A788">
        <v>53472468</v>
      </c>
      <c r="B788">
        <v>27</v>
      </c>
      <c r="C788" t="s">
        <v>25</v>
      </c>
      <c r="D788" t="s">
        <v>24</v>
      </c>
      <c r="E788" t="s">
        <v>22</v>
      </c>
      <c r="F788">
        <f>IF(Table2[[#This Row],[Attrition]]="Yes", 1, 0)</f>
        <v>0</v>
      </c>
      <c r="G788" t="s">
        <v>28</v>
      </c>
      <c r="H788" t="s">
        <v>23</v>
      </c>
      <c r="I788">
        <v>8</v>
      </c>
      <c r="J788">
        <v>5</v>
      </c>
      <c r="K788" t="s">
        <v>18</v>
      </c>
      <c r="L788">
        <v>1</v>
      </c>
      <c r="M788">
        <v>3</v>
      </c>
      <c r="N788" s="3">
        <v>4621</v>
      </c>
      <c r="O788" s="3" t="str">
        <f>IF(Table2[[#This Row],[MonthlyIncome]]&lt;=5000, "$1001 - $5000", IF(Table2[[#This Row],[MonthlyIncome]]&lt;=9000, "$5001 - $9000", IF(Table2[[#This Row],[MonthlyIncome]]&lt;=13000, "$9001 - $13000", IF(Table2[[#This Row],[MonthlyIncome]]&lt;=17000, "$13001 - $17000", IF(Table2[[#This Row],[MonthlyIncome]]&lt;=21000, "$17001 - $21000")))))</f>
        <v>$1001 - $5000</v>
      </c>
      <c r="P788">
        <v>1</v>
      </c>
      <c r="Q788">
        <v>3</v>
      </c>
      <c r="R788">
        <v>3</v>
      </c>
      <c r="S7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89" spans="1:19" ht="14.25" x14ac:dyDescent="0.2">
      <c r="A789">
        <v>70789306</v>
      </c>
      <c r="B789">
        <v>55</v>
      </c>
      <c r="C789" t="s">
        <v>25</v>
      </c>
      <c r="D789" t="s">
        <v>24</v>
      </c>
      <c r="E789" t="s">
        <v>22</v>
      </c>
      <c r="F789">
        <f>IF(Table2[[#This Row],[Attrition]]="Yes", 1, 0)</f>
        <v>0</v>
      </c>
      <c r="G789" t="s">
        <v>31</v>
      </c>
      <c r="H789" t="s">
        <v>23</v>
      </c>
      <c r="I789">
        <v>2</v>
      </c>
      <c r="J789">
        <v>1</v>
      </c>
      <c r="K789" t="s">
        <v>18</v>
      </c>
      <c r="L789">
        <v>4</v>
      </c>
      <c r="M789">
        <v>2</v>
      </c>
      <c r="N789" s="3">
        <v>10976</v>
      </c>
      <c r="O789" s="3" t="str">
        <f>IF(Table2[[#This Row],[MonthlyIncome]]&lt;=5000, "$1001 - $5000", IF(Table2[[#This Row],[MonthlyIncome]]&lt;=9000, "$5001 - $9000", IF(Table2[[#This Row],[MonthlyIncome]]&lt;=13000, "$9001 - $13000", IF(Table2[[#This Row],[MonthlyIncome]]&lt;=17000, "$13001 - $17000", IF(Table2[[#This Row],[MonthlyIncome]]&lt;=21000, "$17001 - $21000")))))</f>
        <v>$9001 - $13000</v>
      </c>
      <c r="P789">
        <v>3</v>
      </c>
      <c r="Q789">
        <v>3</v>
      </c>
      <c r="R789">
        <v>3</v>
      </c>
      <c r="S7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90" spans="1:19" ht="14.25" x14ac:dyDescent="0.2">
      <c r="A790">
        <v>86025067</v>
      </c>
      <c r="B790">
        <v>28</v>
      </c>
      <c r="C790" t="s">
        <v>20</v>
      </c>
      <c r="D790" t="s">
        <v>19</v>
      </c>
      <c r="E790" t="s">
        <v>22</v>
      </c>
      <c r="F790">
        <f>IF(Table2[[#This Row],[Attrition]]="Yes", 1, 0)</f>
        <v>0</v>
      </c>
      <c r="G790" t="s">
        <v>26</v>
      </c>
      <c r="H790" t="s">
        <v>23</v>
      </c>
      <c r="I790">
        <v>10</v>
      </c>
      <c r="J790">
        <v>3</v>
      </c>
      <c r="K790" t="s">
        <v>27</v>
      </c>
      <c r="L790">
        <v>3</v>
      </c>
      <c r="M790">
        <v>3</v>
      </c>
      <c r="N790" s="3">
        <v>3660</v>
      </c>
      <c r="O790" s="3" t="str">
        <f>IF(Table2[[#This Row],[MonthlyIncome]]&lt;=5000, "$1001 - $5000", IF(Table2[[#This Row],[MonthlyIncome]]&lt;=9000, "$5001 - $9000", IF(Table2[[#This Row],[MonthlyIncome]]&lt;=13000, "$9001 - $13000", IF(Table2[[#This Row],[MonthlyIncome]]&lt;=17000, "$13001 - $17000", IF(Table2[[#This Row],[MonthlyIncome]]&lt;=21000, "$17001 - $21000")))))</f>
        <v>$1001 - $5000</v>
      </c>
      <c r="P790">
        <v>3</v>
      </c>
      <c r="Q790">
        <v>4</v>
      </c>
      <c r="R790">
        <v>8</v>
      </c>
      <c r="S7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91" spans="1:19" ht="14.25" x14ac:dyDescent="0.2">
      <c r="A791">
        <v>39037305</v>
      </c>
      <c r="B791">
        <v>44</v>
      </c>
      <c r="C791" t="s">
        <v>25</v>
      </c>
      <c r="D791" t="s">
        <v>24</v>
      </c>
      <c r="E791" t="s">
        <v>16</v>
      </c>
      <c r="F791">
        <f>IF(Table2[[#This Row],[Attrition]]="Yes", 1, 0)</f>
        <v>1</v>
      </c>
      <c r="G791" t="s">
        <v>38</v>
      </c>
      <c r="H791" t="s">
        <v>38</v>
      </c>
      <c r="I791">
        <v>1</v>
      </c>
      <c r="J791">
        <v>2</v>
      </c>
      <c r="K791" t="s">
        <v>29</v>
      </c>
      <c r="L791">
        <v>2</v>
      </c>
      <c r="M791">
        <v>1</v>
      </c>
      <c r="N791" s="3">
        <v>10482</v>
      </c>
      <c r="O791" s="3" t="str">
        <f>IF(Table2[[#This Row],[MonthlyIncome]]&lt;=5000, "$1001 - $5000", IF(Table2[[#This Row],[MonthlyIncome]]&lt;=9000, "$5001 - $9000", IF(Table2[[#This Row],[MonthlyIncome]]&lt;=13000, "$9001 - $13000", IF(Table2[[#This Row],[MonthlyIncome]]&lt;=17000, "$13001 - $17000", IF(Table2[[#This Row],[MonthlyIncome]]&lt;=21000, "$17001 - $21000")))))</f>
        <v>$9001 - $13000</v>
      </c>
      <c r="P791">
        <v>9</v>
      </c>
      <c r="Q791">
        <v>3</v>
      </c>
      <c r="R791">
        <v>20</v>
      </c>
      <c r="S7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792" spans="1:19" ht="14.25" x14ac:dyDescent="0.2">
      <c r="A792">
        <v>81012629</v>
      </c>
      <c r="B792">
        <v>33</v>
      </c>
      <c r="C792" t="s">
        <v>25</v>
      </c>
      <c r="D792" t="s">
        <v>30</v>
      </c>
      <c r="E792" t="s">
        <v>22</v>
      </c>
      <c r="F792">
        <f>IF(Table2[[#This Row],[Attrition]]="Yes", 1, 0)</f>
        <v>0</v>
      </c>
      <c r="G792" t="s">
        <v>32</v>
      </c>
      <c r="H792" t="s">
        <v>23</v>
      </c>
      <c r="I792">
        <v>5</v>
      </c>
      <c r="J792">
        <v>3</v>
      </c>
      <c r="K792" t="s">
        <v>18</v>
      </c>
      <c r="L792">
        <v>4</v>
      </c>
      <c r="M792">
        <v>4</v>
      </c>
      <c r="N792" s="3">
        <v>7119</v>
      </c>
      <c r="O792" s="3" t="str">
        <f>IF(Table2[[#This Row],[MonthlyIncome]]&lt;=5000, "$1001 - $5000", IF(Table2[[#This Row],[MonthlyIncome]]&lt;=9000, "$5001 - $9000", IF(Table2[[#This Row],[MonthlyIncome]]&lt;=13000, "$9001 - $13000", IF(Table2[[#This Row],[MonthlyIncome]]&lt;=17000, "$13001 - $17000", IF(Table2[[#This Row],[MonthlyIncome]]&lt;=21000, "$17001 - $21000")))))</f>
        <v>$5001 - $9000</v>
      </c>
      <c r="P792">
        <v>4</v>
      </c>
      <c r="Q792">
        <v>3</v>
      </c>
      <c r="R792">
        <v>3</v>
      </c>
      <c r="S7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93" spans="1:19" ht="14.25" x14ac:dyDescent="0.2">
      <c r="A793">
        <v>24809117</v>
      </c>
      <c r="B793">
        <v>35</v>
      </c>
      <c r="C793" t="s">
        <v>25</v>
      </c>
      <c r="D793" t="s">
        <v>19</v>
      </c>
      <c r="E793" t="s">
        <v>16</v>
      </c>
      <c r="F793">
        <f>IF(Table2[[#This Row],[Attrition]]="Yes", 1, 0)</f>
        <v>1</v>
      </c>
      <c r="G793" t="s">
        <v>21</v>
      </c>
      <c r="H793" t="s">
        <v>17</v>
      </c>
      <c r="I793">
        <v>4</v>
      </c>
      <c r="J793">
        <v>3</v>
      </c>
      <c r="K793" t="s">
        <v>37</v>
      </c>
      <c r="L793">
        <v>4</v>
      </c>
      <c r="M793">
        <v>1</v>
      </c>
      <c r="N793" s="3">
        <v>9582</v>
      </c>
      <c r="O793" s="3" t="str">
        <f>IF(Table2[[#This Row],[MonthlyIncome]]&lt;=5000, "$1001 - $5000", IF(Table2[[#This Row],[MonthlyIncome]]&lt;=9000, "$5001 - $9000", IF(Table2[[#This Row],[MonthlyIncome]]&lt;=13000, "$9001 - $13000", IF(Table2[[#This Row],[MonthlyIncome]]&lt;=17000, "$13001 - $17000", IF(Table2[[#This Row],[MonthlyIncome]]&lt;=21000, "$17001 - $21000")))))</f>
        <v>$9001 - $13000</v>
      </c>
      <c r="P793">
        <v>0</v>
      </c>
      <c r="Q793">
        <v>3</v>
      </c>
      <c r="R793">
        <v>8</v>
      </c>
      <c r="S7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94" spans="1:19" ht="14.25" x14ac:dyDescent="0.2">
      <c r="A794">
        <v>85779213</v>
      </c>
      <c r="B794">
        <v>33</v>
      </c>
      <c r="C794" t="s">
        <v>20</v>
      </c>
      <c r="D794" t="s">
        <v>19</v>
      </c>
      <c r="E794" t="s">
        <v>16</v>
      </c>
      <c r="F794">
        <f>IF(Table2[[#This Row],[Attrition]]="Yes", 1, 0)</f>
        <v>1</v>
      </c>
      <c r="G794" t="s">
        <v>26</v>
      </c>
      <c r="H794" t="s">
        <v>23</v>
      </c>
      <c r="I794">
        <v>29</v>
      </c>
      <c r="J794">
        <v>4</v>
      </c>
      <c r="K794" t="s">
        <v>29</v>
      </c>
      <c r="L794">
        <v>1</v>
      </c>
      <c r="M794">
        <v>3</v>
      </c>
      <c r="N794" s="3">
        <v>4508</v>
      </c>
      <c r="O794" s="3" t="str">
        <f>IF(Table2[[#This Row],[MonthlyIncome]]&lt;=5000, "$1001 - $5000", IF(Table2[[#This Row],[MonthlyIncome]]&lt;=9000, "$5001 - $9000", IF(Table2[[#This Row],[MonthlyIncome]]&lt;=13000, "$9001 - $13000", IF(Table2[[#This Row],[MonthlyIncome]]&lt;=17000, "$13001 - $17000", IF(Table2[[#This Row],[MonthlyIncome]]&lt;=21000, "$17001 - $21000")))))</f>
        <v>$1001 - $5000</v>
      </c>
      <c r="P794">
        <v>1</v>
      </c>
      <c r="Q794">
        <v>3</v>
      </c>
      <c r="R794">
        <v>13</v>
      </c>
      <c r="S7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795" spans="1:19" ht="14.25" x14ac:dyDescent="0.2">
      <c r="A795">
        <v>28906976</v>
      </c>
      <c r="B795">
        <v>28</v>
      </c>
      <c r="C795" t="s">
        <v>25</v>
      </c>
      <c r="D795" t="s">
        <v>30</v>
      </c>
      <c r="E795" t="s">
        <v>22</v>
      </c>
      <c r="F795">
        <f>IF(Table2[[#This Row],[Attrition]]="Yes", 1, 0)</f>
        <v>0</v>
      </c>
      <c r="G795" t="s">
        <v>28</v>
      </c>
      <c r="H795" t="s">
        <v>23</v>
      </c>
      <c r="I795">
        <v>15</v>
      </c>
      <c r="J795">
        <v>2</v>
      </c>
      <c r="K795" t="s">
        <v>18</v>
      </c>
      <c r="L795">
        <v>1</v>
      </c>
      <c r="M795">
        <v>3</v>
      </c>
      <c r="N795" s="3">
        <v>2207</v>
      </c>
      <c r="O795" s="3" t="str">
        <f>IF(Table2[[#This Row],[MonthlyIncome]]&lt;=5000, "$1001 - $5000", IF(Table2[[#This Row],[MonthlyIncome]]&lt;=9000, "$5001 - $9000", IF(Table2[[#This Row],[MonthlyIncome]]&lt;=13000, "$9001 - $13000", IF(Table2[[#This Row],[MonthlyIncome]]&lt;=17000, "$13001 - $17000", IF(Table2[[#This Row],[MonthlyIncome]]&lt;=21000, "$17001 - $21000")))))</f>
        <v>$1001 - $5000</v>
      </c>
      <c r="P795">
        <v>1</v>
      </c>
      <c r="Q795">
        <v>2</v>
      </c>
      <c r="R795">
        <v>4</v>
      </c>
      <c r="S7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96" spans="1:19" ht="14.25" x14ac:dyDescent="0.2">
      <c r="A796">
        <v>37613246</v>
      </c>
      <c r="B796">
        <v>34</v>
      </c>
      <c r="C796" t="s">
        <v>25</v>
      </c>
      <c r="D796" t="s">
        <v>19</v>
      </c>
      <c r="E796" t="s">
        <v>22</v>
      </c>
      <c r="F796">
        <f>IF(Table2[[#This Row],[Attrition]]="Yes", 1, 0)</f>
        <v>0</v>
      </c>
      <c r="G796" t="s">
        <v>32</v>
      </c>
      <c r="H796" t="s">
        <v>23</v>
      </c>
      <c r="I796">
        <v>3</v>
      </c>
      <c r="J796">
        <v>1</v>
      </c>
      <c r="K796" t="s">
        <v>18</v>
      </c>
      <c r="L796">
        <v>1</v>
      </c>
      <c r="M796">
        <v>4</v>
      </c>
      <c r="N796" s="3">
        <v>7756</v>
      </c>
      <c r="O796" s="3" t="str">
        <f>IF(Table2[[#This Row],[MonthlyIncome]]&lt;=5000, "$1001 - $5000", IF(Table2[[#This Row],[MonthlyIncome]]&lt;=9000, "$5001 - $9000", IF(Table2[[#This Row],[MonthlyIncome]]&lt;=13000, "$9001 - $13000", IF(Table2[[#This Row],[MonthlyIncome]]&lt;=17000, "$13001 - $17000", IF(Table2[[#This Row],[MonthlyIncome]]&lt;=21000, "$17001 - $21000")))))</f>
        <v>$5001 - $9000</v>
      </c>
      <c r="P796">
        <v>0</v>
      </c>
      <c r="Q796">
        <v>2</v>
      </c>
      <c r="R796">
        <v>6</v>
      </c>
      <c r="S7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97" spans="1:19" ht="14.25" x14ac:dyDescent="0.2">
      <c r="A797">
        <v>38603547</v>
      </c>
      <c r="B797">
        <v>37</v>
      </c>
      <c r="C797" t="s">
        <v>20</v>
      </c>
      <c r="D797" t="s">
        <v>30</v>
      </c>
      <c r="E797" t="s">
        <v>22</v>
      </c>
      <c r="F797">
        <f>IF(Table2[[#This Row],[Attrition]]="Yes", 1, 0)</f>
        <v>0</v>
      </c>
      <c r="G797" t="s">
        <v>21</v>
      </c>
      <c r="H797" t="s">
        <v>17</v>
      </c>
      <c r="I797">
        <v>10</v>
      </c>
      <c r="J797">
        <v>4</v>
      </c>
      <c r="K797" t="s">
        <v>18</v>
      </c>
      <c r="L797">
        <v>4</v>
      </c>
      <c r="M797">
        <v>4</v>
      </c>
      <c r="N797" s="3">
        <v>6694</v>
      </c>
      <c r="O797" s="3" t="str">
        <f>IF(Table2[[#This Row],[MonthlyIncome]]&lt;=5000, "$1001 - $5000", IF(Table2[[#This Row],[MonthlyIncome]]&lt;=9000, "$5001 - $9000", IF(Table2[[#This Row],[MonthlyIncome]]&lt;=13000, "$9001 - $13000", IF(Table2[[#This Row],[MonthlyIncome]]&lt;=17000, "$13001 - $17000", IF(Table2[[#This Row],[MonthlyIncome]]&lt;=21000, "$17001 - $21000")))))</f>
        <v>$5001 - $9000</v>
      </c>
      <c r="P797">
        <v>2</v>
      </c>
      <c r="Q797">
        <v>3</v>
      </c>
      <c r="R797">
        <v>1</v>
      </c>
      <c r="S7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798" spans="1:19" ht="14.25" x14ac:dyDescent="0.2">
      <c r="A798">
        <v>58688925</v>
      </c>
      <c r="B798">
        <v>25</v>
      </c>
      <c r="C798" t="s">
        <v>25</v>
      </c>
      <c r="D798" t="s">
        <v>24</v>
      </c>
      <c r="E798" t="s">
        <v>16</v>
      </c>
      <c r="F798">
        <f>IF(Table2[[#This Row],[Attrition]]="Yes", 1, 0)</f>
        <v>1</v>
      </c>
      <c r="G798" t="s">
        <v>28</v>
      </c>
      <c r="H798" t="s">
        <v>23</v>
      </c>
      <c r="I798">
        <v>4</v>
      </c>
      <c r="J798">
        <v>1</v>
      </c>
      <c r="K798" t="s">
        <v>37</v>
      </c>
      <c r="L798">
        <v>4</v>
      </c>
      <c r="M798">
        <v>4</v>
      </c>
      <c r="N798" s="3">
        <v>3691</v>
      </c>
      <c r="O798" s="3" t="str">
        <f>IF(Table2[[#This Row],[MonthlyIncome]]&lt;=5000, "$1001 - $5000", IF(Table2[[#This Row],[MonthlyIncome]]&lt;=9000, "$5001 - $9000", IF(Table2[[#This Row],[MonthlyIncome]]&lt;=13000, "$9001 - $13000", IF(Table2[[#This Row],[MonthlyIncome]]&lt;=17000, "$13001 - $17000", IF(Table2[[#This Row],[MonthlyIncome]]&lt;=21000, "$17001 - $21000")))))</f>
        <v>$1001 - $5000</v>
      </c>
      <c r="P798">
        <v>1</v>
      </c>
      <c r="Q798">
        <v>4</v>
      </c>
      <c r="R798">
        <v>7</v>
      </c>
      <c r="S7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799" spans="1:19" ht="14.25" x14ac:dyDescent="0.2">
      <c r="A799">
        <v>41886821</v>
      </c>
      <c r="B799">
        <v>26</v>
      </c>
      <c r="C799" t="s">
        <v>25</v>
      </c>
      <c r="D799" t="s">
        <v>30</v>
      </c>
      <c r="E799" t="s">
        <v>16</v>
      </c>
      <c r="F799">
        <f>IF(Table2[[#This Row],[Attrition]]="Yes", 1, 0)</f>
        <v>1</v>
      </c>
      <c r="G799" t="s">
        <v>28</v>
      </c>
      <c r="H799" t="s">
        <v>23</v>
      </c>
      <c r="I799">
        <v>21</v>
      </c>
      <c r="J799">
        <v>3</v>
      </c>
      <c r="K799" t="s">
        <v>29</v>
      </c>
      <c r="L799">
        <v>1</v>
      </c>
      <c r="M799">
        <v>3</v>
      </c>
      <c r="N799" s="3">
        <v>2377</v>
      </c>
      <c r="O799" s="3" t="str">
        <f>IF(Table2[[#This Row],[MonthlyIncome]]&lt;=5000, "$1001 - $5000", IF(Table2[[#This Row],[MonthlyIncome]]&lt;=9000, "$5001 - $9000", IF(Table2[[#This Row],[MonthlyIncome]]&lt;=13000, "$9001 - $13000", IF(Table2[[#This Row],[MonthlyIncome]]&lt;=17000, "$13001 - $17000", IF(Table2[[#This Row],[MonthlyIncome]]&lt;=21000, "$17001 - $21000")))))</f>
        <v>$1001 - $5000</v>
      </c>
      <c r="P799">
        <v>1</v>
      </c>
      <c r="Q799">
        <v>2</v>
      </c>
      <c r="R799">
        <v>1</v>
      </c>
      <c r="S7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00" spans="1:19" ht="14.25" x14ac:dyDescent="0.2">
      <c r="A800">
        <v>36008161</v>
      </c>
      <c r="B800">
        <v>33</v>
      </c>
      <c r="C800" t="s">
        <v>25</v>
      </c>
      <c r="D800" t="s">
        <v>19</v>
      </c>
      <c r="E800" t="s">
        <v>16</v>
      </c>
      <c r="F800">
        <f>IF(Table2[[#This Row],[Attrition]]="Yes", 1, 0)</f>
        <v>1</v>
      </c>
      <c r="G800" t="s">
        <v>26</v>
      </c>
      <c r="H800" t="s">
        <v>23</v>
      </c>
      <c r="I800">
        <v>25</v>
      </c>
      <c r="J800">
        <v>3</v>
      </c>
      <c r="K800" t="s">
        <v>29</v>
      </c>
      <c r="L800">
        <v>1</v>
      </c>
      <c r="M800">
        <v>2</v>
      </c>
      <c r="N800" s="3">
        <v>2313</v>
      </c>
      <c r="O800" s="3" t="str">
        <f>IF(Table2[[#This Row],[MonthlyIncome]]&lt;=5000, "$1001 - $5000", IF(Table2[[#This Row],[MonthlyIncome]]&lt;=9000, "$5001 - $9000", IF(Table2[[#This Row],[MonthlyIncome]]&lt;=13000, "$9001 - $13000", IF(Table2[[#This Row],[MonthlyIncome]]&lt;=17000, "$13001 - $17000", IF(Table2[[#This Row],[MonthlyIncome]]&lt;=21000, "$17001 - $21000")))))</f>
        <v>$1001 - $5000</v>
      </c>
      <c r="P800">
        <v>4</v>
      </c>
      <c r="Q800">
        <v>3</v>
      </c>
      <c r="R800">
        <v>2</v>
      </c>
      <c r="S8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01" spans="1:19" ht="14.25" x14ac:dyDescent="0.2">
      <c r="A801">
        <v>23387566</v>
      </c>
      <c r="B801">
        <v>42</v>
      </c>
      <c r="C801" t="s">
        <v>25</v>
      </c>
      <c r="D801" t="s">
        <v>24</v>
      </c>
      <c r="E801" t="s">
        <v>22</v>
      </c>
      <c r="F801">
        <f>IF(Table2[[#This Row],[Attrition]]="Yes", 1, 0)</f>
        <v>0</v>
      </c>
      <c r="G801" t="s">
        <v>33</v>
      </c>
      <c r="H801" t="s">
        <v>23</v>
      </c>
      <c r="I801">
        <v>2</v>
      </c>
      <c r="J801">
        <v>2</v>
      </c>
      <c r="K801" t="s">
        <v>29</v>
      </c>
      <c r="L801">
        <v>4</v>
      </c>
      <c r="M801">
        <v>1</v>
      </c>
      <c r="N801" s="3">
        <v>17665</v>
      </c>
      <c r="O801" s="3" t="str">
        <f>IF(Table2[[#This Row],[MonthlyIncome]]&lt;=5000, "$1001 - $5000", IF(Table2[[#This Row],[MonthlyIncome]]&lt;=9000, "$5001 - $9000", IF(Table2[[#This Row],[MonthlyIncome]]&lt;=13000, "$9001 - $13000", IF(Table2[[#This Row],[MonthlyIncome]]&lt;=17000, "$13001 - $17000", IF(Table2[[#This Row],[MonthlyIncome]]&lt;=21000, "$17001 - $21000")))))</f>
        <v>$17001 - $21000</v>
      </c>
      <c r="P801">
        <v>0</v>
      </c>
      <c r="Q801">
        <v>3</v>
      </c>
      <c r="R801">
        <v>22</v>
      </c>
      <c r="S8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802" spans="1:19" ht="14.25" x14ac:dyDescent="0.2">
      <c r="A802">
        <v>43629790</v>
      </c>
      <c r="B802">
        <v>28</v>
      </c>
      <c r="C802" t="s">
        <v>25</v>
      </c>
      <c r="D802" t="s">
        <v>30</v>
      </c>
      <c r="E802" t="s">
        <v>16</v>
      </c>
      <c r="F802">
        <f>IF(Table2[[#This Row],[Attrition]]="Yes", 1, 0)</f>
        <v>1</v>
      </c>
      <c r="G802" t="s">
        <v>28</v>
      </c>
      <c r="H802" t="s">
        <v>23</v>
      </c>
      <c r="I802">
        <v>1</v>
      </c>
      <c r="J802">
        <v>3</v>
      </c>
      <c r="K802" t="s">
        <v>29</v>
      </c>
      <c r="L802">
        <v>1</v>
      </c>
      <c r="M802">
        <v>2</v>
      </c>
      <c r="N802" s="3">
        <v>2596</v>
      </c>
      <c r="O802" s="3" t="str">
        <f>IF(Table2[[#This Row],[MonthlyIncome]]&lt;=5000, "$1001 - $5000", IF(Table2[[#This Row],[MonthlyIncome]]&lt;=9000, "$5001 - $9000", IF(Table2[[#This Row],[MonthlyIncome]]&lt;=13000, "$9001 - $13000", IF(Table2[[#This Row],[MonthlyIncome]]&lt;=17000, "$13001 - $17000", IF(Table2[[#This Row],[MonthlyIncome]]&lt;=21000, "$17001 - $21000")))))</f>
        <v>$1001 - $5000</v>
      </c>
      <c r="P802">
        <v>1</v>
      </c>
      <c r="Q802">
        <v>3</v>
      </c>
      <c r="R802">
        <v>1</v>
      </c>
      <c r="S8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03" spans="1:19" ht="14.25" x14ac:dyDescent="0.2">
      <c r="A803">
        <v>31820360</v>
      </c>
      <c r="B803">
        <v>50</v>
      </c>
      <c r="C803" t="s">
        <v>25</v>
      </c>
      <c r="D803" t="s">
        <v>19</v>
      </c>
      <c r="E803" t="s">
        <v>16</v>
      </c>
      <c r="F803">
        <f>IF(Table2[[#This Row],[Attrition]]="Yes", 1, 0)</f>
        <v>1</v>
      </c>
      <c r="G803" t="s">
        <v>21</v>
      </c>
      <c r="H803" t="s">
        <v>17</v>
      </c>
      <c r="I803">
        <v>1</v>
      </c>
      <c r="J803">
        <v>4</v>
      </c>
      <c r="K803" t="s">
        <v>27</v>
      </c>
      <c r="L803">
        <v>4</v>
      </c>
      <c r="M803">
        <v>3</v>
      </c>
      <c r="N803" s="3">
        <v>4728</v>
      </c>
      <c r="O803" s="3" t="str">
        <f>IF(Table2[[#This Row],[MonthlyIncome]]&lt;=5000, "$1001 - $5000", IF(Table2[[#This Row],[MonthlyIncome]]&lt;=9000, "$5001 - $9000", IF(Table2[[#This Row],[MonthlyIncome]]&lt;=13000, "$9001 - $13000", IF(Table2[[#This Row],[MonthlyIncome]]&lt;=17000, "$13001 - $17000", IF(Table2[[#This Row],[MonthlyIncome]]&lt;=21000, "$17001 - $21000")))))</f>
        <v>$1001 - $5000</v>
      </c>
      <c r="P803">
        <v>3</v>
      </c>
      <c r="Q803">
        <v>3</v>
      </c>
      <c r="R803">
        <v>0</v>
      </c>
      <c r="S8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04" spans="1:19" ht="14.25" x14ac:dyDescent="0.2">
      <c r="A804">
        <v>27336110</v>
      </c>
      <c r="B804">
        <v>33</v>
      </c>
      <c r="C804" t="s">
        <v>20</v>
      </c>
      <c r="D804" t="s">
        <v>24</v>
      </c>
      <c r="E804" t="s">
        <v>22</v>
      </c>
      <c r="F804">
        <f>IF(Table2[[#This Row],[Attrition]]="Yes", 1, 0)</f>
        <v>0</v>
      </c>
      <c r="G804" t="s">
        <v>21</v>
      </c>
      <c r="H804" t="s">
        <v>17</v>
      </c>
      <c r="I804">
        <v>7</v>
      </c>
      <c r="J804">
        <v>3</v>
      </c>
      <c r="K804" t="s">
        <v>18</v>
      </c>
      <c r="L804">
        <v>4</v>
      </c>
      <c r="M804">
        <v>2</v>
      </c>
      <c r="N804" s="3">
        <v>4302</v>
      </c>
      <c r="O804" s="3" t="str">
        <f>IF(Table2[[#This Row],[MonthlyIncome]]&lt;=5000, "$1001 - $5000", IF(Table2[[#This Row],[MonthlyIncome]]&lt;=9000, "$5001 - $9000", IF(Table2[[#This Row],[MonthlyIncome]]&lt;=13000, "$9001 - $13000", IF(Table2[[#This Row],[MonthlyIncome]]&lt;=17000, "$13001 - $17000", IF(Table2[[#This Row],[MonthlyIncome]]&lt;=21000, "$17001 - $21000")))))</f>
        <v>$1001 - $5000</v>
      </c>
      <c r="P804">
        <v>0</v>
      </c>
      <c r="Q804">
        <v>3</v>
      </c>
      <c r="R804">
        <v>3</v>
      </c>
      <c r="S8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05" spans="1:19" ht="14.25" x14ac:dyDescent="0.2">
      <c r="A805">
        <v>42972825</v>
      </c>
      <c r="B805">
        <v>34</v>
      </c>
      <c r="C805" t="s">
        <v>25</v>
      </c>
      <c r="D805" t="s">
        <v>24</v>
      </c>
      <c r="E805" t="s">
        <v>22</v>
      </c>
      <c r="F805">
        <f>IF(Table2[[#This Row],[Attrition]]="Yes", 1, 0)</f>
        <v>0</v>
      </c>
      <c r="G805" t="s">
        <v>26</v>
      </c>
      <c r="H805" t="s">
        <v>23</v>
      </c>
      <c r="I805">
        <v>3</v>
      </c>
      <c r="J805">
        <v>4</v>
      </c>
      <c r="K805" t="s">
        <v>18</v>
      </c>
      <c r="L805">
        <v>3</v>
      </c>
      <c r="M805">
        <v>4</v>
      </c>
      <c r="N805" s="3">
        <v>2979</v>
      </c>
      <c r="O805" s="3" t="str">
        <f>IF(Table2[[#This Row],[MonthlyIncome]]&lt;=5000, "$1001 - $5000", IF(Table2[[#This Row],[MonthlyIncome]]&lt;=9000, "$5001 - $9000", IF(Table2[[#This Row],[MonthlyIncome]]&lt;=13000, "$9001 - $13000", IF(Table2[[#This Row],[MonthlyIncome]]&lt;=17000, "$13001 - $17000", IF(Table2[[#This Row],[MonthlyIncome]]&lt;=21000, "$17001 - $21000")))))</f>
        <v>$1001 - $5000</v>
      </c>
      <c r="P805">
        <v>3</v>
      </c>
      <c r="Q805">
        <v>3</v>
      </c>
      <c r="R805">
        <v>0</v>
      </c>
      <c r="S8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06" spans="1:19" ht="14.25" x14ac:dyDescent="0.2">
      <c r="A806">
        <v>59521099</v>
      </c>
      <c r="B806">
        <v>48</v>
      </c>
      <c r="C806" t="s">
        <v>25</v>
      </c>
      <c r="D806" t="s">
        <v>19</v>
      </c>
      <c r="E806" t="s">
        <v>22</v>
      </c>
      <c r="F806">
        <f>IF(Table2[[#This Row],[Attrition]]="Yes", 1, 0)</f>
        <v>0</v>
      </c>
      <c r="G806" t="s">
        <v>33</v>
      </c>
      <c r="H806" t="s">
        <v>23</v>
      </c>
      <c r="I806">
        <v>1</v>
      </c>
      <c r="J806">
        <v>4</v>
      </c>
      <c r="K806" t="s">
        <v>29</v>
      </c>
      <c r="L806">
        <v>1</v>
      </c>
      <c r="M806">
        <v>4</v>
      </c>
      <c r="N806" s="3">
        <v>16885</v>
      </c>
      <c r="O806" s="3" t="str">
        <f>IF(Table2[[#This Row],[MonthlyIncome]]&lt;=5000, "$1001 - $5000", IF(Table2[[#This Row],[MonthlyIncome]]&lt;=9000, "$5001 - $9000", IF(Table2[[#This Row],[MonthlyIncome]]&lt;=13000, "$9001 - $13000", IF(Table2[[#This Row],[MonthlyIncome]]&lt;=17000, "$13001 - $17000", IF(Table2[[#This Row],[MonthlyIncome]]&lt;=21000, "$17001 - $21000")))))</f>
        <v>$13001 - $17000</v>
      </c>
      <c r="P806">
        <v>2</v>
      </c>
      <c r="Q806">
        <v>2</v>
      </c>
      <c r="R806">
        <v>5</v>
      </c>
      <c r="S8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07" spans="1:19" ht="14.25" x14ac:dyDescent="0.2">
      <c r="A807">
        <v>84822439</v>
      </c>
      <c r="B807">
        <v>45</v>
      </c>
      <c r="C807" t="s">
        <v>20</v>
      </c>
      <c r="D807" t="s">
        <v>24</v>
      </c>
      <c r="E807" t="s">
        <v>22</v>
      </c>
      <c r="F807">
        <f>IF(Table2[[#This Row],[Attrition]]="Yes", 1, 0)</f>
        <v>0</v>
      </c>
      <c r="G807" t="s">
        <v>21</v>
      </c>
      <c r="H807" t="s">
        <v>17</v>
      </c>
      <c r="I807">
        <v>9</v>
      </c>
      <c r="J807">
        <v>4</v>
      </c>
      <c r="K807" t="s">
        <v>18</v>
      </c>
      <c r="L807">
        <v>2</v>
      </c>
      <c r="M807">
        <v>3</v>
      </c>
      <c r="N807" s="3">
        <v>5593</v>
      </c>
      <c r="O807" s="3" t="str">
        <f>IF(Table2[[#This Row],[MonthlyIncome]]&lt;=5000, "$1001 - $5000", IF(Table2[[#This Row],[MonthlyIncome]]&lt;=9000, "$5001 - $9000", IF(Table2[[#This Row],[MonthlyIncome]]&lt;=13000, "$9001 - $13000", IF(Table2[[#This Row],[MonthlyIncome]]&lt;=17000, "$13001 - $17000", IF(Table2[[#This Row],[MonthlyIncome]]&lt;=21000, "$17001 - $21000")))))</f>
        <v>$5001 - $9000</v>
      </c>
      <c r="P807">
        <v>1</v>
      </c>
      <c r="Q807">
        <v>3</v>
      </c>
      <c r="R807">
        <v>15</v>
      </c>
      <c r="S8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808" spans="1:19" ht="14.25" x14ac:dyDescent="0.2">
      <c r="A808">
        <v>78130150</v>
      </c>
      <c r="B808">
        <v>52</v>
      </c>
      <c r="C808" t="s">
        <v>25</v>
      </c>
      <c r="D808" t="s">
        <v>19</v>
      </c>
      <c r="E808" t="s">
        <v>22</v>
      </c>
      <c r="F808">
        <f>IF(Table2[[#This Row],[Attrition]]="Yes", 1, 0)</f>
        <v>0</v>
      </c>
      <c r="G808" t="s">
        <v>32</v>
      </c>
      <c r="H808" t="s">
        <v>23</v>
      </c>
      <c r="I808">
        <v>7</v>
      </c>
      <c r="J808">
        <v>4</v>
      </c>
      <c r="K808" t="s">
        <v>18</v>
      </c>
      <c r="L808">
        <v>2</v>
      </c>
      <c r="M808">
        <v>2</v>
      </c>
      <c r="N808" s="3">
        <v>10445</v>
      </c>
      <c r="O808" s="3" t="str">
        <f>IF(Table2[[#This Row],[MonthlyIncome]]&lt;=5000, "$1001 - $5000", IF(Table2[[#This Row],[MonthlyIncome]]&lt;=9000, "$5001 - $9000", IF(Table2[[#This Row],[MonthlyIncome]]&lt;=13000, "$9001 - $13000", IF(Table2[[#This Row],[MonthlyIncome]]&lt;=17000, "$13001 - $17000", IF(Table2[[#This Row],[MonthlyIncome]]&lt;=21000, "$17001 - $21000")))))</f>
        <v>$9001 - $13000</v>
      </c>
      <c r="P808">
        <v>7</v>
      </c>
      <c r="Q808">
        <v>3</v>
      </c>
      <c r="R808">
        <v>8</v>
      </c>
      <c r="S8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09" spans="1:19" ht="14.25" x14ac:dyDescent="0.2">
      <c r="A809">
        <v>55921921</v>
      </c>
      <c r="B809">
        <v>38</v>
      </c>
      <c r="C809" t="s">
        <v>25</v>
      </c>
      <c r="D809" t="s">
        <v>30</v>
      </c>
      <c r="E809" t="s">
        <v>22</v>
      </c>
      <c r="F809">
        <f>IF(Table2[[#This Row],[Attrition]]="Yes", 1, 0)</f>
        <v>0</v>
      </c>
      <c r="G809" t="s">
        <v>21</v>
      </c>
      <c r="H809" t="s">
        <v>17</v>
      </c>
      <c r="I809">
        <v>10</v>
      </c>
      <c r="J809">
        <v>4</v>
      </c>
      <c r="K809" t="s">
        <v>36</v>
      </c>
      <c r="L809">
        <v>3</v>
      </c>
      <c r="M809">
        <v>3</v>
      </c>
      <c r="N809" s="3">
        <v>8740</v>
      </c>
      <c r="O809" s="3" t="str">
        <f>IF(Table2[[#This Row],[MonthlyIncome]]&lt;=5000, "$1001 - $5000", IF(Table2[[#This Row],[MonthlyIncome]]&lt;=9000, "$5001 - $9000", IF(Table2[[#This Row],[MonthlyIncome]]&lt;=13000, "$9001 - $13000", IF(Table2[[#This Row],[MonthlyIncome]]&lt;=17000, "$13001 - $17000", IF(Table2[[#This Row],[MonthlyIncome]]&lt;=21000, "$17001 - $21000")))))</f>
        <v>$5001 - $9000</v>
      </c>
      <c r="P809">
        <v>0</v>
      </c>
      <c r="Q809">
        <v>3</v>
      </c>
      <c r="R809">
        <v>8</v>
      </c>
      <c r="S8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10" spans="1:19" ht="14.25" x14ac:dyDescent="0.2">
      <c r="A810">
        <v>83112661</v>
      </c>
      <c r="B810">
        <v>29</v>
      </c>
      <c r="C810" t="s">
        <v>20</v>
      </c>
      <c r="D810" t="s">
        <v>30</v>
      </c>
      <c r="E810" t="s">
        <v>22</v>
      </c>
      <c r="F810">
        <f>IF(Table2[[#This Row],[Attrition]]="Yes", 1, 0)</f>
        <v>0</v>
      </c>
      <c r="G810" t="s">
        <v>26</v>
      </c>
      <c r="H810" t="s">
        <v>23</v>
      </c>
      <c r="I810">
        <v>28</v>
      </c>
      <c r="J810">
        <v>4</v>
      </c>
      <c r="K810" t="s">
        <v>18</v>
      </c>
      <c r="L810">
        <v>3</v>
      </c>
      <c r="M810">
        <v>4</v>
      </c>
      <c r="N810" s="3">
        <v>2514</v>
      </c>
      <c r="O810" s="3" t="str">
        <f>IF(Table2[[#This Row],[MonthlyIncome]]&lt;=5000, "$1001 - $5000", IF(Table2[[#This Row],[MonthlyIncome]]&lt;=9000, "$5001 - $9000", IF(Table2[[#This Row],[MonthlyIncome]]&lt;=13000, "$9001 - $13000", IF(Table2[[#This Row],[MonthlyIncome]]&lt;=17000, "$13001 - $17000", IF(Table2[[#This Row],[MonthlyIncome]]&lt;=21000, "$17001 - $21000")))))</f>
        <v>$1001 - $5000</v>
      </c>
      <c r="P810">
        <v>4</v>
      </c>
      <c r="Q810">
        <v>3</v>
      </c>
      <c r="R810">
        <v>7</v>
      </c>
      <c r="S8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11" spans="1:19" ht="14.25" x14ac:dyDescent="0.2">
      <c r="A811">
        <v>36442652</v>
      </c>
      <c r="B811">
        <v>28</v>
      </c>
      <c r="C811" t="s">
        <v>20</v>
      </c>
      <c r="D811" t="s">
        <v>30</v>
      </c>
      <c r="E811" t="s">
        <v>22</v>
      </c>
      <c r="F811">
        <f>IF(Table2[[#This Row],[Attrition]]="Yes", 1, 0)</f>
        <v>0</v>
      </c>
      <c r="G811" t="s">
        <v>31</v>
      </c>
      <c r="H811" t="s">
        <v>23</v>
      </c>
      <c r="I811">
        <v>3</v>
      </c>
      <c r="J811">
        <v>3</v>
      </c>
      <c r="K811" t="s">
        <v>29</v>
      </c>
      <c r="L811">
        <v>4</v>
      </c>
      <c r="M811">
        <v>2</v>
      </c>
      <c r="N811" s="3">
        <v>7655</v>
      </c>
      <c r="O811" s="3" t="str">
        <f>IF(Table2[[#This Row],[MonthlyIncome]]&lt;=5000, "$1001 - $5000", IF(Table2[[#This Row],[MonthlyIncome]]&lt;=9000, "$5001 - $9000", IF(Table2[[#This Row],[MonthlyIncome]]&lt;=13000, "$9001 - $13000", IF(Table2[[#This Row],[MonthlyIncome]]&lt;=17000, "$13001 - $17000", IF(Table2[[#This Row],[MonthlyIncome]]&lt;=21000, "$17001 - $21000")))))</f>
        <v>$5001 - $9000</v>
      </c>
      <c r="P811">
        <v>0</v>
      </c>
      <c r="Q811">
        <v>2</v>
      </c>
      <c r="R811">
        <v>9</v>
      </c>
      <c r="S8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12" spans="1:19" ht="14.25" x14ac:dyDescent="0.2">
      <c r="A812">
        <v>62947211</v>
      </c>
      <c r="B812">
        <v>46</v>
      </c>
      <c r="C812" t="s">
        <v>25</v>
      </c>
      <c r="D812" t="s">
        <v>24</v>
      </c>
      <c r="E812" t="s">
        <v>22</v>
      </c>
      <c r="F812">
        <f>IF(Table2[[#This Row],[Attrition]]="Yes", 1, 0)</f>
        <v>0</v>
      </c>
      <c r="G812" t="s">
        <v>33</v>
      </c>
      <c r="H812" t="s">
        <v>17</v>
      </c>
      <c r="I812">
        <v>3</v>
      </c>
      <c r="J812">
        <v>1</v>
      </c>
      <c r="K812" t="s">
        <v>36</v>
      </c>
      <c r="L812">
        <v>1</v>
      </c>
      <c r="M812">
        <v>3</v>
      </c>
      <c r="N812" s="3">
        <v>17465</v>
      </c>
      <c r="O812" s="3" t="str">
        <f>IF(Table2[[#This Row],[MonthlyIncome]]&lt;=5000, "$1001 - $5000", IF(Table2[[#This Row],[MonthlyIncome]]&lt;=9000, "$5001 - $9000", IF(Table2[[#This Row],[MonthlyIncome]]&lt;=13000, "$9001 - $13000", IF(Table2[[#This Row],[MonthlyIncome]]&lt;=17000, "$13001 - $17000", IF(Table2[[#This Row],[MonthlyIncome]]&lt;=21000, "$17001 - $21000")))))</f>
        <v>$17001 - $21000</v>
      </c>
      <c r="P812">
        <v>3</v>
      </c>
      <c r="Q812">
        <v>3</v>
      </c>
      <c r="R812">
        <v>12</v>
      </c>
      <c r="S8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13" spans="1:19" ht="14.25" x14ac:dyDescent="0.2">
      <c r="A813">
        <v>43723094</v>
      </c>
      <c r="B813">
        <v>38</v>
      </c>
      <c r="C813" t="s">
        <v>25</v>
      </c>
      <c r="D813" t="s">
        <v>19</v>
      </c>
      <c r="E813" t="s">
        <v>22</v>
      </c>
      <c r="F813">
        <f>IF(Table2[[#This Row],[Attrition]]="Yes", 1, 0)</f>
        <v>0</v>
      </c>
      <c r="G813" t="s">
        <v>21</v>
      </c>
      <c r="H813" t="s">
        <v>17</v>
      </c>
      <c r="I813">
        <v>2</v>
      </c>
      <c r="J813">
        <v>2</v>
      </c>
      <c r="K813" t="s">
        <v>36</v>
      </c>
      <c r="L813">
        <v>4</v>
      </c>
      <c r="M813">
        <v>2</v>
      </c>
      <c r="N813" s="3">
        <v>7351</v>
      </c>
      <c r="O813" s="3" t="str">
        <f>IF(Table2[[#This Row],[MonthlyIncome]]&lt;=5000, "$1001 - $5000", IF(Table2[[#This Row],[MonthlyIncome]]&lt;=9000, "$5001 - $9000", IF(Table2[[#This Row],[MonthlyIncome]]&lt;=13000, "$9001 - $13000", IF(Table2[[#This Row],[MonthlyIncome]]&lt;=17000, "$13001 - $17000", IF(Table2[[#This Row],[MonthlyIncome]]&lt;=21000, "$17001 - $21000")))))</f>
        <v>$5001 - $9000</v>
      </c>
      <c r="P813">
        <v>7</v>
      </c>
      <c r="Q813">
        <v>3</v>
      </c>
      <c r="R813">
        <v>1</v>
      </c>
      <c r="S8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14" spans="1:19" ht="14.25" x14ac:dyDescent="0.2">
      <c r="A814">
        <v>29867509</v>
      </c>
      <c r="B814">
        <v>43</v>
      </c>
      <c r="C814" t="s">
        <v>20</v>
      </c>
      <c r="D814" t="s">
        <v>24</v>
      </c>
      <c r="E814" t="s">
        <v>22</v>
      </c>
      <c r="F814">
        <f>IF(Table2[[#This Row],[Attrition]]="Yes", 1, 0)</f>
        <v>0</v>
      </c>
      <c r="G814" t="s">
        <v>31</v>
      </c>
      <c r="H814" t="s">
        <v>23</v>
      </c>
      <c r="I814">
        <v>27</v>
      </c>
      <c r="J814">
        <v>3</v>
      </c>
      <c r="K814" t="s">
        <v>18</v>
      </c>
      <c r="L814">
        <v>3</v>
      </c>
      <c r="M814">
        <v>1</v>
      </c>
      <c r="N814" s="3">
        <v>10820</v>
      </c>
      <c r="O814" s="3" t="str">
        <f>IF(Table2[[#This Row],[MonthlyIncome]]&lt;=5000, "$1001 - $5000", IF(Table2[[#This Row],[MonthlyIncome]]&lt;=9000, "$5001 - $9000", IF(Table2[[#This Row],[MonthlyIncome]]&lt;=13000, "$9001 - $13000", IF(Table2[[#This Row],[MonthlyIncome]]&lt;=17000, "$13001 - $17000", IF(Table2[[#This Row],[MonthlyIncome]]&lt;=21000, "$17001 - $21000")))))</f>
        <v>$9001 - $13000</v>
      </c>
      <c r="P814">
        <v>8</v>
      </c>
      <c r="Q814">
        <v>3</v>
      </c>
      <c r="R814">
        <v>8</v>
      </c>
      <c r="S8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15" spans="1:19" ht="14.25" x14ac:dyDescent="0.2">
      <c r="A815">
        <v>57325658</v>
      </c>
      <c r="B815">
        <v>39</v>
      </c>
      <c r="C815" t="s">
        <v>25</v>
      </c>
      <c r="D815" t="s">
        <v>30</v>
      </c>
      <c r="E815" t="s">
        <v>16</v>
      </c>
      <c r="F815">
        <f>IF(Table2[[#This Row],[Attrition]]="Yes", 1, 0)</f>
        <v>1</v>
      </c>
      <c r="G815" t="s">
        <v>32</v>
      </c>
      <c r="H815" t="s">
        <v>23</v>
      </c>
      <c r="I815">
        <v>2</v>
      </c>
      <c r="J815">
        <v>3</v>
      </c>
      <c r="K815" t="s">
        <v>18</v>
      </c>
      <c r="L815">
        <v>1</v>
      </c>
      <c r="M815">
        <v>4</v>
      </c>
      <c r="N815" s="3">
        <v>12169</v>
      </c>
      <c r="O815" s="3" t="str">
        <f>IF(Table2[[#This Row],[MonthlyIncome]]&lt;=5000, "$1001 - $5000", IF(Table2[[#This Row],[MonthlyIncome]]&lt;=9000, "$5001 - $9000", IF(Table2[[#This Row],[MonthlyIncome]]&lt;=13000, "$9001 - $13000", IF(Table2[[#This Row],[MonthlyIncome]]&lt;=17000, "$13001 - $17000", IF(Table2[[#This Row],[MonthlyIncome]]&lt;=21000, "$17001 - $21000")))))</f>
        <v>$9001 - $13000</v>
      </c>
      <c r="P815">
        <v>7</v>
      </c>
      <c r="Q815">
        <v>3</v>
      </c>
      <c r="R815">
        <v>18</v>
      </c>
      <c r="S8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816" spans="1:19" ht="14.25" x14ac:dyDescent="0.2">
      <c r="A816">
        <v>21460751</v>
      </c>
      <c r="B816">
        <v>40</v>
      </c>
      <c r="C816" t="s">
        <v>25</v>
      </c>
      <c r="D816" t="s">
        <v>19</v>
      </c>
      <c r="E816" t="s">
        <v>22</v>
      </c>
      <c r="F816">
        <f>IF(Table2[[#This Row],[Attrition]]="Yes", 1, 0)</f>
        <v>0</v>
      </c>
      <c r="G816" t="s">
        <v>35</v>
      </c>
      <c r="H816" t="s">
        <v>23</v>
      </c>
      <c r="I816">
        <v>14</v>
      </c>
      <c r="J816">
        <v>3</v>
      </c>
      <c r="K816" t="s">
        <v>29</v>
      </c>
      <c r="L816">
        <v>3</v>
      </c>
      <c r="M816">
        <v>3</v>
      </c>
      <c r="N816" s="3">
        <v>19626</v>
      </c>
      <c r="O816" s="3" t="str">
        <f>IF(Table2[[#This Row],[MonthlyIncome]]&lt;=5000, "$1001 - $5000", IF(Table2[[#This Row],[MonthlyIncome]]&lt;=9000, "$5001 - $9000", IF(Table2[[#This Row],[MonthlyIncome]]&lt;=13000, "$9001 - $13000", IF(Table2[[#This Row],[MonthlyIncome]]&lt;=17000, "$13001 - $17000", IF(Table2[[#This Row],[MonthlyIncome]]&lt;=21000, "$17001 - $21000")))))</f>
        <v>$17001 - $21000</v>
      </c>
      <c r="P816">
        <v>1</v>
      </c>
      <c r="Q816">
        <v>4</v>
      </c>
      <c r="R816">
        <v>20</v>
      </c>
      <c r="S8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817" spans="1:19" ht="14.25" x14ac:dyDescent="0.2">
      <c r="A817">
        <v>52729539</v>
      </c>
      <c r="B817">
        <v>21</v>
      </c>
      <c r="C817" t="s">
        <v>20</v>
      </c>
      <c r="D817" t="s">
        <v>19</v>
      </c>
      <c r="E817" t="s">
        <v>22</v>
      </c>
      <c r="F817">
        <f>IF(Table2[[#This Row],[Attrition]]="Yes", 1, 0)</f>
        <v>0</v>
      </c>
      <c r="G817" t="s">
        <v>26</v>
      </c>
      <c r="H817" t="s">
        <v>23</v>
      </c>
      <c r="I817">
        <v>1</v>
      </c>
      <c r="J817">
        <v>1</v>
      </c>
      <c r="K817" t="s">
        <v>37</v>
      </c>
      <c r="L817">
        <v>4</v>
      </c>
      <c r="M817">
        <v>2</v>
      </c>
      <c r="N817" s="3">
        <v>2070</v>
      </c>
      <c r="O817" s="3" t="str">
        <f>IF(Table2[[#This Row],[MonthlyIncome]]&lt;=5000, "$1001 - $5000", IF(Table2[[#This Row],[MonthlyIncome]]&lt;=9000, "$5001 - $9000", IF(Table2[[#This Row],[MonthlyIncome]]&lt;=13000, "$9001 - $13000", IF(Table2[[#This Row],[MonthlyIncome]]&lt;=17000, "$13001 - $17000", IF(Table2[[#This Row],[MonthlyIncome]]&lt;=21000, "$17001 - $21000")))))</f>
        <v>$1001 - $5000</v>
      </c>
      <c r="P817">
        <v>1</v>
      </c>
      <c r="Q817">
        <v>4</v>
      </c>
      <c r="R817">
        <v>2</v>
      </c>
      <c r="S8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18" spans="1:19" ht="14.25" x14ac:dyDescent="0.2">
      <c r="A818">
        <v>55170594</v>
      </c>
      <c r="B818">
        <v>39</v>
      </c>
      <c r="C818" t="s">
        <v>25</v>
      </c>
      <c r="D818" t="s">
        <v>19</v>
      </c>
      <c r="E818" t="s">
        <v>22</v>
      </c>
      <c r="F818">
        <f>IF(Table2[[#This Row],[Attrition]]="Yes", 1, 0)</f>
        <v>0</v>
      </c>
      <c r="G818" t="s">
        <v>28</v>
      </c>
      <c r="H818" t="s">
        <v>23</v>
      </c>
      <c r="I818">
        <v>9</v>
      </c>
      <c r="J818">
        <v>3</v>
      </c>
      <c r="K818" t="s">
        <v>18</v>
      </c>
      <c r="L818">
        <v>3</v>
      </c>
      <c r="M818">
        <v>2</v>
      </c>
      <c r="N818" s="3">
        <v>6782</v>
      </c>
      <c r="O818" s="3" t="str">
        <f>IF(Table2[[#This Row],[MonthlyIncome]]&lt;=5000, "$1001 - $5000", IF(Table2[[#This Row],[MonthlyIncome]]&lt;=9000, "$5001 - $9000", IF(Table2[[#This Row],[MonthlyIncome]]&lt;=13000, "$9001 - $13000", IF(Table2[[#This Row],[MonthlyIncome]]&lt;=17000, "$13001 - $17000", IF(Table2[[#This Row],[MonthlyIncome]]&lt;=21000, "$17001 - $21000")))))</f>
        <v>$5001 - $9000</v>
      </c>
      <c r="P818">
        <v>9</v>
      </c>
      <c r="Q818">
        <v>2</v>
      </c>
      <c r="R818">
        <v>5</v>
      </c>
      <c r="S8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19" spans="1:19" ht="14.25" x14ac:dyDescent="0.2">
      <c r="A819">
        <v>73968703</v>
      </c>
      <c r="B819">
        <v>36</v>
      </c>
      <c r="C819" t="s">
        <v>25</v>
      </c>
      <c r="D819" t="s">
        <v>19</v>
      </c>
      <c r="E819" t="s">
        <v>22</v>
      </c>
      <c r="F819">
        <f>IF(Table2[[#This Row],[Attrition]]="Yes", 1, 0)</f>
        <v>0</v>
      </c>
      <c r="G819" t="s">
        <v>31</v>
      </c>
      <c r="H819" t="s">
        <v>23</v>
      </c>
      <c r="I819">
        <v>18</v>
      </c>
      <c r="J819">
        <v>4</v>
      </c>
      <c r="K819" t="s">
        <v>18</v>
      </c>
      <c r="L819">
        <v>1</v>
      </c>
      <c r="M819">
        <v>4</v>
      </c>
      <c r="N819" s="3">
        <v>7779</v>
      </c>
      <c r="O819" s="3" t="str">
        <f>IF(Table2[[#This Row],[MonthlyIncome]]&lt;=5000, "$1001 - $5000", IF(Table2[[#This Row],[MonthlyIncome]]&lt;=9000, "$5001 - $9000", IF(Table2[[#This Row],[MonthlyIncome]]&lt;=13000, "$9001 - $13000", IF(Table2[[#This Row],[MonthlyIncome]]&lt;=17000, "$13001 - $17000", IF(Table2[[#This Row],[MonthlyIncome]]&lt;=21000, "$17001 - $21000")))))</f>
        <v>$5001 - $9000</v>
      </c>
      <c r="P819">
        <v>2</v>
      </c>
      <c r="Q819">
        <v>3</v>
      </c>
      <c r="R819">
        <v>11</v>
      </c>
      <c r="S8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20" spans="1:19" ht="14.25" x14ac:dyDescent="0.2">
      <c r="A820">
        <v>36688619</v>
      </c>
      <c r="B820">
        <v>31</v>
      </c>
      <c r="C820" t="s">
        <v>25</v>
      </c>
      <c r="D820" t="s">
        <v>24</v>
      </c>
      <c r="E820" t="s">
        <v>22</v>
      </c>
      <c r="F820">
        <f>IF(Table2[[#This Row],[Attrition]]="Yes", 1, 0)</f>
        <v>0</v>
      </c>
      <c r="G820" t="s">
        <v>34</v>
      </c>
      <c r="H820" t="s">
        <v>17</v>
      </c>
      <c r="I820">
        <v>20</v>
      </c>
      <c r="J820">
        <v>3</v>
      </c>
      <c r="K820" t="s">
        <v>18</v>
      </c>
      <c r="L820">
        <v>3</v>
      </c>
      <c r="M820">
        <v>4</v>
      </c>
      <c r="N820" s="3">
        <v>2791</v>
      </c>
      <c r="O820" s="3" t="str">
        <f>IF(Table2[[#This Row],[MonthlyIncome]]&lt;=5000, "$1001 - $5000", IF(Table2[[#This Row],[MonthlyIncome]]&lt;=9000, "$5001 - $9000", IF(Table2[[#This Row],[MonthlyIncome]]&lt;=13000, "$9001 - $13000", IF(Table2[[#This Row],[MonthlyIncome]]&lt;=17000, "$13001 - $17000", IF(Table2[[#This Row],[MonthlyIncome]]&lt;=21000, "$17001 - $21000")))))</f>
        <v>$1001 - $5000</v>
      </c>
      <c r="P820">
        <v>0</v>
      </c>
      <c r="Q820">
        <v>3</v>
      </c>
      <c r="R820">
        <v>2</v>
      </c>
      <c r="S8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21" spans="1:19" ht="14.25" x14ac:dyDescent="0.2">
      <c r="A821">
        <v>66323379</v>
      </c>
      <c r="B821">
        <v>28</v>
      </c>
      <c r="C821" t="s">
        <v>25</v>
      </c>
      <c r="D821" t="s">
        <v>24</v>
      </c>
      <c r="E821" t="s">
        <v>22</v>
      </c>
      <c r="F821">
        <f>IF(Table2[[#This Row],[Attrition]]="Yes", 1, 0)</f>
        <v>0</v>
      </c>
      <c r="G821" t="s">
        <v>26</v>
      </c>
      <c r="H821" t="s">
        <v>23</v>
      </c>
      <c r="I821">
        <v>2</v>
      </c>
      <c r="J821">
        <v>1</v>
      </c>
      <c r="K821" t="s">
        <v>18</v>
      </c>
      <c r="L821">
        <v>1</v>
      </c>
      <c r="M821">
        <v>2</v>
      </c>
      <c r="N821" s="3">
        <v>3201</v>
      </c>
      <c r="O821" s="3" t="str">
        <f>IF(Table2[[#This Row],[MonthlyIncome]]&lt;=5000, "$1001 - $5000", IF(Table2[[#This Row],[MonthlyIncome]]&lt;=9000, "$5001 - $9000", IF(Table2[[#This Row],[MonthlyIncome]]&lt;=13000, "$9001 - $13000", IF(Table2[[#This Row],[MonthlyIncome]]&lt;=17000, "$13001 - $17000", IF(Table2[[#This Row],[MonthlyIncome]]&lt;=21000, "$17001 - $21000")))))</f>
        <v>$1001 - $5000</v>
      </c>
      <c r="P821">
        <v>0</v>
      </c>
      <c r="Q821">
        <v>1</v>
      </c>
      <c r="R821">
        <v>5</v>
      </c>
      <c r="S8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22" spans="1:19" ht="14.25" x14ac:dyDescent="0.2">
      <c r="A822">
        <v>15101277</v>
      </c>
      <c r="B822">
        <v>35</v>
      </c>
      <c r="C822" t="s">
        <v>25</v>
      </c>
      <c r="D822" t="s">
        <v>30</v>
      </c>
      <c r="E822" t="s">
        <v>22</v>
      </c>
      <c r="F822">
        <f>IF(Table2[[#This Row],[Attrition]]="Yes", 1, 0)</f>
        <v>0</v>
      </c>
      <c r="G822" t="s">
        <v>21</v>
      </c>
      <c r="H822" t="s">
        <v>17</v>
      </c>
      <c r="I822">
        <v>11</v>
      </c>
      <c r="J822">
        <v>2</v>
      </c>
      <c r="K822" t="s">
        <v>36</v>
      </c>
      <c r="L822">
        <v>4</v>
      </c>
      <c r="M822">
        <v>4</v>
      </c>
      <c r="N822" s="3">
        <v>4968</v>
      </c>
      <c r="O822" s="3" t="str">
        <f>IF(Table2[[#This Row],[MonthlyIncome]]&lt;=5000, "$1001 - $5000", IF(Table2[[#This Row],[MonthlyIncome]]&lt;=9000, "$5001 - $9000", IF(Table2[[#This Row],[MonthlyIncome]]&lt;=13000, "$9001 - $13000", IF(Table2[[#This Row],[MonthlyIncome]]&lt;=17000, "$13001 - $17000", IF(Table2[[#This Row],[MonthlyIncome]]&lt;=21000, "$17001 - $21000")))))</f>
        <v>$1001 - $5000</v>
      </c>
      <c r="P822">
        <v>1</v>
      </c>
      <c r="Q822">
        <v>3</v>
      </c>
      <c r="R822">
        <v>5</v>
      </c>
      <c r="S8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23" spans="1:19" ht="14.25" x14ac:dyDescent="0.2">
      <c r="A823">
        <v>20982434</v>
      </c>
      <c r="B823">
        <v>49</v>
      </c>
      <c r="C823" t="s">
        <v>25</v>
      </c>
      <c r="D823" t="s">
        <v>24</v>
      </c>
      <c r="E823" t="s">
        <v>22</v>
      </c>
      <c r="F823">
        <f>IF(Table2[[#This Row],[Attrition]]="Yes", 1, 0)</f>
        <v>0</v>
      </c>
      <c r="G823" t="s">
        <v>21</v>
      </c>
      <c r="H823" t="s">
        <v>17</v>
      </c>
      <c r="I823">
        <v>8</v>
      </c>
      <c r="J823">
        <v>4</v>
      </c>
      <c r="K823" t="s">
        <v>37</v>
      </c>
      <c r="L823">
        <v>4</v>
      </c>
      <c r="M823">
        <v>2</v>
      </c>
      <c r="N823" s="3">
        <v>13120</v>
      </c>
      <c r="O823" s="3" t="str">
        <f>IF(Table2[[#This Row],[MonthlyIncome]]&lt;=5000, "$1001 - $5000", IF(Table2[[#This Row],[MonthlyIncome]]&lt;=9000, "$5001 - $9000", IF(Table2[[#This Row],[MonthlyIncome]]&lt;=13000, "$9001 - $13000", IF(Table2[[#This Row],[MonthlyIncome]]&lt;=17000, "$13001 - $17000", IF(Table2[[#This Row],[MonthlyIncome]]&lt;=21000, "$17001 - $21000")))))</f>
        <v>$13001 - $17000</v>
      </c>
      <c r="P823">
        <v>6</v>
      </c>
      <c r="Q823">
        <v>3</v>
      </c>
      <c r="R823">
        <v>9</v>
      </c>
      <c r="S8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24" spans="1:19" ht="14.25" x14ac:dyDescent="0.2">
      <c r="A824">
        <v>70307518</v>
      </c>
      <c r="B824">
        <v>34</v>
      </c>
      <c r="C824" t="s">
        <v>25</v>
      </c>
      <c r="D824" t="s">
        <v>19</v>
      </c>
      <c r="E824" t="s">
        <v>22</v>
      </c>
      <c r="F824">
        <f>IF(Table2[[#This Row],[Attrition]]="Yes", 1, 0)</f>
        <v>0</v>
      </c>
      <c r="G824" t="s">
        <v>31</v>
      </c>
      <c r="H824" t="s">
        <v>23</v>
      </c>
      <c r="I824">
        <v>2</v>
      </c>
      <c r="J824">
        <v>2</v>
      </c>
      <c r="K824" t="s">
        <v>18</v>
      </c>
      <c r="L824">
        <v>4</v>
      </c>
      <c r="M824">
        <v>3</v>
      </c>
      <c r="N824" s="3">
        <v>4033</v>
      </c>
      <c r="O824" s="3" t="str">
        <f>IF(Table2[[#This Row],[MonthlyIncome]]&lt;=5000, "$1001 - $5000", IF(Table2[[#This Row],[MonthlyIncome]]&lt;=9000, "$5001 - $9000", IF(Table2[[#This Row],[MonthlyIncome]]&lt;=13000, "$9001 - $13000", IF(Table2[[#This Row],[MonthlyIncome]]&lt;=17000, "$13001 - $17000", IF(Table2[[#This Row],[MonthlyIncome]]&lt;=21000, "$17001 - $21000")))))</f>
        <v>$1001 - $5000</v>
      </c>
      <c r="P824">
        <v>2</v>
      </c>
      <c r="Q824">
        <v>2</v>
      </c>
      <c r="R824">
        <v>3</v>
      </c>
      <c r="S8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25" spans="1:19" ht="14.25" x14ac:dyDescent="0.2">
      <c r="A825">
        <v>44256365</v>
      </c>
      <c r="B825">
        <v>29</v>
      </c>
      <c r="C825" t="s">
        <v>20</v>
      </c>
      <c r="D825" t="s">
        <v>30</v>
      </c>
      <c r="E825" t="s">
        <v>22</v>
      </c>
      <c r="F825">
        <f>IF(Table2[[#This Row],[Attrition]]="Yes", 1, 0)</f>
        <v>0</v>
      </c>
      <c r="G825" t="s">
        <v>26</v>
      </c>
      <c r="H825" t="s">
        <v>23</v>
      </c>
      <c r="I825">
        <v>10</v>
      </c>
      <c r="J825">
        <v>3</v>
      </c>
      <c r="K825" t="s">
        <v>18</v>
      </c>
      <c r="L825">
        <v>4</v>
      </c>
      <c r="M825">
        <v>2</v>
      </c>
      <c r="N825" s="3">
        <v>3291</v>
      </c>
      <c r="O825" s="3" t="str">
        <f>IF(Table2[[#This Row],[MonthlyIncome]]&lt;=5000, "$1001 - $5000", IF(Table2[[#This Row],[MonthlyIncome]]&lt;=9000, "$5001 - $9000", IF(Table2[[#This Row],[MonthlyIncome]]&lt;=13000, "$9001 - $13000", IF(Table2[[#This Row],[MonthlyIncome]]&lt;=17000, "$13001 - $17000", IF(Table2[[#This Row],[MonthlyIncome]]&lt;=21000, "$17001 - $21000")))))</f>
        <v>$1001 - $5000</v>
      </c>
      <c r="P825">
        <v>0</v>
      </c>
      <c r="Q825">
        <v>2</v>
      </c>
      <c r="R825">
        <v>7</v>
      </c>
      <c r="S8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26" spans="1:19" ht="14.25" x14ac:dyDescent="0.2">
      <c r="A826">
        <v>76851243</v>
      </c>
      <c r="B826">
        <v>42</v>
      </c>
      <c r="C826" t="s">
        <v>25</v>
      </c>
      <c r="D826" t="s">
        <v>19</v>
      </c>
      <c r="E826" t="s">
        <v>22</v>
      </c>
      <c r="F826">
        <f>IF(Table2[[#This Row],[Attrition]]="Yes", 1, 0)</f>
        <v>0</v>
      </c>
      <c r="G826" t="s">
        <v>28</v>
      </c>
      <c r="H826" t="s">
        <v>23</v>
      </c>
      <c r="I826">
        <v>29</v>
      </c>
      <c r="J826">
        <v>3</v>
      </c>
      <c r="K826" t="s">
        <v>29</v>
      </c>
      <c r="L826">
        <v>2</v>
      </c>
      <c r="M826">
        <v>4</v>
      </c>
      <c r="N826" s="3">
        <v>4272</v>
      </c>
      <c r="O826" s="3" t="str">
        <f>IF(Table2[[#This Row],[MonthlyIncome]]&lt;=5000, "$1001 - $5000", IF(Table2[[#This Row],[MonthlyIncome]]&lt;=9000, "$5001 - $9000", IF(Table2[[#This Row],[MonthlyIncome]]&lt;=13000, "$9001 - $13000", IF(Table2[[#This Row],[MonthlyIncome]]&lt;=17000, "$13001 - $17000", IF(Table2[[#This Row],[MonthlyIncome]]&lt;=21000, "$17001 - $21000")))))</f>
        <v>$1001 - $5000</v>
      </c>
      <c r="P826">
        <v>4</v>
      </c>
      <c r="Q826">
        <v>3</v>
      </c>
      <c r="R826">
        <v>1</v>
      </c>
      <c r="S8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27" spans="1:19" ht="14.25" x14ac:dyDescent="0.2">
      <c r="A827">
        <v>73610297</v>
      </c>
      <c r="B827">
        <v>29</v>
      </c>
      <c r="C827" t="s">
        <v>25</v>
      </c>
      <c r="D827" t="s">
        <v>24</v>
      </c>
      <c r="E827" t="s">
        <v>22</v>
      </c>
      <c r="F827">
        <f>IF(Table2[[#This Row],[Attrition]]="Yes", 1, 0)</f>
        <v>0</v>
      </c>
      <c r="G827" t="s">
        <v>31</v>
      </c>
      <c r="H827" t="s">
        <v>23</v>
      </c>
      <c r="I827">
        <v>8</v>
      </c>
      <c r="J827">
        <v>1</v>
      </c>
      <c r="K827" t="s">
        <v>29</v>
      </c>
      <c r="L827">
        <v>2</v>
      </c>
      <c r="M827">
        <v>4</v>
      </c>
      <c r="N827" s="3">
        <v>5056</v>
      </c>
      <c r="O827" s="3" t="str">
        <f>IF(Table2[[#This Row],[MonthlyIncome]]&lt;=5000, "$1001 - $5000", IF(Table2[[#This Row],[MonthlyIncome]]&lt;=9000, "$5001 - $9000", IF(Table2[[#This Row],[MonthlyIncome]]&lt;=13000, "$9001 - $13000", IF(Table2[[#This Row],[MonthlyIncome]]&lt;=17000, "$13001 - $17000", IF(Table2[[#This Row],[MonthlyIncome]]&lt;=21000, "$17001 - $21000")))))</f>
        <v>$5001 - $9000</v>
      </c>
      <c r="P827">
        <v>1</v>
      </c>
      <c r="Q827">
        <v>2</v>
      </c>
      <c r="R827">
        <v>10</v>
      </c>
      <c r="S8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28" spans="1:19" ht="14.25" x14ac:dyDescent="0.2">
      <c r="A828">
        <v>47920351</v>
      </c>
      <c r="B828">
        <v>38</v>
      </c>
      <c r="C828" t="s">
        <v>25</v>
      </c>
      <c r="D828" t="s">
        <v>24</v>
      </c>
      <c r="E828" t="s">
        <v>22</v>
      </c>
      <c r="F828">
        <f>IF(Table2[[#This Row],[Attrition]]="Yes", 1, 0)</f>
        <v>0</v>
      </c>
      <c r="G828" t="s">
        <v>38</v>
      </c>
      <c r="H828" t="s">
        <v>38</v>
      </c>
      <c r="I828">
        <v>1</v>
      </c>
      <c r="J828">
        <v>3</v>
      </c>
      <c r="K828" t="s">
        <v>38</v>
      </c>
      <c r="L828">
        <v>3</v>
      </c>
      <c r="M828">
        <v>3</v>
      </c>
      <c r="N828" s="3">
        <v>2844</v>
      </c>
      <c r="O828" s="3" t="str">
        <f>IF(Table2[[#This Row],[MonthlyIncome]]&lt;=5000, "$1001 - $5000", IF(Table2[[#This Row],[MonthlyIncome]]&lt;=9000, "$5001 - $9000", IF(Table2[[#This Row],[MonthlyIncome]]&lt;=13000, "$9001 - $13000", IF(Table2[[#This Row],[MonthlyIncome]]&lt;=17000, "$13001 - $17000", IF(Table2[[#This Row],[MonthlyIncome]]&lt;=21000, "$17001 - $21000")))))</f>
        <v>$1001 - $5000</v>
      </c>
      <c r="P828">
        <v>1</v>
      </c>
      <c r="Q828">
        <v>4</v>
      </c>
      <c r="R828">
        <v>7</v>
      </c>
      <c r="S8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29" spans="1:19" ht="14.25" x14ac:dyDescent="0.2">
      <c r="A829">
        <v>61469637</v>
      </c>
      <c r="B829">
        <v>28</v>
      </c>
      <c r="C829" t="s">
        <v>25</v>
      </c>
      <c r="D829" t="s">
        <v>30</v>
      </c>
      <c r="E829" t="s">
        <v>22</v>
      </c>
      <c r="F829">
        <f>IF(Table2[[#This Row],[Attrition]]="Yes", 1, 0)</f>
        <v>0</v>
      </c>
      <c r="G829" t="s">
        <v>26</v>
      </c>
      <c r="H829" t="s">
        <v>23</v>
      </c>
      <c r="I829">
        <v>6</v>
      </c>
      <c r="J829">
        <v>3</v>
      </c>
      <c r="K829" t="s">
        <v>18</v>
      </c>
      <c r="L829">
        <v>3</v>
      </c>
      <c r="M829">
        <v>3</v>
      </c>
      <c r="N829" s="3">
        <v>2703</v>
      </c>
      <c r="O829" s="3" t="str">
        <f>IF(Table2[[#This Row],[MonthlyIncome]]&lt;=5000, "$1001 - $5000", IF(Table2[[#This Row],[MonthlyIncome]]&lt;=9000, "$5001 - $9000", IF(Table2[[#This Row],[MonthlyIncome]]&lt;=13000, "$9001 - $13000", IF(Table2[[#This Row],[MonthlyIncome]]&lt;=17000, "$13001 - $17000", IF(Table2[[#This Row],[MonthlyIncome]]&lt;=21000, "$17001 - $21000")))))</f>
        <v>$1001 - $5000</v>
      </c>
      <c r="P829">
        <v>1</v>
      </c>
      <c r="Q829">
        <v>3</v>
      </c>
      <c r="R829">
        <v>3</v>
      </c>
      <c r="S8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30" spans="1:19" ht="14.25" x14ac:dyDescent="0.2">
      <c r="A830">
        <v>19682505</v>
      </c>
      <c r="B830">
        <v>18</v>
      </c>
      <c r="C830" t="s">
        <v>25</v>
      </c>
      <c r="D830" t="s">
        <v>19</v>
      </c>
      <c r="E830" t="s">
        <v>16</v>
      </c>
      <c r="F830">
        <f>IF(Table2[[#This Row],[Attrition]]="Yes", 1, 0)</f>
        <v>1</v>
      </c>
      <c r="G830" t="s">
        <v>28</v>
      </c>
      <c r="H830" t="s">
        <v>23</v>
      </c>
      <c r="I830">
        <v>8</v>
      </c>
      <c r="J830">
        <v>1</v>
      </c>
      <c r="K830" t="s">
        <v>29</v>
      </c>
      <c r="L830">
        <v>3</v>
      </c>
      <c r="M830">
        <v>3</v>
      </c>
      <c r="N830" s="3">
        <v>1904</v>
      </c>
      <c r="O830" s="3" t="str">
        <f>IF(Table2[[#This Row],[MonthlyIncome]]&lt;=5000, "$1001 - $5000", IF(Table2[[#This Row],[MonthlyIncome]]&lt;=9000, "$5001 - $9000", IF(Table2[[#This Row],[MonthlyIncome]]&lt;=13000, "$9001 - $13000", IF(Table2[[#This Row],[MonthlyIncome]]&lt;=17000, "$13001 - $17000", IF(Table2[[#This Row],[MonthlyIncome]]&lt;=21000, "$17001 - $21000")))))</f>
        <v>$1001 - $5000</v>
      </c>
      <c r="P830">
        <v>1</v>
      </c>
      <c r="Q830">
        <v>3</v>
      </c>
      <c r="R830">
        <v>0</v>
      </c>
      <c r="S8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31" spans="1:19" ht="14.25" x14ac:dyDescent="0.2">
      <c r="A831">
        <v>10932889</v>
      </c>
      <c r="B831">
        <v>33</v>
      </c>
      <c r="C831" t="s">
        <v>20</v>
      </c>
      <c r="D831" t="s">
        <v>19</v>
      </c>
      <c r="E831" t="s">
        <v>16</v>
      </c>
      <c r="F831">
        <f>IF(Table2[[#This Row],[Attrition]]="Yes", 1, 0)</f>
        <v>1</v>
      </c>
      <c r="G831" t="s">
        <v>21</v>
      </c>
      <c r="H831" t="s">
        <v>17</v>
      </c>
      <c r="I831">
        <v>9</v>
      </c>
      <c r="J831">
        <v>4</v>
      </c>
      <c r="K831" t="s">
        <v>36</v>
      </c>
      <c r="L831">
        <v>1</v>
      </c>
      <c r="M831">
        <v>1</v>
      </c>
      <c r="N831" s="3">
        <v>8224</v>
      </c>
      <c r="O831" s="3" t="str">
        <f>IF(Table2[[#This Row],[MonthlyIncome]]&lt;=5000, "$1001 - $5000", IF(Table2[[#This Row],[MonthlyIncome]]&lt;=9000, "$5001 - $9000", IF(Table2[[#This Row],[MonthlyIncome]]&lt;=13000, "$9001 - $13000", IF(Table2[[#This Row],[MonthlyIncome]]&lt;=17000, "$13001 - $17000", IF(Table2[[#This Row],[MonthlyIncome]]&lt;=21000, "$17001 - $21000")))))</f>
        <v>$5001 - $9000</v>
      </c>
      <c r="P831">
        <v>0</v>
      </c>
      <c r="Q831">
        <v>3</v>
      </c>
      <c r="R831">
        <v>5</v>
      </c>
      <c r="S8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32" spans="1:19" ht="14.25" x14ac:dyDescent="0.2">
      <c r="A832">
        <v>44269318</v>
      </c>
      <c r="B832">
        <v>41</v>
      </c>
      <c r="C832" t="s">
        <v>25</v>
      </c>
      <c r="D832" t="s">
        <v>24</v>
      </c>
      <c r="E832" t="s">
        <v>22</v>
      </c>
      <c r="F832">
        <f>IF(Table2[[#This Row],[Attrition]]="Yes", 1, 0)</f>
        <v>0</v>
      </c>
      <c r="G832" t="s">
        <v>28</v>
      </c>
      <c r="H832" t="s">
        <v>23</v>
      </c>
      <c r="I832">
        <v>12</v>
      </c>
      <c r="J832">
        <v>4</v>
      </c>
      <c r="K832" t="s">
        <v>18</v>
      </c>
      <c r="L832">
        <v>2</v>
      </c>
      <c r="M832">
        <v>4</v>
      </c>
      <c r="N832" s="3">
        <v>4766</v>
      </c>
      <c r="O832" s="3" t="str">
        <f>IF(Table2[[#This Row],[MonthlyIncome]]&lt;=5000, "$1001 - $5000", IF(Table2[[#This Row],[MonthlyIncome]]&lt;=9000, "$5001 - $9000", IF(Table2[[#This Row],[MonthlyIncome]]&lt;=13000, "$9001 - $13000", IF(Table2[[#This Row],[MonthlyIncome]]&lt;=17000, "$13001 - $17000", IF(Table2[[#This Row],[MonthlyIncome]]&lt;=21000, "$17001 - $21000")))))</f>
        <v>$1001 - $5000</v>
      </c>
      <c r="P832">
        <v>3</v>
      </c>
      <c r="Q832">
        <v>3</v>
      </c>
      <c r="R832">
        <v>1</v>
      </c>
      <c r="S8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33" spans="1:19" ht="14.25" x14ac:dyDescent="0.2">
      <c r="A833">
        <v>12021644</v>
      </c>
      <c r="B833">
        <v>31</v>
      </c>
      <c r="C833" t="s">
        <v>25</v>
      </c>
      <c r="D833" t="s">
        <v>24</v>
      </c>
      <c r="E833" t="s">
        <v>16</v>
      </c>
      <c r="F833">
        <f>IF(Table2[[#This Row],[Attrition]]="Yes", 1, 0)</f>
        <v>1</v>
      </c>
      <c r="G833" t="s">
        <v>28</v>
      </c>
      <c r="H833" t="s">
        <v>23</v>
      </c>
      <c r="I833">
        <v>15</v>
      </c>
      <c r="J833">
        <v>3</v>
      </c>
      <c r="K833" t="s">
        <v>29</v>
      </c>
      <c r="L833">
        <v>3</v>
      </c>
      <c r="M833">
        <v>3</v>
      </c>
      <c r="N833" s="3">
        <v>2610</v>
      </c>
      <c r="O833" s="3" t="str">
        <f>IF(Table2[[#This Row],[MonthlyIncome]]&lt;=5000, "$1001 - $5000", IF(Table2[[#This Row],[MonthlyIncome]]&lt;=9000, "$5001 - $9000", IF(Table2[[#This Row],[MonthlyIncome]]&lt;=13000, "$9001 - $13000", IF(Table2[[#This Row],[MonthlyIncome]]&lt;=17000, "$13001 - $17000", IF(Table2[[#This Row],[MonthlyIncome]]&lt;=21000, "$17001 - $21000")))))</f>
        <v>$1001 - $5000</v>
      </c>
      <c r="P833">
        <v>1</v>
      </c>
      <c r="Q833">
        <v>2</v>
      </c>
      <c r="R833">
        <v>2</v>
      </c>
      <c r="S8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34" spans="1:19" ht="14.25" x14ac:dyDescent="0.2">
      <c r="A834">
        <v>16339866</v>
      </c>
      <c r="B834">
        <v>37</v>
      </c>
      <c r="C834" t="s">
        <v>20</v>
      </c>
      <c r="D834" t="s">
        <v>30</v>
      </c>
      <c r="E834" t="s">
        <v>22</v>
      </c>
      <c r="F834">
        <f>IF(Table2[[#This Row],[Attrition]]="Yes", 1, 0)</f>
        <v>0</v>
      </c>
      <c r="G834" t="s">
        <v>32</v>
      </c>
      <c r="H834" t="s">
        <v>23</v>
      </c>
      <c r="I834">
        <v>25</v>
      </c>
      <c r="J834">
        <v>2</v>
      </c>
      <c r="K834" t="s">
        <v>29</v>
      </c>
      <c r="L834">
        <v>3</v>
      </c>
      <c r="M834">
        <v>4</v>
      </c>
      <c r="N834" s="3">
        <v>5731</v>
      </c>
      <c r="O834" s="3" t="str">
        <f>IF(Table2[[#This Row],[MonthlyIncome]]&lt;=5000, "$1001 - $5000", IF(Table2[[#This Row],[MonthlyIncome]]&lt;=9000, "$5001 - $9000", IF(Table2[[#This Row],[MonthlyIncome]]&lt;=13000, "$9001 - $13000", IF(Table2[[#This Row],[MonthlyIncome]]&lt;=17000, "$13001 - $17000", IF(Table2[[#This Row],[MonthlyIncome]]&lt;=21000, "$17001 - $21000")))))</f>
        <v>$5001 - $9000</v>
      </c>
      <c r="P834">
        <v>7</v>
      </c>
      <c r="Q834">
        <v>3</v>
      </c>
      <c r="R834">
        <v>6</v>
      </c>
      <c r="S8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35" spans="1:19" ht="14.25" x14ac:dyDescent="0.2">
      <c r="A835">
        <v>33358611</v>
      </c>
      <c r="B835">
        <v>27</v>
      </c>
      <c r="C835" t="s">
        <v>25</v>
      </c>
      <c r="D835" t="s">
        <v>24</v>
      </c>
      <c r="E835" t="s">
        <v>22</v>
      </c>
      <c r="F835">
        <f>IF(Table2[[#This Row],[Attrition]]="Yes", 1, 0)</f>
        <v>0</v>
      </c>
      <c r="G835" t="s">
        <v>26</v>
      </c>
      <c r="H835" t="s">
        <v>23</v>
      </c>
      <c r="I835">
        <v>6</v>
      </c>
      <c r="J835">
        <v>3</v>
      </c>
      <c r="K835" t="s">
        <v>18</v>
      </c>
      <c r="L835">
        <v>4</v>
      </c>
      <c r="M835">
        <v>3</v>
      </c>
      <c r="N835" s="3">
        <v>2539</v>
      </c>
      <c r="O835" s="3" t="str">
        <f>IF(Table2[[#This Row],[MonthlyIncome]]&lt;=5000, "$1001 - $5000", IF(Table2[[#This Row],[MonthlyIncome]]&lt;=9000, "$5001 - $9000", IF(Table2[[#This Row],[MonthlyIncome]]&lt;=13000, "$9001 - $13000", IF(Table2[[#This Row],[MonthlyIncome]]&lt;=17000, "$13001 - $17000", IF(Table2[[#This Row],[MonthlyIncome]]&lt;=21000, "$17001 - $21000")))))</f>
        <v>$1001 - $5000</v>
      </c>
      <c r="P835">
        <v>1</v>
      </c>
      <c r="Q835">
        <v>3</v>
      </c>
      <c r="R835">
        <v>4</v>
      </c>
      <c r="S8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36" spans="1:19" ht="14.25" x14ac:dyDescent="0.2">
      <c r="A836">
        <v>89644298</v>
      </c>
      <c r="B836">
        <v>34</v>
      </c>
      <c r="C836" t="s">
        <v>20</v>
      </c>
      <c r="D836" t="s">
        <v>24</v>
      </c>
      <c r="E836" t="s">
        <v>22</v>
      </c>
      <c r="F836">
        <f>IF(Table2[[#This Row],[Attrition]]="Yes", 1, 0)</f>
        <v>0</v>
      </c>
      <c r="G836" t="s">
        <v>21</v>
      </c>
      <c r="H836" t="s">
        <v>17</v>
      </c>
      <c r="I836">
        <v>9</v>
      </c>
      <c r="J836">
        <v>1</v>
      </c>
      <c r="K836" t="s">
        <v>18</v>
      </c>
      <c r="L836">
        <v>2</v>
      </c>
      <c r="M836">
        <v>3</v>
      </c>
      <c r="N836" s="3">
        <v>5714</v>
      </c>
      <c r="O836" s="3" t="str">
        <f>IF(Table2[[#This Row],[MonthlyIncome]]&lt;=5000, "$1001 - $5000", IF(Table2[[#This Row],[MonthlyIncome]]&lt;=9000, "$5001 - $9000", IF(Table2[[#This Row],[MonthlyIncome]]&lt;=13000, "$9001 - $13000", IF(Table2[[#This Row],[MonthlyIncome]]&lt;=17000, "$13001 - $17000", IF(Table2[[#This Row],[MonthlyIncome]]&lt;=21000, "$17001 - $21000")))))</f>
        <v>$5001 - $9000</v>
      </c>
      <c r="P836">
        <v>1</v>
      </c>
      <c r="Q836">
        <v>2</v>
      </c>
      <c r="R836">
        <v>6</v>
      </c>
      <c r="S8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37" spans="1:19" ht="14.25" x14ac:dyDescent="0.2">
      <c r="A837">
        <v>34499101</v>
      </c>
      <c r="B837">
        <v>35</v>
      </c>
      <c r="C837" t="s">
        <v>25</v>
      </c>
      <c r="D837" t="s">
        <v>19</v>
      </c>
      <c r="E837" t="s">
        <v>22</v>
      </c>
      <c r="F837">
        <f>IF(Table2[[#This Row],[Attrition]]="Yes", 1, 0)</f>
        <v>0</v>
      </c>
      <c r="G837" t="s">
        <v>38</v>
      </c>
      <c r="H837" t="s">
        <v>38</v>
      </c>
      <c r="I837">
        <v>8</v>
      </c>
      <c r="J837">
        <v>4</v>
      </c>
      <c r="K837" t="s">
        <v>37</v>
      </c>
      <c r="L837">
        <v>3</v>
      </c>
      <c r="M837">
        <v>3</v>
      </c>
      <c r="N837" s="3">
        <v>4323</v>
      </c>
      <c r="O837" s="3" t="str">
        <f>IF(Table2[[#This Row],[MonthlyIncome]]&lt;=5000, "$1001 - $5000", IF(Table2[[#This Row],[MonthlyIncome]]&lt;=9000, "$5001 - $9000", IF(Table2[[#This Row],[MonthlyIncome]]&lt;=13000, "$9001 - $13000", IF(Table2[[#This Row],[MonthlyIncome]]&lt;=17000, "$13001 - $17000", IF(Table2[[#This Row],[MonthlyIncome]]&lt;=21000, "$17001 - $21000")))))</f>
        <v>$1001 - $5000</v>
      </c>
      <c r="P837">
        <v>1</v>
      </c>
      <c r="Q837">
        <v>1</v>
      </c>
      <c r="R837">
        <v>5</v>
      </c>
      <c r="S8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38" spans="1:19" ht="14.25" x14ac:dyDescent="0.2">
      <c r="A838">
        <v>27043685</v>
      </c>
      <c r="B838">
        <v>29</v>
      </c>
      <c r="C838" t="s">
        <v>20</v>
      </c>
      <c r="D838" t="s">
        <v>24</v>
      </c>
      <c r="E838" t="s">
        <v>16</v>
      </c>
      <c r="F838">
        <f>IF(Table2[[#This Row],[Attrition]]="Yes", 1, 0)</f>
        <v>1</v>
      </c>
      <c r="G838" t="s">
        <v>21</v>
      </c>
      <c r="H838" t="s">
        <v>17</v>
      </c>
      <c r="I838">
        <v>23</v>
      </c>
      <c r="J838">
        <v>1</v>
      </c>
      <c r="K838" t="s">
        <v>18</v>
      </c>
      <c r="L838">
        <v>4</v>
      </c>
      <c r="M838">
        <v>1</v>
      </c>
      <c r="N838" s="3">
        <v>7336</v>
      </c>
      <c r="O838" s="3" t="str">
        <f>IF(Table2[[#This Row],[MonthlyIncome]]&lt;=5000, "$1001 - $5000", IF(Table2[[#This Row],[MonthlyIncome]]&lt;=9000, "$5001 - $9000", IF(Table2[[#This Row],[MonthlyIncome]]&lt;=13000, "$9001 - $13000", IF(Table2[[#This Row],[MonthlyIncome]]&lt;=17000, "$13001 - $17000", IF(Table2[[#This Row],[MonthlyIncome]]&lt;=21000, "$17001 - $21000")))))</f>
        <v>$5001 - $9000</v>
      </c>
      <c r="P838">
        <v>1</v>
      </c>
      <c r="Q838">
        <v>1</v>
      </c>
      <c r="R838">
        <v>11</v>
      </c>
      <c r="S8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39" spans="1:19" ht="14.25" x14ac:dyDescent="0.2">
      <c r="A839">
        <v>64669920</v>
      </c>
      <c r="B839">
        <v>40</v>
      </c>
      <c r="C839" t="s">
        <v>20</v>
      </c>
      <c r="D839" t="s">
        <v>19</v>
      </c>
      <c r="E839" t="s">
        <v>22</v>
      </c>
      <c r="F839">
        <f>IF(Table2[[#This Row],[Attrition]]="Yes", 1, 0)</f>
        <v>0</v>
      </c>
      <c r="G839" t="s">
        <v>35</v>
      </c>
      <c r="H839" t="s">
        <v>23</v>
      </c>
      <c r="I839">
        <v>9</v>
      </c>
      <c r="J839">
        <v>4</v>
      </c>
      <c r="K839" t="s">
        <v>29</v>
      </c>
      <c r="L839">
        <v>2</v>
      </c>
      <c r="M839">
        <v>3</v>
      </c>
      <c r="N839" s="3">
        <v>13499</v>
      </c>
      <c r="O839" s="3" t="str">
        <f>IF(Table2[[#This Row],[MonthlyIncome]]&lt;=5000, "$1001 - $5000", IF(Table2[[#This Row],[MonthlyIncome]]&lt;=9000, "$5001 - $9000", IF(Table2[[#This Row],[MonthlyIncome]]&lt;=13000, "$9001 - $13000", IF(Table2[[#This Row],[MonthlyIncome]]&lt;=17000, "$13001 - $17000", IF(Table2[[#This Row],[MonthlyIncome]]&lt;=21000, "$17001 - $21000")))))</f>
        <v>$13001 - $17000</v>
      </c>
      <c r="P839">
        <v>9</v>
      </c>
      <c r="Q839">
        <v>2</v>
      </c>
      <c r="R839">
        <v>18</v>
      </c>
      <c r="S8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840" spans="1:19" ht="14.25" x14ac:dyDescent="0.2">
      <c r="A840">
        <v>24116091</v>
      </c>
      <c r="B840">
        <v>42</v>
      </c>
      <c r="C840" t="s">
        <v>25</v>
      </c>
      <c r="D840" t="s">
        <v>19</v>
      </c>
      <c r="E840" t="s">
        <v>16</v>
      </c>
      <c r="F840">
        <f>IF(Table2[[#This Row],[Attrition]]="Yes", 1, 0)</f>
        <v>1</v>
      </c>
      <c r="G840" t="s">
        <v>21</v>
      </c>
      <c r="H840" t="s">
        <v>17</v>
      </c>
      <c r="I840">
        <v>12</v>
      </c>
      <c r="J840">
        <v>3</v>
      </c>
      <c r="K840" t="s">
        <v>18</v>
      </c>
      <c r="L840">
        <v>3</v>
      </c>
      <c r="M840">
        <v>1</v>
      </c>
      <c r="N840" s="3">
        <v>13758</v>
      </c>
      <c r="O840" s="3" t="str">
        <f>IF(Table2[[#This Row],[MonthlyIncome]]&lt;=5000, "$1001 - $5000", IF(Table2[[#This Row],[MonthlyIncome]]&lt;=9000, "$5001 - $9000", IF(Table2[[#This Row],[MonthlyIncome]]&lt;=13000, "$9001 - $13000", IF(Table2[[#This Row],[MonthlyIncome]]&lt;=17000, "$13001 - $17000", IF(Table2[[#This Row],[MonthlyIncome]]&lt;=21000, "$17001 - $21000")))))</f>
        <v>$13001 - $17000</v>
      </c>
      <c r="P840">
        <v>0</v>
      </c>
      <c r="Q840">
        <v>2</v>
      </c>
      <c r="R840">
        <v>21</v>
      </c>
      <c r="S8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841" spans="1:19" ht="14.25" x14ac:dyDescent="0.2">
      <c r="A841">
        <v>35760562</v>
      </c>
      <c r="B841">
        <v>42</v>
      </c>
      <c r="C841" t="s">
        <v>25</v>
      </c>
      <c r="D841" t="s">
        <v>19</v>
      </c>
      <c r="E841" t="s">
        <v>22</v>
      </c>
      <c r="F841">
        <f>IF(Table2[[#This Row],[Attrition]]="Yes", 1, 0)</f>
        <v>0</v>
      </c>
      <c r="G841" t="s">
        <v>21</v>
      </c>
      <c r="H841" t="s">
        <v>17</v>
      </c>
      <c r="I841">
        <v>4</v>
      </c>
      <c r="J841">
        <v>4</v>
      </c>
      <c r="K841" t="s">
        <v>36</v>
      </c>
      <c r="L841">
        <v>2</v>
      </c>
      <c r="M841">
        <v>1</v>
      </c>
      <c r="N841" s="3">
        <v>5155</v>
      </c>
      <c r="O841" s="3" t="str">
        <f>IF(Table2[[#This Row],[MonthlyIncome]]&lt;=5000, "$1001 - $5000", IF(Table2[[#This Row],[MonthlyIncome]]&lt;=9000, "$5001 - $9000", IF(Table2[[#This Row],[MonthlyIncome]]&lt;=13000, "$9001 - $13000", IF(Table2[[#This Row],[MonthlyIncome]]&lt;=17000, "$13001 - $17000", IF(Table2[[#This Row],[MonthlyIncome]]&lt;=21000, "$17001 - $21000")))))</f>
        <v>$5001 - $9000</v>
      </c>
      <c r="P841">
        <v>7</v>
      </c>
      <c r="Q841">
        <v>4</v>
      </c>
      <c r="R841">
        <v>6</v>
      </c>
      <c r="S8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42" spans="1:19" ht="14.25" x14ac:dyDescent="0.2">
      <c r="A842">
        <v>71016842</v>
      </c>
      <c r="B842">
        <v>35</v>
      </c>
      <c r="C842" t="s">
        <v>25</v>
      </c>
      <c r="D842" t="s">
        <v>24</v>
      </c>
      <c r="E842" t="s">
        <v>22</v>
      </c>
      <c r="F842">
        <f>IF(Table2[[#This Row],[Attrition]]="Yes", 1, 0)</f>
        <v>0</v>
      </c>
      <c r="G842" t="s">
        <v>28</v>
      </c>
      <c r="H842" t="s">
        <v>23</v>
      </c>
      <c r="I842">
        <v>1</v>
      </c>
      <c r="J842">
        <v>4</v>
      </c>
      <c r="K842" t="s">
        <v>29</v>
      </c>
      <c r="L842">
        <v>4</v>
      </c>
      <c r="M842">
        <v>3</v>
      </c>
      <c r="N842" s="3">
        <v>2258</v>
      </c>
      <c r="O842" s="3" t="str">
        <f>IF(Table2[[#This Row],[MonthlyIncome]]&lt;=5000, "$1001 - $5000", IF(Table2[[#This Row],[MonthlyIncome]]&lt;=9000, "$5001 - $9000", IF(Table2[[#This Row],[MonthlyIncome]]&lt;=13000, "$9001 - $13000", IF(Table2[[#This Row],[MonthlyIncome]]&lt;=17000, "$13001 - $17000", IF(Table2[[#This Row],[MonthlyIncome]]&lt;=21000, "$17001 - $21000")))))</f>
        <v>$1001 - $5000</v>
      </c>
      <c r="P842">
        <v>6</v>
      </c>
      <c r="Q842">
        <v>3</v>
      </c>
      <c r="R842">
        <v>8</v>
      </c>
      <c r="S8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43" spans="1:19" ht="14.25" x14ac:dyDescent="0.2">
      <c r="A843">
        <v>36562312</v>
      </c>
      <c r="B843">
        <v>24</v>
      </c>
      <c r="C843" t="s">
        <v>25</v>
      </c>
      <c r="D843" t="s">
        <v>19</v>
      </c>
      <c r="E843" t="s">
        <v>22</v>
      </c>
      <c r="F843">
        <f>IF(Table2[[#This Row],[Attrition]]="Yes", 1, 0)</f>
        <v>0</v>
      </c>
      <c r="G843" t="s">
        <v>28</v>
      </c>
      <c r="H843" t="s">
        <v>23</v>
      </c>
      <c r="I843">
        <v>24</v>
      </c>
      <c r="J843">
        <v>3</v>
      </c>
      <c r="K843" t="s">
        <v>29</v>
      </c>
      <c r="L843">
        <v>4</v>
      </c>
      <c r="M843">
        <v>2</v>
      </c>
      <c r="N843" s="3">
        <v>3597</v>
      </c>
      <c r="O843" s="3" t="str">
        <f>IF(Table2[[#This Row],[MonthlyIncome]]&lt;=5000, "$1001 - $5000", IF(Table2[[#This Row],[MonthlyIncome]]&lt;=9000, "$5001 - $9000", IF(Table2[[#This Row],[MonthlyIncome]]&lt;=13000, "$9001 - $13000", IF(Table2[[#This Row],[MonthlyIncome]]&lt;=17000, "$13001 - $17000", IF(Table2[[#This Row],[MonthlyIncome]]&lt;=21000, "$17001 - $21000")))))</f>
        <v>$1001 - $5000</v>
      </c>
      <c r="P843">
        <v>8</v>
      </c>
      <c r="Q843">
        <v>3</v>
      </c>
      <c r="R843">
        <v>4</v>
      </c>
      <c r="S8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44" spans="1:19" ht="14.25" x14ac:dyDescent="0.2">
      <c r="A844">
        <v>40098576</v>
      </c>
      <c r="B844">
        <v>28</v>
      </c>
      <c r="C844" t="s">
        <v>20</v>
      </c>
      <c r="D844" t="s">
        <v>24</v>
      </c>
      <c r="E844" t="s">
        <v>16</v>
      </c>
      <c r="F844">
        <f>IF(Table2[[#This Row],[Attrition]]="Yes", 1, 0)</f>
        <v>1</v>
      </c>
      <c r="G844" t="s">
        <v>28</v>
      </c>
      <c r="H844" t="s">
        <v>23</v>
      </c>
      <c r="I844">
        <v>12</v>
      </c>
      <c r="J844">
        <v>1</v>
      </c>
      <c r="K844" t="s">
        <v>18</v>
      </c>
      <c r="L844">
        <v>3</v>
      </c>
      <c r="M844">
        <v>4</v>
      </c>
      <c r="N844" s="3">
        <v>2515</v>
      </c>
      <c r="O844" s="3" t="str">
        <f>IF(Table2[[#This Row],[MonthlyIncome]]&lt;=5000, "$1001 - $5000", IF(Table2[[#This Row],[MonthlyIncome]]&lt;=9000, "$5001 - $9000", IF(Table2[[#This Row],[MonthlyIncome]]&lt;=13000, "$9001 - $13000", IF(Table2[[#This Row],[MonthlyIncome]]&lt;=17000, "$13001 - $17000", IF(Table2[[#This Row],[MonthlyIncome]]&lt;=21000, "$17001 - $21000")))))</f>
        <v>$1001 - $5000</v>
      </c>
      <c r="P844">
        <v>1</v>
      </c>
      <c r="Q844">
        <v>2</v>
      </c>
      <c r="R844">
        <v>1</v>
      </c>
      <c r="S8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45" spans="1:19" ht="14.25" x14ac:dyDescent="0.2">
      <c r="A845">
        <v>65512339</v>
      </c>
      <c r="B845">
        <v>26</v>
      </c>
      <c r="C845" t="s">
        <v>25</v>
      </c>
      <c r="D845" t="s">
        <v>24</v>
      </c>
      <c r="E845" t="s">
        <v>22</v>
      </c>
      <c r="F845">
        <f>IF(Table2[[#This Row],[Attrition]]="Yes", 1, 0)</f>
        <v>0</v>
      </c>
      <c r="G845" t="s">
        <v>28</v>
      </c>
      <c r="H845" t="s">
        <v>23</v>
      </c>
      <c r="I845">
        <v>3</v>
      </c>
      <c r="J845">
        <v>4</v>
      </c>
      <c r="K845" t="s">
        <v>29</v>
      </c>
      <c r="L845">
        <v>1</v>
      </c>
      <c r="M845">
        <v>4</v>
      </c>
      <c r="N845" s="3">
        <v>4420</v>
      </c>
      <c r="O845" s="3" t="str">
        <f>IF(Table2[[#This Row],[MonthlyIncome]]&lt;=5000, "$1001 - $5000", IF(Table2[[#This Row],[MonthlyIncome]]&lt;=9000, "$5001 - $9000", IF(Table2[[#This Row],[MonthlyIncome]]&lt;=13000, "$9001 - $13000", IF(Table2[[#This Row],[MonthlyIncome]]&lt;=17000, "$13001 - $17000", IF(Table2[[#This Row],[MonthlyIncome]]&lt;=21000, "$17001 - $21000")))))</f>
        <v>$1001 - $5000</v>
      </c>
      <c r="P845">
        <v>1</v>
      </c>
      <c r="Q845">
        <v>3</v>
      </c>
      <c r="R845">
        <v>8</v>
      </c>
      <c r="S8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46" spans="1:19" ht="14.25" x14ac:dyDescent="0.2">
      <c r="A846">
        <v>84415862</v>
      </c>
      <c r="B846">
        <v>30</v>
      </c>
      <c r="C846" t="s">
        <v>25</v>
      </c>
      <c r="D846" t="s">
        <v>24</v>
      </c>
      <c r="E846" t="s">
        <v>22</v>
      </c>
      <c r="F846">
        <f>IF(Table2[[#This Row],[Attrition]]="Yes", 1, 0)</f>
        <v>0</v>
      </c>
      <c r="G846" t="s">
        <v>21</v>
      </c>
      <c r="H846" t="s">
        <v>17</v>
      </c>
      <c r="I846">
        <v>10</v>
      </c>
      <c r="J846">
        <v>3</v>
      </c>
      <c r="K846" t="s">
        <v>36</v>
      </c>
      <c r="L846">
        <v>3</v>
      </c>
      <c r="M846">
        <v>3</v>
      </c>
      <c r="N846" s="3">
        <v>6578</v>
      </c>
      <c r="O846" s="3" t="str">
        <f>IF(Table2[[#This Row],[MonthlyIncome]]&lt;=5000, "$1001 - $5000", IF(Table2[[#This Row],[MonthlyIncome]]&lt;=9000, "$5001 - $9000", IF(Table2[[#This Row],[MonthlyIncome]]&lt;=13000, "$9001 - $13000", IF(Table2[[#This Row],[MonthlyIncome]]&lt;=17000, "$13001 - $17000", IF(Table2[[#This Row],[MonthlyIncome]]&lt;=21000, "$17001 - $21000")))))</f>
        <v>$5001 - $9000</v>
      </c>
      <c r="P846">
        <v>1</v>
      </c>
      <c r="Q846">
        <v>3</v>
      </c>
      <c r="R846">
        <v>10</v>
      </c>
      <c r="S8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47" spans="1:19" ht="14.25" x14ac:dyDescent="0.2">
      <c r="A847">
        <v>32066386</v>
      </c>
      <c r="B847">
        <v>40</v>
      </c>
      <c r="C847" t="s">
        <v>20</v>
      </c>
      <c r="D847" t="s">
        <v>24</v>
      </c>
      <c r="E847" t="s">
        <v>22</v>
      </c>
      <c r="F847">
        <f>IF(Table2[[#This Row],[Attrition]]="Yes", 1, 0)</f>
        <v>0</v>
      </c>
      <c r="G847" t="s">
        <v>26</v>
      </c>
      <c r="H847" t="s">
        <v>23</v>
      </c>
      <c r="I847">
        <v>26</v>
      </c>
      <c r="J847">
        <v>2</v>
      </c>
      <c r="K847" t="s">
        <v>29</v>
      </c>
      <c r="L847">
        <v>3</v>
      </c>
      <c r="M847">
        <v>4</v>
      </c>
      <c r="N847" s="3">
        <v>4422</v>
      </c>
      <c r="O847" s="3" t="str">
        <f>IF(Table2[[#This Row],[MonthlyIncome]]&lt;=5000, "$1001 - $5000", IF(Table2[[#This Row],[MonthlyIncome]]&lt;=9000, "$5001 - $9000", IF(Table2[[#This Row],[MonthlyIncome]]&lt;=13000, "$9001 - $13000", IF(Table2[[#This Row],[MonthlyIncome]]&lt;=17000, "$13001 - $17000", IF(Table2[[#This Row],[MonthlyIncome]]&lt;=21000, "$17001 - $21000")))))</f>
        <v>$1001 - $5000</v>
      </c>
      <c r="P847">
        <v>3</v>
      </c>
      <c r="Q847">
        <v>1</v>
      </c>
      <c r="R847">
        <v>1</v>
      </c>
      <c r="S8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48" spans="1:19" ht="14.25" x14ac:dyDescent="0.2">
      <c r="A848">
        <v>45609655</v>
      </c>
      <c r="B848">
        <v>35</v>
      </c>
      <c r="C848" t="s">
        <v>25</v>
      </c>
      <c r="D848" t="s">
        <v>30</v>
      </c>
      <c r="E848" t="s">
        <v>22</v>
      </c>
      <c r="F848">
        <f>IF(Table2[[#This Row],[Attrition]]="Yes", 1, 0)</f>
        <v>0</v>
      </c>
      <c r="G848" t="s">
        <v>31</v>
      </c>
      <c r="H848" t="s">
        <v>23</v>
      </c>
      <c r="I848">
        <v>2</v>
      </c>
      <c r="J848">
        <v>3</v>
      </c>
      <c r="K848" t="s">
        <v>18</v>
      </c>
      <c r="L848">
        <v>3</v>
      </c>
      <c r="M848">
        <v>2</v>
      </c>
      <c r="N848" s="3">
        <v>10274</v>
      </c>
      <c r="O848" s="3" t="str">
        <f>IF(Table2[[#This Row],[MonthlyIncome]]&lt;=5000, "$1001 - $5000", IF(Table2[[#This Row],[MonthlyIncome]]&lt;=9000, "$5001 - $9000", IF(Table2[[#This Row],[MonthlyIncome]]&lt;=13000, "$9001 - $13000", IF(Table2[[#This Row],[MonthlyIncome]]&lt;=17000, "$13001 - $17000", IF(Table2[[#This Row],[MonthlyIncome]]&lt;=21000, "$17001 - $21000")))))</f>
        <v>$9001 - $13000</v>
      </c>
      <c r="P848">
        <v>2</v>
      </c>
      <c r="Q848">
        <v>4</v>
      </c>
      <c r="R848">
        <v>7</v>
      </c>
      <c r="S8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49" spans="1:19" ht="14.25" x14ac:dyDescent="0.2">
      <c r="A849">
        <v>12691713</v>
      </c>
      <c r="B849">
        <v>34</v>
      </c>
      <c r="C849" t="s">
        <v>25</v>
      </c>
      <c r="D849" t="s">
        <v>19</v>
      </c>
      <c r="E849" t="s">
        <v>22</v>
      </c>
      <c r="F849">
        <f>IF(Table2[[#This Row],[Attrition]]="Yes", 1, 0)</f>
        <v>0</v>
      </c>
      <c r="G849" t="s">
        <v>32</v>
      </c>
      <c r="H849" t="s">
        <v>23</v>
      </c>
      <c r="I849">
        <v>1</v>
      </c>
      <c r="J849">
        <v>3</v>
      </c>
      <c r="K849" t="s">
        <v>29</v>
      </c>
      <c r="L849">
        <v>4</v>
      </c>
      <c r="M849">
        <v>1</v>
      </c>
      <c r="N849" s="3">
        <v>5343</v>
      </c>
      <c r="O849" s="3" t="str">
        <f>IF(Table2[[#This Row],[MonthlyIncome]]&lt;=5000, "$1001 - $5000", IF(Table2[[#This Row],[MonthlyIncome]]&lt;=9000, "$5001 - $9000", IF(Table2[[#This Row],[MonthlyIncome]]&lt;=13000, "$9001 - $13000", IF(Table2[[#This Row],[MonthlyIncome]]&lt;=17000, "$13001 - $17000", IF(Table2[[#This Row],[MonthlyIncome]]&lt;=21000, "$17001 - $21000")))))</f>
        <v>$5001 - $9000</v>
      </c>
      <c r="P849">
        <v>0</v>
      </c>
      <c r="Q849">
        <v>3</v>
      </c>
      <c r="R849">
        <v>13</v>
      </c>
      <c r="S8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50" spans="1:19" ht="14.25" x14ac:dyDescent="0.2">
      <c r="A850">
        <v>63022837</v>
      </c>
      <c r="B850">
        <v>35</v>
      </c>
      <c r="C850" t="s">
        <v>25</v>
      </c>
      <c r="D850" t="s">
        <v>24</v>
      </c>
      <c r="E850" t="s">
        <v>22</v>
      </c>
      <c r="F850">
        <f>IF(Table2[[#This Row],[Attrition]]="Yes", 1, 0)</f>
        <v>0</v>
      </c>
      <c r="G850" t="s">
        <v>28</v>
      </c>
      <c r="H850" t="s">
        <v>23</v>
      </c>
      <c r="I850">
        <v>4</v>
      </c>
      <c r="J850">
        <v>4</v>
      </c>
      <c r="K850" t="s">
        <v>27</v>
      </c>
      <c r="L850">
        <v>4</v>
      </c>
      <c r="M850">
        <v>4</v>
      </c>
      <c r="N850" s="3">
        <v>2376</v>
      </c>
      <c r="O850" s="3" t="str">
        <f>IF(Table2[[#This Row],[MonthlyIncome]]&lt;=5000, "$1001 - $5000", IF(Table2[[#This Row],[MonthlyIncome]]&lt;=9000, "$5001 - $9000", IF(Table2[[#This Row],[MonthlyIncome]]&lt;=13000, "$9001 - $13000", IF(Table2[[#This Row],[MonthlyIncome]]&lt;=17000, "$13001 - $17000", IF(Table2[[#This Row],[MonthlyIncome]]&lt;=21000, "$17001 - $21000")))))</f>
        <v>$1001 - $5000</v>
      </c>
      <c r="P850">
        <v>1</v>
      </c>
      <c r="Q850">
        <v>4</v>
      </c>
      <c r="R850">
        <v>2</v>
      </c>
      <c r="S8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51" spans="1:19" ht="14.25" x14ac:dyDescent="0.2">
      <c r="A851">
        <v>10936676</v>
      </c>
      <c r="B851">
        <v>43</v>
      </c>
      <c r="C851" t="s">
        <v>20</v>
      </c>
      <c r="D851" t="s">
        <v>19</v>
      </c>
      <c r="E851" t="s">
        <v>16</v>
      </c>
      <c r="F851">
        <f>IF(Table2[[#This Row],[Attrition]]="Yes", 1, 0)</f>
        <v>1</v>
      </c>
      <c r="G851" t="s">
        <v>21</v>
      </c>
      <c r="H851" t="s">
        <v>17</v>
      </c>
      <c r="I851">
        <v>9</v>
      </c>
      <c r="J851">
        <v>3</v>
      </c>
      <c r="K851" t="s">
        <v>36</v>
      </c>
      <c r="L851">
        <v>1</v>
      </c>
      <c r="M851">
        <v>3</v>
      </c>
      <c r="N851" s="3">
        <v>5346</v>
      </c>
      <c r="O851" s="3" t="str">
        <f>IF(Table2[[#This Row],[MonthlyIncome]]&lt;=5000, "$1001 - $5000", IF(Table2[[#This Row],[MonthlyIncome]]&lt;=9000, "$5001 - $9000", IF(Table2[[#This Row],[MonthlyIncome]]&lt;=13000, "$9001 - $13000", IF(Table2[[#This Row],[MonthlyIncome]]&lt;=17000, "$13001 - $17000", IF(Table2[[#This Row],[MonthlyIncome]]&lt;=21000, "$17001 - $21000")))))</f>
        <v>$5001 - $9000</v>
      </c>
      <c r="P851">
        <v>8</v>
      </c>
      <c r="Q851">
        <v>2</v>
      </c>
      <c r="R851">
        <v>4</v>
      </c>
      <c r="S8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52" spans="1:19" ht="14.25" x14ac:dyDescent="0.2">
      <c r="A852">
        <v>85798170</v>
      </c>
      <c r="B852">
        <v>32</v>
      </c>
      <c r="C852" t="s">
        <v>20</v>
      </c>
      <c r="D852" t="s">
        <v>30</v>
      </c>
      <c r="E852" t="s">
        <v>22</v>
      </c>
      <c r="F852">
        <f>IF(Table2[[#This Row],[Attrition]]="Yes", 1, 0)</f>
        <v>0</v>
      </c>
      <c r="G852" t="s">
        <v>34</v>
      </c>
      <c r="H852" t="s">
        <v>17</v>
      </c>
      <c r="I852">
        <v>2</v>
      </c>
      <c r="J852">
        <v>1</v>
      </c>
      <c r="K852" t="s">
        <v>18</v>
      </c>
      <c r="L852">
        <v>3</v>
      </c>
      <c r="M852">
        <v>1</v>
      </c>
      <c r="N852" s="3">
        <v>2827</v>
      </c>
      <c r="O852" s="3" t="str">
        <f>IF(Table2[[#This Row],[MonthlyIncome]]&lt;=5000, "$1001 - $5000", IF(Table2[[#This Row],[MonthlyIncome]]&lt;=9000, "$5001 - $9000", IF(Table2[[#This Row],[MonthlyIncome]]&lt;=13000, "$9001 - $13000", IF(Table2[[#This Row],[MonthlyIncome]]&lt;=17000, "$13001 - $17000", IF(Table2[[#This Row],[MonthlyIncome]]&lt;=21000, "$17001 - $21000")))))</f>
        <v>$1001 - $5000</v>
      </c>
      <c r="P852">
        <v>1</v>
      </c>
      <c r="Q852">
        <v>3</v>
      </c>
      <c r="R852">
        <v>1</v>
      </c>
      <c r="S8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53" spans="1:19" ht="14.25" x14ac:dyDescent="0.2">
      <c r="A853">
        <v>62250782</v>
      </c>
      <c r="B853">
        <v>56</v>
      </c>
      <c r="C853" t="s">
        <v>20</v>
      </c>
      <c r="D853" t="s">
        <v>30</v>
      </c>
      <c r="E853" t="s">
        <v>22</v>
      </c>
      <c r="F853">
        <f>IF(Table2[[#This Row],[Attrition]]="Yes", 1, 0)</f>
        <v>0</v>
      </c>
      <c r="G853" t="s">
        <v>33</v>
      </c>
      <c r="H853" t="s">
        <v>23</v>
      </c>
      <c r="I853">
        <v>4</v>
      </c>
      <c r="J853">
        <v>4</v>
      </c>
      <c r="K853" t="s">
        <v>37</v>
      </c>
      <c r="L853">
        <v>4</v>
      </c>
      <c r="M853">
        <v>1</v>
      </c>
      <c r="N853" s="3">
        <v>19943</v>
      </c>
      <c r="O853" s="3" t="str">
        <f>IF(Table2[[#This Row],[MonthlyIncome]]&lt;=5000, "$1001 - $5000", IF(Table2[[#This Row],[MonthlyIncome]]&lt;=9000, "$5001 - $9000", IF(Table2[[#This Row],[MonthlyIncome]]&lt;=13000, "$9001 - $13000", IF(Table2[[#This Row],[MonthlyIncome]]&lt;=17000, "$13001 - $17000", IF(Table2[[#This Row],[MonthlyIncome]]&lt;=21000, "$17001 - $21000")))))</f>
        <v>$17001 - $21000</v>
      </c>
      <c r="P853">
        <v>4</v>
      </c>
      <c r="Q853">
        <v>3</v>
      </c>
      <c r="R853">
        <v>5</v>
      </c>
      <c r="S8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54" spans="1:19" ht="14.25" x14ac:dyDescent="0.2">
      <c r="A854">
        <v>27379399</v>
      </c>
      <c r="B854">
        <v>29</v>
      </c>
      <c r="C854" t="s">
        <v>20</v>
      </c>
      <c r="D854" t="s">
        <v>24</v>
      </c>
      <c r="E854" t="s">
        <v>22</v>
      </c>
      <c r="F854">
        <f>IF(Table2[[#This Row],[Attrition]]="Yes", 1, 0)</f>
        <v>0</v>
      </c>
      <c r="G854" t="s">
        <v>28</v>
      </c>
      <c r="H854" t="s">
        <v>23</v>
      </c>
      <c r="I854">
        <v>6</v>
      </c>
      <c r="J854">
        <v>1</v>
      </c>
      <c r="K854" t="s">
        <v>29</v>
      </c>
      <c r="L854">
        <v>2</v>
      </c>
      <c r="M854">
        <v>4</v>
      </c>
      <c r="N854" s="3">
        <v>3131</v>
      </c>
      <c r="O854" s="3" t="str">
        <f>IF(Table2[[#This Row],[MonthlyIncome]]&lt;=5000, "$1001 - $5000", IF(Table2[[#This Row],[MonthlyIncome]]&lt;=9000, "$5001 - $9000", IF(Table2[[#This Row],[MonthlyIncome]]&lt;=13000, "$9001 - $13000", IF(Table2[[#This Row],[MonthlyIncome]]&lt;=17000, "$13001 - $17000", IF(Table2[[#This Row],[MonthlyIncome]]&lt;=21000, "$17001 - $21000")))))</f>
        <v>$1001 - $5000</v>
      </c>
      <c r="P854">
        <v>1</v>
      </c>
      <c r="Q854">
        <v>3</v>
      </c>
      <c r="R854">
        <v>10</v>
      </c>
      <c r="S8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55" spans="1:19" ht="14.25" x14ac:dyDescent="0.2">
      <c r="A855">
        <v>44483626</v>
      </c>
      <c r="B855">
        <v>19</v>
      </c>
      <c r="C855" t="s">
        <v>25</v>
      </c>
      <c r="D855" t="s">
        <v>19</v>
      </c>
      <c r="E855" t="s">
        <v>22</v>
      </c>
      <c r="F855">
        <f>IF(Table2[[#This Row],[Attrition]]="Yes", 1, 0)</f>
        <v>0</v>
      </c>
      <c r="G855" t="s">
        <v>26</v>
      </c>
      <c r="H855" t="s">
        <v>23</v>
      </c>
      <c r="I855">
        <v>9</v>
      </c>
      <c r="J855">
        <v>2</v>
      </c>
      <c r="K855" t="s">
        <v>18</v>
      </c>
      <c r="L855">
        <v>3</v>
      </c>
      <c r="M855">
        <v>1</v>
      </c>
      <c r="N855" s="3">
        <v>2552</v>
      </c>
      <c r="O855" s="3" t="str">
        <f>IF(Table2[[#This Row],[MonthlyIncome]]&lt;=5000, "$1001 - $5000", IF(Table2[[#This Row],[MonthlyIncome]]&lt;=9000, "$5001 - $9000", IF(Table2[[#This Row],[MonthlyIncome]]&lt;=13000, "$9001 - $13000", IF(Table2[[#This Row],[MonthlyIncome]]&lt;=17000, "$13001 - $17000", IF(Table2[[#This Row],[MonthlyIncome]]&lt;=21000, "$17001 - $21000")))))</f>
        <v>$1001 - $5000</v>
      </c>
      <c r="P855">
        <v>1</v>
      </c>
      <c r="Q855">
        <v>3</v>
      </c>
      <c r="R855">
        <v>1</v>
      </c>
      <c r="S8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56" spans="1:19" ht="14.25" x14ac:dyDescent="0.2">
      <c r="A856">
        <v>80635018</v>
      </c>
      <c r="B856">
        <v>45</v>
      </c>
      <c r="C856" t="s">
        <v>20</v>
      </c>
      <c r="D856" t="s">
        <v>24</v>
      </c>
      <c r="E856" t="s">
        <v>22</v>
      </c>
      <c r="F856">
        <f>IF(Table2[[#This Row],[Attrition]]="Yes", 1, 0)</f>
        <v>0</v>
      </c>
      <c r="G856" t="s">
        <v>26</v>
      </c>
      <c r="H856" t="s">
        <v>23</v>
      </c>
      <c r="I856">
        <v>7</v>
      </c>
      <c r="J856">
        <v>3</v>
      </c>
      <c r="K856" t="s">
        <v>29</v>
      </c>
      <c r="L856">
        <v>1</v>
      </c>
      <c r="M856">
        <v>3</v>
      </c>
      <c r="N856" s="3">
        <v>4477</v>
      </c>
      <c r="O856" s="3" t="str">
        <f>IF(Table2[[#This Row],[MonthlyIncome]]&lt;=5000, "$1001 - $5000", IF(Table2[[#This Row],[MonthlyIncome]]&lt;=9000, "$5001 - $9000", IF(Table2[[#This Row],[MonthlyIncome]]&lt;=13000, "$9001 - $13000", IF(Table2[[#This Row],[MonthlyIncome]]&lt;=17000, "$13001 - $17000", IF(Table2[[#This Row],[MonthlyIncome]]&lt;=21000, "$17001 - $21000")))))</f>
        <v>$1001 - $5000</v>
      </c>
      <c r="P856">
        <v>4</v>
      </c>
      <c r="Q856">
        <v>2</v>
      </c>
      <c r="R856">
        <v>3</v>
      </c>
      <c r="S8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57" spans="1:19" ht="14.25" x14ac:dyDescent="0.2">
      <c r="A857">
        <v>60885250</v>
      </c>
      <c r="B857">
        <v>37</v>
      </c>
      <c r="C857" t="s">
        <v>20</v>
      </c>
      <c r="D857" t="s">
        <v>24</v>
      </c>
      <c r="E857" t="s">
        <v>22</v>
      </c>
      <c r="F857">
        <f>IF(Table2[[#This Row],[Attrition]]="Yes", 1, 0)</f>
        <v>0</v>
      </c>
      <c r="G857" t="s">
        <v>31</v>
      </c>
      <c r="H857" t="s">
        <v>23</v>
      </c>
      <c r="I857">
        <v>1</v>
      </c>
      <c r="J857">
        <v>3</v>
      </c>
      <c r="K857" t="s">
        <v>18</v>
      </c>
      <c r="L857">
        <v>4</v>
      </c>
      <c r="M857">
        <v>4</v>
      </c>
      <c r="N857" s="3">
        <v>6474</v>
      </c>
      <c r="O857" s="3" t="str">
        <f>IF(Table2[[#This Row],[MonthlyIncome]]&lt;=5000, "$1001 - $5000", IF(Table2[[#This Row],[MonthlyIncome]]&lt;=9000, "$5001 - $9000", IF(Table2[[#This Row],[MonthlyIncome]]&lt;=13000, "$9001 - $13000", IF(Table2[[#This Row],[MonthlyIncome]]&lt;=17000, "$13001 - $17000", IF(Table2[[#This Row],[MonthlyIncome]]&lt;=21000, "$17001 - $21000")))))</f>
        <v>$5001 - $9000</v>
      </c>
      <c r="P857">
        <v>1</v>
      </c>
      <c r="Q857">
        <v>2</v>
      </c>
      <c r="R857">
        <v>14</v>
      </c>
      <c r="S8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58" spans="1:19" ht="14.25" x14ac:dyDescent="0.2">
      <c r="A858">
        <v>71007137</v>
      </c>
      <c r="B858">
        <v>20</v>
      </c>
      <c r="C858" t="s">
        <v>25</v>
      </c>
      <c r="D858" t="s">
        <v>19</v>
      </c>
      <c r="E858" t="s">
        <v>22</v>
      </c>
      <c r="F858">
        <f>IF(Table2[[#This Row],[Attrition]]="Yes", 1, 0)</f>
        <v>0</v>
      </c>
      <c r="G858" t="s">
        <v>28</v>
      </c>
      <c r="H858" t="s">
        <v>23</v>
      </c>
      <c r="I858">
        <v>3</v>
      </c>
      <c r="J858">
        <v>3</v>
      </c>
      <c r="K858" t="s">
        <v>18</v>
      </c>
      <c r="L858">
        <v>1</v>
      </c>
      <c r="M858">
        <v>3</v>
      </c>
      <c r="N858" s="3">
        <v>3033</v>
      </c>
      <c r="O858" s="3" t="str">
        <f>IF(Table2[[#This Row],[MonthlyIncome]]&lt;=5000, "$1001 - $5000", IF(Table2[[#This Row],[MonthlyIncome]]&lt;=9000, "$5001 - $9000", IF(Table2[[#This Row],[MonthlyIncome]]&lt;=13000, "$9001 - $13000", IF(Table2[[#This Row],[MonthlyIncome]]&lt;=17000, "$13001 - $17000", IF(Table2[[#This Row],[MonthlyIncome]]&lt;=21000, "$17001 - $21000")))))</f>
        <v>$1001 - $5000</v>
      </c>
      <c r="P858">
        <v>1</v>
      </c>
      <c r="Q858">
        <v>2</v>
      </c>
      <c r="R858">
        <v>2</v>
      </c>
      <c r="S8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59" spans="1:19" ht="14.25" x14ac:dyDescent="0.2">
      <c r="A859">
        <v>73843090</v>
      </c>
      <c r="B859">
        <v>44</v>
      </c>
      <c r="C859" t="s">
        <v>25</v>
      </c>
      <c r="D859" t="s">
        <v>19</v>
      </c>
      <c r="E859" t="s">
        <v>16</v>
      </c>
      <c r="F859">
        <f>IF(Table2[[#This Row],[Attrition]]="Yes", 1, 0)</f>
        <v>1</v>
      </c>
      <c r="G859" t="s">
        <v>26</v>
      </c>
      <c r="H859" t="s">
        <v>23</v>
      </c>
      <c r="I859">
        <v>10</v>
      </c>
      <c r="J859">
        <v>4</v>
      </c>
      <c r="K859" t="s">
        <v>18</v>
      </c>
      <c r="L859">
        <v>3</v>
      </c>
      <c r="M859">
        <v>3</v>
      </c>
      <c r="N859" s="3">
        <v>2936</v>
      </c>
      <c r="O859" s="3" t="str">
        <f>IF(Table2[[#This Row],[MonthlyIncome]]&lt;=5000, "$1001 - $5000", IF(Table2[[#This Row],[MonthlyIncome]]&lt;=9000, "$5001 - $9000", IF(Table2[[#This Row],[MonthlyIncome]]&lt;=13000, "$9001 - $13000", IF(Table2[[#This Row],[MonthlyIncome]]&lt;=17000, "$13001 - $17000", IF(Table2[[#This Row],[MonthlyIncome]]&lt;=21000, "$17001 - $21000")))))</f>
        <v>$1001 - $5000</v>
      </c>
      <c r="P859">
        <v>1</v>
      </c>
      <c r="Q859">
        <v>3</v>
      </c>
      <c r="R859">
        <v>6</v>
      </c>
      <c r="S8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60" spans="1:19" ht="14.25" x14ac:dyDescent="0.2">
      <c r="A860">
        <v>45888885</v>
      </c>
      <c r="B860">
        <v>53</v>
      </c>
      <c r="C860" t="s">
        <v>20</v>
      </c>
      <c r="D860" t="s">
        <v>30</v>
      </c>
      <c r="E860" t="s">
        <v>22</v>
      </c>
      <c r="F860">
        <f>IF(Table2[[#This Row],[Attrition]]="Yes", 1, 0)</f>
        <v>0</v>
      </c>
      <c r="G860" t="s">
        <v>33</v>
      </c>
      <c r="H860" t="s">
        <v>23</v>
      </c>
      <c r="I860">
        <v>7</v>
      </c>
      <c r="J860">
        <v>2</v>
      </c>
      <c r="K860" t="s">
        <v>29</v>
      </c>
      <c r="L860">
        <v>4</v>
      </c>
      <c r="M860">
        <v>3</v>
      </c>
      <c r="N860" s="3">
        <v>18606</v>
      </c>
      <c r="O860" s="3" t="str">
        <f>IF(Table2[[#This Row],[MonthlyIncome]]&lt;=5000, "$1001 - $5000", IF(Table2[[#This Row],[MonthlyIncome]]&lt;=9000, "$5001 - $9000", IF(Table2[[#This Row],[MonthlyIncome]]&lt;=13000, "$9001 - $13000", IF(Table2[[#This Row],[MonthlyIncome]]&lt;=17000, "$13001 - $17000", IF(Table2[[#This Row],[MonthlyIncome]]&lt;=21000, "$17001 - $21000")))))</f>
        <v>$17001 - $21000</v>
      </c>
      <c r="P860">
        <v>3</v>
      </c>
      <c r="Q860">
        <v>3</v>
      </c>
      <c r="R860">
        <v>7</v>
      </c>
      <c r="S8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61" spans="1:19" ht="14.25" x14ac:dyDescent="0.2">
      <c r="A861">
        <v>54992199</v>
      </c>
      <c r="B861">
        <v>29</v>
      </c>
      <c r="C861" t="s">
        <v>20</v>
      </c>
      <c r="D861" t="s">
        <v>24</v>
      </c>
      <c r="E861" t="s">
        <v>22</v>
      </c>
      <c r="F861">
        <f>IF(Table2[[#This Row],[Attrition]]="Yes", 1, 0)</f>
        <v>0</v>
      </c>
      <c r="G861" t="s">
        <v>26</v>
      </c>
      <c r="H861" t="s">
        <v>23</v>
      </c>
      <c r="I861">
        <v>15</v>
      </c>
      <c r="J861">
        <v>1</v>
      </c>
      <c r="K861" t="s">
        <v>18</v>
      </c>
      <c r="L861">
        <v>2</v>
      </c>
      <c r="M861">
        <v>4</v>
      </c>
      <c r="N861" s="3">
        <v>2168</v>
      </c>
      <c r="O861" s="3" t="str">
        <f>IF(Table2[[#This Row],[MonthlyIncome]]&lt;=5000, "$1001 - $5000", IF(Table2[[#This Row],[MonthlyIncome]]&lt;=9000, "$5001 - $9000", IF(Table2[[#This Row],[MonthlyIncome]]&lt;=13000, "$9001 - $13000", IF(Table2[[#This Row],[MonthlyIncome]]&lt;=17000, "$13001 - $17000", IF(Table2[[#This Row],[MonthlyIncome]]&lt;=21000, "$17001 - $21000")))))</f>
        <v>$1001 - $5000</v>
      </c>
      <c r="P861">
        <v>0</v>
      </c>
      <c r="Q861">
        <v>2</v>
      </c>
      <c r="R861">
        <v>5</v>
      </c>
      <c r="S8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62" spans="1:19" ht="14.25" x14ac:dyDescent="0.2">
      <c r="A862">
        <v>83508474</v>
      </c>
      <c r="B862">
        <v>22</v>
      </c>
      <c r="C862" t="s">
        <v>25</v>
      </c>
      <c r="D862" t="s">
        <v>24</v>
      </c>
      <c r="E862" t="s">
        <v>16</v>
      </c>
      <c r="F862">
        <f>IF(Table2[[#This Row],[Attrition]]="Yes", 1, 0)</f>
        <v>1</v>
      </c>
      <c r="G862" t="s">
        <v>26</v>
      </c>
      <c r="H862" t="s">
        <v>23</v>
      </c>
      <c r="I862">
        <v>3</v>
      </c>
      <c r="J862">
        <v>4</v>
      </c>
      <c r="K862" t="s">
        <v>18</v>
      </c>
      <c r="L862">
        <v>3</v>
      </c>
      <c r="M862">
        <v>4</v>
      </c>
      <c r="N862" s="3">
        <v>2853</v>
      </c>
      <c r="O862" s="3" t="str">
        <f>IF(Table2[[#This Row],[MonthlyIncome]]&lt;=5000, "$1001 - $5000", IF(Table2[[#This Row],[MonthlyIncome]]&lt;=9000, "$5001 - $9000", IF(Table2[[#This Row],[MonthlyIncome]]&lt;=13000, "$9001 - $13000", IF(Table2[[#This Row],[MonthlyIncome]]&lt;=17000, "$13001 - $17000", IF(Table2[[#This Row],[MonthlyIncome]]&lt;=21000, "$17001 - $21000")))))</f>
        <v>$1001 - $5000</v>
      </c>
      <c r="P862">
        <v>0</v>
      </c>
      <c r="Q862">
        <v>3</v>
      </c>
      <c r="R862">
        <v>0</v>
      </c>
      <c r="S8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63" spans="1:19" ht="14.25" x14ac:dyDescent="0.2">
      <c r="A863">
        <v>41421284</v>
      </c>
      <c r="B863">
        <v>46</v>
      </c>
      <c r="C863" t="s">
        <v>20</v>
      </c>
      <c r="D863" t="s">
        <v>24</v>
      </c>
      <c r="E863" t="s">
        <v>22</v>
      </c>
      <c r="F863">
        <f>IF(Table2[[#This Row],[Attrition]]="Yes", 1, 0)</f>
        <v>0</v>
      </c>
      <c r="G863" t="s">
        <v>33</v>
      </c>
      <c r="H863" t="s">
        <v>17</v>
      </c>
      <c r="I863">
        <v>2</v>
      </c>
      <c r="J863">
        <v>3</v>
      </c>
      <c r="K863" t="s">
        <v>36</v>
      </c>
      <c r="L863">
        <v>3</v>
      </c>
      <c r="M863">
        <v>1</v>
      </c>
      <c r="N863" s="3">
        <v>17048</v>
      </c>
      <c r="O863" s="3" t="str">
        <f>IF(Table2[[#This Row],[MonthlyIncome]]&lt;=5000, "$1001 - $5000", IF(Table2[[#This Row],[MonthlyIncome]]&lt;=9000, "$5001 - $9000", IF(Table2[[#This Row],[MonthlyIncome]]&lt;=13000, "$9001 - $13000", IF(Table2[[#This Row],[MonthlyIncome]]&lt;=17000, "$13001 - $17000", IF(Table2[[#This Row],[MonthlyIncome]]&lt;=21000, "$17001 - $21000")))))</f>
        <v>$17001 - $21000</v>
      </c>
      <c r="P863">
        <v>8</v>
      </c>
      <c r="Q863">
        <v>3</v>
      </c>
      <c r="R863">
        <v>26</v>
      </c>
      <c r="S8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25 - 30 Years</v>
      </c>
    </row>
    <row r="864" spans="1:19" ht="14.25" x14ac:dyDescent="0.2">
      <c r="A864">
        <v>63795599</v>
      </c>
      <c r="B864">
        <v>44</v>
      </c>
      <c r="C864" t="s">
        <v>25</v>
      </c>
      <c r="D864" t="s">
        <v>19</v>
      </c>
      <c r="E864" t="s">
        <v>22</v>
      </c>
      <c r="F864">
        <f>IF(Table2[[#This Row],[Attrition]]="Yes", 1, 0)</f>
        <v>0</v>
      </c>
      <c r="G864" t="s">
        <v>26</v>
      </c>
      <c r="H864" t="s">
        <v>23</v>
      </c>
      <c r="I864">
        <v>17</v>
      </c>
      <c r="J864">
        <v>3</v>
      </c>
      <c r="K864" t="s">
        <v>18</v>
      </c>
      <c r="L864">
        <v>4</v>
      </c>
      <c r="M864">
        <v>3</v>
      </c>
      <c r="N864" s="3">
        <v>2290</v>
      </c>
      <c r="O864" s="3" t="str">
        <f>IF(Table2[[#This Row],[MonthlyIncome]]&lt;=5000, "$1001 - $5000", IF(Table2[[#This Row],[MonthlyIncome]]&lt;=9000, "$5001 - $9000", IF(Table2[[#This Row],[MonthlyIncome]]&lt;=13000, "$9001 - $13000", IF(Table2[[#This Row],[MonthlyIncome]]&lt;=17000, "$13001 - $17000", IF(Table2[[#This Row],[MonthlyIncome]]&lt;=21000, "$17001 - $21000")))))</f>
        <v>$1001 - $5000</v>
      </c>
      <c r="P864">
        <v>2</v>
      </c>
      <c r="Q864">
        <v>3</v>
      </c>
      <c r="R864">
        <v>0</v>
      </c>
      <c r="S8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65" spans="1:19" ht="14.25" x14ac:dyDescent="0.2">
      <c r="A865">
        <v>71284386</v>
      </c>
      <c r="B865">
        <v>33</v>
      </c>
      <c r="C865" t="s">
        <v>25</v>
      </c>
      <c r="D865" t="s">
        <v>24</v>
      </c>
      <c r="E865" t="s">
        <v>22</v>
      </c>
      <c r="F865">
        <f>IF(Table2[[#This Row],[Attrition]]="Yes", 1, 0)</f>
        <v>0</v>
      </c>
      <c r="G865" t="s">
        <v>38</v>
      </c>
      <c r="H865" t="s">
        <v>38</v>
      </c>
      <c r="I865">
        <v>2</v>
      </c>
      <c r="J865">
        <v>3</v>
      </c>
      <c r="K865" t="s">
        <v>38</v>
      </c>
      <c r="L865">
        <v>2</v>
      </c>
      <c r="M865">
        <v>3</v>
      </c>
      <c r="N865" s="3">
        <v>3600</v>
      </c>
      <c r="O865" s="3" t="str">
        <f>IF(Table2[[#This Row],[MonthlyIncome]]&lt;=5000, "$1001 - $5000", IF(Table2[[#This Row],[MonthlyIncome]]&lt;=9000, "$5001 - $9000", IF(Table2[[#This Row],[MonthlyIncome]]&lt;=13000, "$9001 - $13000", IF(Table2[[#This Row],[MonthlyIncome]]&lt;=17000, "$13001 - $17000", IF(Table2[[#This Row],[MonthlyIncome]]&lt;=21000, "$17001 - $21000")))))</f>
        <v>$1001 - $5000</v>
      </c>
      <c r="P865">
        <v>1</v>
      </c>
      <c r="Q865">
        <v>3</v>
      </c>
      <c r="R865">
        <v>5</v>
      </c>
      <c r="S8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66" spans="1:19" ht="14.25" x14ac:dyDescent="0.2">
      <c r="A866">
        <v>18975722</v>
      </c>
      <c r="B866">
        <v>41</v>
      </c>
      <c r="C866" t="s">
        <v>25</v>
      </c>
      <c r="D866" t="s">
        <v>30</v>
      </c>
      <c r="E866" t="s">
        <v>16</v>
      </c>
      <c r="F866">
        <f>IF(Table2[[#This Row],[Attrition]]="Yes", 1, 0)</f>
        <v>1</v>
      </c>
      <c r="G866" t="s">
        <v>26</v>
      </c>
      <c r="H866" t="s">
        <v>23</v>
      </c>
      <c r="I866">
        <v>5</v>
      </c>
      <c r="J866">
        <v>2</v>
      </c>
      <c r="K866" t="s">
        <v>18</v>
      </c>
      <c r="L866">
        <v>1</v>
      </c>
      <c r="M866">
        <v>1</v>
      </c>
      <c r="N866" s="3">
        <v>2107</v>
      </c>
      <c r="O866" s="3" t="str">
        <f>IF(Table2[[#This Row],[MonthlyIncome]]&lt;=5000, "$1001 - $5000", IF(Table2[[#This Row],[MonthlyIncome]]&lt;=9000, "$5001 - $9000", IF(Table2[[#This Row],[MonthlyIncome]]&lt;=13000, "$9001 - $13000", IF(Table2[[#This Row],[MonthlyIncome]]&lt;=17000, "$13001 - $17000", IF(Table2[[#This Row],[MonthlyIncome]]&lt;=21000, "$17001 - $21000")))))</f>
        <v>$1001 - $5000</v>
      </c>
      <c r="P866">
        <v>6</v>
      </c>
      <c r="Q866">
        <v>1</v>
      </c>
      <c r="R866">
        <v>1</v>
      </c>
      <c r="S8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67" spans="1:19" ht="14.25" x14ac:dyDescent="0.2">
      <c r="A867">
        <v>84502759</v>
      </c>
      <c r="B867">
        <v>30</v>
      </c>
      <c r="C867" t="s">
        <v>25</v>
      </c>
      <c r="D867" t="s">
        <v>30</v>
      </c>
      <c r="E867" t="s">
        <v>22</v>
      </c>
      <c r="F867">
        <f>IF(Table2[[#This Row],[Attrition]]="Yes", 1, 0)</f>
        <v>0</v>
      </c>
      <c r="G867" t="s">
        <v>21</v>
      </c>
      <c r="H867" t="s">
        <v>17</v>
      </c>
      <c r="I867">
        <v>29</v>
      </c>
      <c r="J867">
        <v>4</v>
      </c>
      <c r="K867" t="s">
        <v>18</v>
      </c>
      <c r="L867">
        <v>3</v>
      </c>
      <c r="M867">
        <v>1</v>
      </c>
      <c r="N867" s="3">
        <v>4115</v>
      </c>
      <c r="O867" s="3" t="str">
        <f>IF(Table2[[#This Row],[MonthlyIncome]]&lt;=5000, "$1001 - $5000", IF(Table2[[#This Row],[MonthlyIncome]]&lt;=9000, "$5001 - $9000", IF(Table2[[#This Row],[MonthlyIncome]]&lt;=13000, "$9001 - $13000", IF(Table2[[#This Row],[MonthlyIncome]]&lt;=17000, "$13001 - $17000", IF(Table2[[#This Row],[MonthlyIncome]]&lt;=21000, "$17001 - $21000")))))</f>
        <v>$1001 - $5000</v>
      </c>
      <c r="P867">
        <v>8</v>
      </c>
      <c r="Q867">
        <v>3</v>
      </c>
      <c r="R867">
        <v>4</v>
      </c>
      <c r="S8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68" spans="1:19" ht="14.25" x14ac:dyDescent="0.2">
      <c r="A868">
        <v>79918817</v>
      </c>
      <c r="B868">
        <v>40</v>
      </c>
      <c r="C868" t="s">
        <v>25</v>
      </c>
      <c r="D868" t="s">
        <v>24</v>
      </c>
      <c r="E868" t="s">
        <v>22</v>
      </c>
      <c r="F868">
        <f>IF(Table2[[#This Row],[Attrition]]="Yes", 1, 0)</f>
        <v>0</v>
      </c>
      <c r="G868" t="s">
        <v>21</v>
      </c>
      <c r="H868" t="s">
        <v>17</v>
      </c>
      <c r="I868">
        <v>2</v>
      </c>
      <c r="J868">
        <v>4</v>
      </c>
      <c r="K868" t="s">
        <v>29</v>
      </c>
      <c r="L868">
        <v>2</v>
      </c>
      <c r="M868">
        <v>2</v>
      </c>
      <c r="N868" s="3">
        <v>4327</v>
      </c>
      <c r="O868" s="3" t="str">
        <f>IF(Table2[[#This Row],[MonthlyIncome]]&lt;=5000, "$1001 - $5000", IF(Table2[[#This Row],[MonthlyIncome]]&lt;=9000, "$5001 - $9000", IF(Table2[[#This Row],[MonthlyIncome]]&lt;=13000, "$9001 - $13000", IF(Table2[[#This Row],[MonthlyIncome]]&lt;=17000, "$13001 - $17000", IF(Table2[[#This Row],[MonthlyIncome]]&lt;=21000, "$17001 - $21000")))))</f>
        <v>$1001 - $5000</v>
      </c>
      <c r="P868">
        <v>5</v>
      </c>
      <c r="Q868">
        <v>3</v>
      </c>
      <c r="R868">
        <v>0</v>
      </c>
      <c r="S8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69" spans="1:19" ht="14.25" x14ac:dyDescent="0.2">
      <c r="A869">
        <v>86657128</v>
      </c>
      <c r="B869">
        <v>50</v>
      </c>
      <c r="C869" t="s">
        <v>20</v>
      </c>
      <c r="D869" t="s">
        <v>24</v>
      </c>
      <c r="E869" t="s">
        <v>22</v>
      </c>
      <c r="F869">
        <f>IF(Table2[[#This Row],[Attrition]]="Yes", 1, 0)</f>
        <v>0</v>
      </c>
      <c r="G869" t="s">
        <v>33</v>
      </c>
      <c r="H869" t="s">
        <v>23</v>
      </c>
      <c r="I869">
        <v>2</v>
      </c>
      <c r="J869">
        <v>3</v>
      </c>
      <c r="K869" t="s">
        <v>29</v>
      </c>
      <c r="L869">
        <v>4</v>
      </c>
      <c r="M869">
        <v>1</v>
      </c>
      <c r="N869" s="3">
        <v>17856</v>
      </c>
      <c r="O869" s="3" t="str">
        <f>IF(Table2[[#This Row],[MonthlyIncome]]&lt;=5000, "$1001 - $5000", IF(Table2[[#This Row],[MonthlyIncome]]&lt;=9000, "$5001 - $9000", IF(Table2[[#This Row],[MonthlyIncome]]&lt;=13000, "$9001 - $13000", IF(Table2[[#This Row],[MonthlyIncome]]&lt;=17000, "$13001 - $17000", IF(Table2[[#This Row],[MonthlyIncome]]&lt;=21000, "$17001 - $21000")))))</f>
        <v>$17001 - $21000</v>
      </c>
      <c r="P869">
        <v>2</v>
      </c>
      <c r="Q869">
        <v>3</v>
      </c>
      <c r="R869">
        <v>2</v>
      </c>
      <c r="S8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70" spans="1:19" ht="14.25" x14ac:dyDescent="0.2">
      <c r="A870">
        <v>10219099</v>
      </c>
      <c r="B870">
        <v>28</v>
      </c>
      <c r="C870" t="s">
        <v>25</v>
      </c>
      <c r="D870" t="s">
        <v>24</v>
      </c>
      <c r="E870" t="s">
        <v>22</v>
      </c>
      <c r="F870">
        <f>IF(Table2[[#This Row],[Attrition]]="Yes", 1, 0)</f>
        <v>0</v>
      </c>
      <c r="G870" t="s">
        <v>28</v>
      </c>
      <c r="H870" t="s">
        <v>23</v>
      </c>
      <c r="I870">
        <v>19</v>
      </c>
      <c r="J870">
        <v>4</v>
      </c>
      <c r="K870" t="s">
        <v>29</v>
      </c>
      <c r="L870">
        <v>4</v>
      </c>
      <c r="M870">
        <v>1</v>
      </c>
      <c r="N870" s="3">
        <v>3196</v>
      </c>
      <c r="O870" s="3" t="str">
        <f>IF(Table2[[#This Row],[MonthlyIncome]]&lt;=5000, "$1001 - $5000", IF(Table2[[#This Row],[MonthlyIncome]]&lt;=9000, "$5001 - $9000", IF(Table2[[#This Row],[MonthlyIncome]]&lt;=13000, "$9001 - $13000", IF(Table2[[#This Row],[MonthlyIncome]]&lt;=17000, "$13001 - $17000", IF(Table2[[#This Row],[MonthlyIncome]]&lt;=21000, "$17001 - $21000")))))</f>
        <v>$1001 - $5000</v>
      </c>
      <c r="P870">
        <v>1</v>
      </c>
      <c r="Q870">
        <v>3</v>
      </c>
      <c r="R870">
        <v>6</v>
      </c>
      <c r="S8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71" spans="1:19" ht="14.25" x14ac:dyDescent="0.2">
      <c r="A871">
        <v>65945748</v>
      </c>
      <c r="B871">
        <v>46</v>
      </c>
      <c r="C871" t="s">
        <v>25</v>
      </c>
      <c r="D871" t="s">
        <v>24</v>
      </c>
      <c r="E871" t="s">
        <v>22</v>
      </c>
      <c r="F871">
        <f>IF(Table2[[#This Row],[Attrition]]="Yes", 1, 0)</f>
        <v>0</v>
      </c>
      <c r="G871" t="s">
        <v>35</v>
      </c>
      <c r="H871" t="s">
        <v>23</v>
      </c>
      <c r="I871">
        <v>15</v>
      </c>
      <c r="J871">
        <v>2</v>
      </c>
      <c r="K871" t="s">
        <v>18</v>
      </c>
      <c r="L871">
        <v>4</v>
      </c>
      <c r="M871">
        <v>2</v>
      </c>
      <c r="N871" s="3">
        <v>19081</v>
      </c>
      <c r="O871" s="3" t="str">
        <f>IF(Table2[[#This Row],[MonthlyIncome]]&lt;=5000, "$1001 - $5000", IF(Table2[[#This Row],[MonthlyIncome]]&lt;=9000, "$5001 - $9000", IF(Table2[[#This Row],[MonthlyIncome]]&lt;=13000, "$9001 - $13000", IF(Table2[[#This Row],[MonthlyIncome]]&lt;=17000, "$13001 - $17000", IF(Table2[[#This Row],[MonthlyIncome]]&lt;=21000, "$17001 - $21000")))))</f>
        <v>$17001 - $21000</v>
      </c>
      <c r="P871">
        <v>5</v>
      </c>
      <c r="Q871">
        <v>3</v>
      </c>
      <c r="R871">
        <v>4</v>
      </c>
      <c r="S8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72" spans="1:19" ht="14.25" x14ac:dyDescent="0.2">
      <c r="A872">
        <v>56855534</v>
      </c>
      <c r="B872">
        <v>35</v>
      </c>
      <c r="C872" t="s">
        <v>25</v>
      </c>
      <c r="D872" t="s">
        <v>24</v>
      </c>
      <c r="E872" t="s">
        <v>22</v>
      </c>
      <c r="F872">
        <f>IF(Table2[[#This Row],[Attrition]]="Yes", 1, 0)</f>
        <v>0</v>
      </c>
      <c r="G872" t="s">
        <v>21</v>
      </c>
      <c r="H872" t="s">
        <v>17</v>
      </c>
      <c r="I872">
        <v>17</v>
      </c>
      <c r="J872">
        <v>4</v>
      </c>
      <c r="K872" t="s">
        <v>18</v>
      </c>
      <c r="L872">
        <v>3</v>
      </c>
      <c r="M872">
        <v>1</v>
      </c>
      <c r="N872" s="3">
        <v>8966</v>
      </c>
      <c r="O872" s="3" t="str">
        <f>IF(Table2[[#This Row],[MonthlyIncome]]&lt;=5000, "$1001 - $5000", IF(Table2[[#This Row],[MonthlyIncome]]&lt;=9000, "$5001 - $9000", IF(Table2[[#This Row],[MonthlyIncome]]&lt;=13000, "$9001 - $13000", IF(Table2[[#This Row],[MonthlyIncome]]&lt;=17000, "$13001 - $17000", IF(Table2[[#This Row],[MonthlyIncome]]&lt;=21000, "$17001 - $21000")))))</f>
        <v>$5001 - $9000</v>
      </c>
      <c r="P872">
        <v>3</v>
      </c>
      <c r="Q872">
        <v>3</v>
      </c>
      <c r="R872">
        <v>7</v>
      </c>
      <c r="S8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73" spans="1:19" ht="14.25" x14ac:dyDescent="0.2">
      <c r="A873">
        <v>33776459</v>
      </c>
      <c r="B873">
        <v>24</v>
      </c>
      <c r="C873" t="s">
        <v>20</v>
      </c>
      <c r="D873" t="s">
        <v>24</v>
      </c>
      <c r="E873" t="s">
        <v>16</v>
      </c>
      <c r="F873">
        <f>IF(Table2[[#This Row],[Attrition]]="Yes", 1, 0)</f>
        <v>1</v>
      </c>
      <c r="G873" t="s">
        <v>28</v>
      </c>
      <c r="H873" t="s">
        <v>23</v>
      </c>
      <c r="I873">
        <v>17</v>
      </c>
      <c r="J873">
        <v>2</v>
      </c>
      <c r="K873" t="s">
        <v>18</v>
      </c>
      <c r="L873">
        <v>4</v>
      </c>
      <c r="M873">
        <v>2</v>
      </c>
      <c r="N873" s="3">
        <v>2210</v>
      </c>
      <c r="O873" s="3" t="str">
        <f>IF(Table2[[#This Row],[MonthlyIncome]]&lt;=5000, "$1001 - $5000", IF(Table2[[#This Row],[MonthlyIncome]]&lt;=9000, "$5001 - $9000", IF(Table2[[#This Row],[MonthlyIncome]]&lt;=13000, "$9001 - $13000", IF(Table2[[#This Row],[MonthlyIncome]]&lt;=17000, "$13001 - $17000", IF(Table2[[#This Row],[MonthlyIncome]]&lt;=21000, "$17001 - $21000")))))</f>
        <v>$1001 - $5000</v>
      </c>
      <c r="P873">
        <v>1</v>
      </c>
      <c r="Q873">
        <v>1</v>
      </c>
      <c r="R873">
        <v>1</v>
      </c>
      <c r="S8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74" spans="1:19" ht="14.25" x14ac:dyDescent="0.2">
      <c r="A874">
        <v>29507061</v>
      </c>
      <c r="B874">
        <v>33</v>
      </c>
      <c r="C874" t="s">
        <v>20</v>
      </c>
      <c r="D874" t="s">
        <v>24</v>
      </c>
      <c r="E874" t="s">
        <v>22</v>
      </c>
      <c r="F874">
        <f>IF(Table2[[#This Row],[Attrition]]="Yes", 1, 0)</f>
        <v>0</v>
      </c>
      <c r="G874" t="s">
        <v>21</v>
      </c>
      <c r="H874" t="s">
        <v>17</v>
      </c>
      <c r="I874">
        <v>25</v>
      </c>
      <c r="J874">
        <v>3</v>
      </c>
      <c r="K874" t="s">
        <v>29</v>
      </c>
      <c r="L874">
        <v>2</v>
      </c>
      <c r="M874">
        <v>3</v>
      </c>
      <c r="N874" s="3">
        <v>4539</v>
      </c>
      <c r="O874" s="3" t="str">
        <f>IF(Table2[[#This Row],[MonthlyIncome]]&lt;=5000, "$1001 - $5000", IF(Table2[[#This Row],[MonthlyIncome]]&lt;=9000, "$5001 - $9000", IF(Table2[[#This Row],[MonthlyIncome]]&lt;=13000, "$9001 - $13000", IF(Table2[[#This Row],[MonthlyIncome]]&lt;=17000, "$13001 - $17000", IF(Table2[[#This Row],[MonthlyIncome]]&lt;=21000, "$17001 - $21000")))))</f>
        <v>$1001 - $5000</v>
      </c>
      <c r="P874">
        <v>1</v>
      </c>
      <c r="Q874">
        <v>2</v>
      </c>
      <c r="R874">
        <v>10</v>
      </c>
      <c r="S8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75" spans="1:19" ht="14.25" x14ac:dyDescent="0.2">
      <c r="A875">
        <v>63387792</v>
      </c>
      <c r="B875">
        <v>36</v>
      </c>
      <c r="C875" t="s">
        <v>25</v>
      </c>
      <c r="D875" t="s">
        <v>30</v>
      </c>
      <c r="E875" t="s">
        <v>22</v>
      </c>
      <c r="F875">
        <f>IF(Table2[[#This Row],[Attrition]]="Yes", 1, 0)</f>
        <v>0</v>
      </c>
      <c r="G875" t="s">
        <v>28</v>
      </c>
      <c r="H875" t="s">
        <v>23</v>
      </c>
      <c r="I875">
        <v>6</v>
      </c>
      <c r="J875">
        <v>4</v>
      </c>
      <c r="K875" t="s">
        <v>18</v>
      </c>
      <c r="L875">
        <v>3</v>
      </c>
      <c r="M875">
        <v>3</v>
      </c>
      <c r="N875" s="3">
        <v>2741</v>
      </c>
      <c r="O875" s="3" t="str">
        <f>IF(Table2[[#This Row],[MonthlyIncome]]&lt;=5000, "$1001 - $5000", IF(Table2[[#This Row],[MonthlyIncome]]&lt;=9000, "$5001 - $9000", IF(Table2[[#This Row],[MonthlyIncome]]&lt;=13000, "$9001 - $13000", IF(Table2[[#This Row],[MonthlyIncome]]&lt;=17000, "$13001 - $17000", IF(Table2[[#This Row],[MonthlyIncome]]&lt;=21000, "$17001 - $21000")))))</f>
        <v>$1001 - $5000</v>
      </c>
      <c r="P875">
        <v>1</v>
      </c>
      <c r="Q875">
        <v>3</v>
      </c>
      <c r="R875">
        <v>7</v>
      </c>
      <c r="S8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76" spans="1:19" ht="14.25" x14ac:dyDescent="0.2">
      <c r="A876">
        <v>89071049</v>
      </c>
      <c r="B876">
        <v>30</v>
      </c>
      <c r="C876" t="s">
        <v>25</v>
      </c>
      <c r="D876" t="s">
        <v>30</v>
      </c>
      <c r="E876" t="s">
        <v>22</v>
      </c>
      <c r="F876">
        <f>IF(Table2[[#This Row],[Attrition]]="Yes", 1, 0)</f>
        <v>0</v>
      </c>
      <c r="G876" t="s">
        <v>28</v>
      </c>
      <c r="H876" t="s">
        <v>23</v>
      </c>
      <c r="I876">
        <v>7</v>
      </c>
      <c r="J876">
        <v>4</v>
      </c>
      <c r="K876" t="s">
        <v>18</v>
      </c>
      <c r="L876">
        <v>3</v>
      </c>
      <c r="M876">
        <v>3</v>
      </c>
      <c r="N876" s="3">
        <v>3491</v>
      </c>
      <c r="O876" s="3" t="str">
        <f>IF(Table2[[#This Row],[MonthlyIncome]]&lt;=5000, "$1001 - $5000", IF(Table2[[#This Row],[MonthlyIncome]]&lt;=9000, "$5001 - $9000", IF(Table2[[#This Row],[MonthlyIncome]]&lt;=13000, "$9001 - $13000", IF(Table2[[#This Row],[MonthlyIncome]]&lt;=17000, "$13001 - $17000", IF(Table2[[#This Row],[MonthlyIncome]]&lt;=21000, "$17001 - $21000")))))</f>
        <v>$1001 - $5000</v>
      </c>
      <c r="P876">
        <v>1</v>
      </c>
      <c r="Q876">
        <v>2</v>
      </c>
      <c r="R876">
        <v>10</v>
      </c>
      <c r="S8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77" spans="1:19" ht="14.25" x14ac:dyDescent="0.2">
      <c r="A877">
        <v>85923140</v>
      </c>
      <c r="B877">
        <v>44</v>
      </c>
      <c r="C877" t="s">
        <v>25</v>
      </c>
      <c r="D877" t="s">
        <v>19</v>
      </c>
      <c r="E877" t="s">
        <v>22</v>
      </c>
      <c r="F877">
        <f>IF(Table2[[#This Row],[Attrition]]="Yes", 1, 0)</f>
        <v>0</v>
      </c>
      <c r="G877" t="s">
        <v>26</v>
      </c>
      <c r="H877" t="s">
        <v>23</v>
      </c>
      <c r="I877">
        <v>29</v>
      </c>
      <c r="J877">
        <v>4</v>
      </c>
      <c r="K877" t="s">
        <v>27</v>
      </c>
      <c r="L877">
        <v>4</v>
      </c>
      <c r="M877">
        <v>4</v>
      </c>
      <c r="N877" s="3">
        <v>4541</v>
      </c>
      <c r="O877" s="3" t="str">
        <f>IF(Table2[[#This Row],[MonthlyIncome]]&lt;=5000, "$1001 - $5000", IF(Table2[[#This Row],[MonthlyIncome]]&lt;=9000, "$5001 - $9000", IF(Table2[[#This Row],[MonthlyIncome]]&lt;=13000, "$9001 - $13000", IF(Table2[[#This Row],[MonthlyIncome]]&lt;=17000, "$13001 - $17000", IF(Table2[[#This Row],[MonthlyIncome]]&lt;=21000, "$17001 - $21000")))))</f>
        <v>$1001 - $5000</v>
      </c>
      <c r="P877">
        <v>1</v>
      </c>
      <c r="Q877">
        <v>3</v>
      </c>
      <c r="R877">
        <v>20</v>
      </c>
      <c r="S8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878" spans="1:19" ht="14.25" x14ac:dyDescent="0.2">
      <c r="A878">
        <v>46800773</v>
      </c>
      <c r="B878">
        <v>20</v>
      </c>
      <c r="C878" t="s">
        <v>25</v>
      </c>
      <c r="D878" t="s">
        <v>19</v>
      </c>
      <c r="E878" t="s">
        <v>22</v>
      </c>
      <c r="F878">
        <f>IF(Table2[[#This Row],[Attrition]]="Yes", 1, 0)</f>
        <v>0</v>
      </c>
      <c r="G878" t="s">
        <v>34</v>
      </c>
      <c r="H878" t="s">
        <v>17</v>
      </c>
      <c r="I878">
        <v>21</v>
      </c>
      <c r="J878">
        <v>3</v>
      </c>
      <c r="K878" t="s">
        <v>36</v>
      </c>
      <c r="L878">
        <v>3</v>
      </c>
      <c r="M878">
        <v>4</v>
      </c>
      <c r="N878" s="3">
        <v>2678</v>
      </c>
      <c r="O878" s="3" t="str">
        <f>IF(Table2[[#This Row],[MonthlyIncome]]&lt;=5000, "$1001 - $5000", IF(Table2[[#This Row],[MonthlyIncome]]&lt;=9000, "$5001 - $9000", IF(Table2[[#This Row],[MonthlyIncome]]&lt;=13000, "$9001 - $13000", IF(Table2[[#This Row],[MonthlyIncome]]&lt;=17000, "$13001 - $17000", IF(Table2[[#This Row],[MonthlyIncome]]&lt;=21000, "$17001 - $21000")))))</f>
        <v>$1001 - $5000</v>
      </c>
      <c r="P878">
        <v>1</v>
      </c>
      <c r="Q878">
        <v>3</v>
      </c>
      <c r="R878">
        <v>2</v>
      </c>
      <c r="S8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79" spans="1:19" ht="14.25" x14ac:dyDescent="0.2">
      <c r="A879">
        <v>28941137</v>
      </c>
      <c r="B879">
        <v>46</v>
      </c>
      <c r="C879" t="s">
        <v>25</v>
      </c>
      <c r="D879" t="s">
        <v>30</v>
      </c>
      <c r="E879" t="s">
        <v>22</v>
      </c>
      <c r="F879">
        <f>IF(Table2[[#This Row],[Attrition]]="Yes", 1, 0)</f>
        <v>0</v>
      </c>
      <c r="G879" t="s">
        <v>31</v>
      </c>
      <c r="H879" t="s">
        <v>23</v>
      </c>
      <c r="I879">
        <v>2</v>
      </c>
      <c r="J879">
        <v>4</v>
      </c>
      <c r="K879" t="s">
        <v>37</v>
      </c>
      <c r="L879">
        <v>4</v>
      </c>
      <c r="M879">
        <v>4</v>
      </c>
      <c r="N879" s="3">
        <v>7379</v>
      </c>
      <c r="O879" s="3" t="str">
        <f>IF(Table2[[#This Row],[MonthlyIncome]]&lt;=5000, "$1001 - $5000", IF(Table2[[#This Row],[MonthlyIncome]]&lt;=9000, "$5001 - $9000", IF(Table2[[#This Row],[MonthlyIncome]]&lt;=13000, "$9001 - $13000", IF(Table2[[#This Row],[MonthlyIncome]]&lt;=17000, "$13001 - $17000", IF(Table2[[#This Row],[MonthlyIncome]]&lt;=21000, "$17001 - $21000")))))</f>
        <v>$5001 - $9000</v>
      </c>
      <c r="P879">
        <v>2</v>
      </c>
      <c r="Q879">
        <v>2</v>
      </c>
      <c r="R879">
        <v>6</v>
      </c>
      <c r="S8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80" spans="1:19" ht="14.25" x14ac:dyDescent="0.2">
      <c r="A880">
        <v>53896558</v>
      </c>
      <c r="B880">
        <v>42</v>
      </c>
      <c r="C880" t="s">
        <v>25</v>
      </c>
      <c r="D880" t="s">
        <v>24</v>
      </c>
      <c r="E880" t="s">
        <v>22</v>
      </c>
      <c r="F880">
        <f>IF(Table2[[#This Row],[Attrition]]="Yes", 1, 0)</f>
        <v>0</v>
      </c>
      <c r="G880" t="s">
        <v>38</v>
      </c>
      <c r="H880" t="s">
        <v>38</v>
      </c>
      <c r="I880">
        <v>2</v>
      </c>
      <c r="J880">
        <v>5</v>
      </c>
      <c r="K880" t="s">
        <v>29</v>
      </c>
      <c r="L880">
        <v>4</v>
      </c>
      <c r="M880">
        <v>1</v>
      </c>
      <c r="N880" s="3">
        <v>6272</v>
      </c>
      <c r="O880" s="3" t="str">
        <f>IF(Table2[[#This Row],[MonthlyIncome]]&lt;=5000, "$1001 - $5000", IF(Table2[[#This Row],[MonthlyIncome]]&lt;=9000, "$5001 - $9000", IF(Table2[[#This Row],[MonthlyIncome]]&lt;=13000, "$9001 - $13000", IF(Table2[[#This Row],[MonthlyIncome]]&lt;=17000, "$13001 - $17000", IF(Table2[[#This Row],[MonthlyIncome]]&lt;=21000, "$17001 - $21000")))))</f>
        <v>$5001 - $9000</v>
      </c>
      <c r="P880">
        <v>7</v>
      </c>
      <c r="Q880">
        <v>4</v>
      </c>
      <c r="R880">
        <v>4</v>
      </c>
      <c r="S8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81" spans="1:19" ht="14.25" x14ac:dyDescent="0.2">
      <c r="A881">
        <v>24565225</v>
      </c>
      <c r="B881">
        <v>60</v>
      </c>
      <c r="C881" t="s">
        <v>25</v>
      </c>
      <c r="D881" t="s">
        <v>30</v>
      </c>
      <c r="E881" t="s">
        <v>22</v>
      </c>
      <c r="F881">
        <f>IF(Table2[[#This Row],[Attrition]]="Yes", 1, 0)</f>
        <v>0</v>
      </c>
      <c r="G881" t="s">
        <v>21</v>
      </c>
      <c r="H881" t="s">
        <v>17</v>
      </c>
      <c r="I881">
        <v>7</v>
      </c>
      <c r="J881">
        <v>4</v>
      </c>
      <c r="K881" t="s">
        <v>36</v>
      </c>
      <c r="L881">
        <v>2</v>
      </c>
      <c r="M881">
        <v>4</v>
      </c>
      <c r="N881" s="3">
        <v>5220</v>
      </c>
      <c r="O881" s="3" t="str">
        <f>IF(Table2[[#This Row],[MonthlyIncome]]&lt;=5000, "$1001 - $5000", IF(Table2[[#This Row],[MonthlyIncome]]&lt;=9000, "$5001 - $9000", IF(Table2[[#This Row],[MonthlyIncome]]&lt;=13000, "$9001 - $13000", IF(Table2[[#This Row],[MonthlyIncome]]&lt;=17000, "$13001 - $17000", IF(Table2[[#This Row],[MonthlyIncome]]&lt;=21000, "$17001 - $21000")))))</f>
        <v>$5001 - $9000</v>
      </c>
      <c r="P881">
        <v>0</v>
      </c>
      <c r="Q881">
        <v>3</v>
      </c>
      <c r="R881">
        <v>11</v>
      </c>
      <c r="S8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82" spans="1:19" ht="14.25" x14ac:dyDescent="0.2">
      <c r="A882">
        <v>42445269</v>
      </c>
      <c r="B882">
        <v>32</v>
      </c>
      <c r="C882" t="s">
        <v>20</v>
      </c>
      <c r="D882" t="s">
        <v>24</v>
      </c>
      <c r="E882" t="s">
        <v>22</v>
      </c>
      <c r="F882">
        <f>IF(Table2[[#This Row],[Attrition]]="Yes", 1, 0)</f>
        <v>0</v>
      </c>
      <c r="G882" t="s">
        <v>28</v>
      </c>
      <c r="H882" t="s">
        <v>23</v>
      </c>
      <c r="I882">
        <v>13</v>
      </c>
      <c r="J882">
        <v>3</v>
      </c>
      <c r="K882" t="s">
        <v>27</v>
      </c>
      <c r="L882">
        <v>3</v>
      </c>
      <c r="M882">
        <v>2</v>
      </c>
      <c r="N882" s="3">
        <v>2743</v>
      </c>
      <c r="O882" s="3" t="str">
        <f>IF(Table2[[#This Row],[MonthlyIncome]]&lt;=5000, "$1001 - $5000", IF(Table2[[#This Row],[MonthlyIncome]]&lt;=9000, "$5001 - $9000", IF(Table2[[#This Row],[MonthlyIncome]]&lt;=13000, "$9001 - $13000", IF(Table2[[#This Row],[MonthlyIncome]]&lt;=17000, "$13001 - $17000", IF(Table2[[#This Row],[MonthlyIncome]]&lt;=21000, "$17001 - $21000")))))</f>
        <v>$1001 - $5000</v>
      </c>
      <c r="P882">
        <v>1</v>
      </c>
      <c r="Q882">
        <v>3</v>
      </c>
      <c r="R882">
        <v>2</v>
      </c>
      <c r="S8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83" spans="1:19" ht="14.25" x14ac:dyDescent="0.2">
      <c r="A883">
        <v>12454138</v>
      </c>
      <c r="B883">
        <v>32</v>
      </c>
      <c r="C883" t="s">
        <v>20</v>
      </c>
      <c r="D883" t="s">
        <v>19</v>
      </c>
      <c r="E883" t="s">
        <v>22</v>
      </c>
      <c r="F883">
        <f>IF(Table2[[#This Row],[Attrition]]="Yes", 1, 0)</f>
        <v>0</v>
      </c>
      <c r="G883" t="s">
        <v>26</v>
      </c>
      <c r="H883" t="s">
        <v>23</v>
      </c>
      <c r="I883">
        <v>2</v>
      </c>
      <c r="J883">
        <v>2</v>
      </c>
      <c r="K883" t="s">
        <v>18</v>
      </c>
      <c r="L883">
        <v>4</v>
      </c>
      <c r="M883">
        <v>3</v>
      </c>
      <c r="N883" s="3">
        <v>4998</v>
      </c>
      <c r="O883" s="3" t="str">
        <f>IF(Table2[[#This Row],[MonthlyIncome]]&lt;=5000, "$1001 - $5000", IF(Table2[[#This Row],[MonthlyIncome]]&lt;=9000, "$5001 - $9000", IF(Table2[[#This Row],[MonthlyIncome]]&lt;=13000, "$9001 - $13000", IF(Table2[[#This Row],[MonthlyIncome]]&lt;=17000, "$13001 - $17000", IF(Table2[[#This Row],[MonthlyIncome]]&lt;=21000, "$17001 - $21000")))))</f>
        <v>$1001 - $5000</v>
      </c>
      <c r="P883">
        <v>4</v>
      </c>
      <c r="Q883">
        <v>3</v>
      </c>
      <c r="R883">
        <v>8</v>
      </c>
      <c r="S8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84" spans="1:19" ht="14.25" x14ac:dyDescent="0.2">
      <c r="A884">
        <v>69943126</v>
      </c>
      <c r="B884">
        <v>36</v>
      </c>
      <c r="C884" t="s">
        <v>20</v>
      </c>
      <c r="D884" t="s">
        <v>30</v>
      </c>
      <c r="E884" t="s">
        <v>22</v>
      </c>
      <c r="F884">
        <f>IF(Table2[[#This Row],[Attrition]]="Yes", 1, 0)</f>
        <v>0</v>
      </c>
      <c r="G884" t="s">
        <v>31</v>
      </c>
      <c r="H884" t="s">
        <v>23</v>
      </c>
      <c r="I884">
        <v>1</v>
      </c>
      <c r="J884">
        <v>3</v>
      </c>
      <c r="K884" t="s">
        <v>37</v>
      </c>
      <c r="L884">
        <v>3</v>
      </c>
      <c r="M884">
        <v>1</v>
      </c>
      <c r="N884" s="3">
        <v>10252</v>
      </c>
      <c r="O884" s="3" t="str">
        <f>IF(Table2[[#This Row],[MonthlyIncome]]&lt;=5000, "$1001 - $5000", IF(Table2[[#This Row],[MonthlyIncome]]&lt;=9000, "$5001 - $9000", IF(Table2[[#This Row],[MonthlyIncome]]&lt;=13000, "$9001 - $13000", IF(Table2[[#This Row],[MonthlyIncome]]&lt;=17000, "$13001 - $17000", IF(Table2[[#This Row],[MonthlyIncome]]&lt;=21000, "$17001 - $21000")))))</f>
        <v>$9001 - $13000</v>
      </c>
      <c r="P884">
        <v>2</v>
      </c>
      <c r="Q884">
        <v>3</v>
      </c>
      <c r="R884">
        <v>7</v>
      </c>
      <c r="S8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85" spans="1:19" ht="14.25" x14ac:dyDescent="0.2">
      <c r="A885">
        <v>11473498</v>
      </c>
      <c r="B885">
        <v>33</v>
      </c>
      <c r="C885" t="s">
        <v>25</v>
      </c>
      <c r="D885" t="s">
        <v>24</v>
      </c>
      <c r="E885" t="s">
        <v>22</v>
      </c>
      <c r="F885">
        <f>IF(Table2[[#This Row],[Attrition]]="Yes", 1, 0)</f>
        <v>0</v>
      </c>
      <c r="G885" t="s">
        <v>26</v>
      </c>
      <c r="H885" t="s">
        <v>23</v>
      </c>
      <c r="I885">
        <v>9</v>
      </c>
      <c r="J885">
        <v>3</v>
      </c>
      <c r="K885" t="s">
        <v>29</v>
      </c>
      <c r="L885">
        <v>1</v>
      </c>
      <c r="M885">
        <v>4</v>
      </c>
      <c r="N885" s="3">
        <v>2781</v>
      </c>
      <c r="O885" s="3" t="str">
        <f>IF(Table2[[#This Row],[MonthlyIncome]]&lt;=5000, "$1001 - $5000", IF(Table2[[#This Row],[MonthlyIncome]]&lt;=9000, "$5001 - $9000", IF(Table2[[#This Row],[MonthlyIncome]]&lt;=13000, "$9001 - $13000", IF(Table2[[#This Row],[MonthlyIncome]]&lt;=17000, "$13001 - $17000", IF(Table2[[#This Row],[MonthlyIncome]]&lt;=21000, "$17001 - $21000")))))</f>
        <v>$1001 - $5000</v>
      </c>
      <c r="P885">
        <v>0</v>
      </c>
      <c r="Q885">
        <v>3</v>
      </c>
      <c r="R885">
        <v>14</v>
      </c>
      <c r="S8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86" spans="1:19" ht="14.25" x14ac:dyDescent="0.2">
      <c r="A886">
        <v>27267119</v>
      </c>
      <c r="B886">
        <v>40</v>
      </c>
      <c r="C886" t="s">
        <v>20</v>
      </c>
      <c r="D886" t="s">
        <v>30</v>
      </c>
      <c r="E886" t="s">
        <v>22</v>
      </c>
      <c r="F886">
        <f>IF(Table2[[#This Row],[Attrition]]="Yes", 1, 0)</f>
        <v>0</v>
      </c>
      <c r="G886" t="s">
        <v>21</v>
      </c>
      <c r="H886" t="s">
        <v>17</v>
      </c>
      <c r="I886">
        <v>10</v>
      </c>
      <c r="J886">
        <v>3</v>
      </c>
      <c r="K886" t="s">
        <v>37</v>
      </c>
      <c r="L886">
        <v>2</v>
      </c>
      <c r="M886">
        <v>2</v>
      </c>
      <c r="N886" s="3">
        <v>6852</v>
      </c>
      <c r="O886" s="3" t="str">
        <f>IF(Table2[[#This Row],[MonthlyIncome]]&lt;=5000, "$1001 - $5000", IF(Table2[[#This Row],[MonthlyIncome]]&lt;=9000, "$5001 - $9000", IF(Table2[[#This Row],[MonthlyIncome]]&lt;=13000, "$9001 - $13000", IF(Table2[[#This Row],[MonthlyIncome]]&lt;=17000, "$13001 - $17000", IF(Table2[[#This Row],[MonthlyIncome]]&lt;=21000, "$17001 - $21000")))))</f>
        <v>$5001 - $9000</v>
      </c>
      <c r="P886">
        <v>7</v>
      </c>
      <c r="Q886">
        <v>4</v>
      </c>
      <c r="R886">
        <v>5</v>
      </c>
      <c r="S8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87" spans="1:19" ht="14.25" x14ac:dyDescent="0.2">
      <c r="A887">
        <v>19467420</v>
      </c>
      <c r="B887">
        <v>25</v>
      </c>
      <c r="C887" t="s">
        <v>25</v>
      </c>
      <c r="D887" t="s">
        <v>19</v>
      </c>
      <c r="E887" t="s">
        <v>22</v>
      </c>
      <c r="F887">
        <f>IF(Table2[[#This Row],[Attrition]]="Yes", 1, 0)</f>
        <v>0</v>
      </c>
      <c r="G887" t="s">
        <v>21</v>
      </c>
      <c r="H887" t="s">
        <v>17</v>
      </c>
      <c r="I887">
        <v>10</v>
      </c>
      <c r="J887">
        <v>4</v>
      </c>
      <c r="K887" t="s">
        <v>18</v>
      </c>
      <c r="L887">
        <v>3</v>
      </c>
      <c r="M887">
        <v>4</v>
      </c>
      <c r="N887" s="3">
        <v>4950</v>
      </c>
      <c r="O887" s="3" t="str">
        <f>IF(Table2[[#This Row],[MonthlyIncome]]&lt;=5000, "$1001 - $5000", IF(Table2[[#This Row],[MonthlyIncome]]&lt;=9000, "$5001 - $9000", IF(Table2[[#This Row],[MonthlyIncome]]&lt;=13000, "$9001 - $13000", IF(Table2[[#This Row],[MonthlyIncome]]&lt;=17000, "$13001 - $17000", IF(Table2[[#This Row],[MonthlyIncome]]&lt;=21000, "$17001 - $21000")))))</f>
        <v>$1001 - $5000</v>
      </c>
      <c r="P887">
        <v>0</v>
      </c>
      <c r="Q887">
        <v>3</v>
      </c>
      <c r="R887">
        <v>4</v>
      </c>
      <c r="S8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88" spans="1:19" ht="14.25" x14ac:dyDescent="0.2">
      <c r="A888">
        <v>15765907</v>
      </c>
      <c r="B888">
        <v>30</v>
      </c>
      <c r="C888" t="s">
        <v>25</v>
      </c>
      <c r="D888" t="s">
        <v>24</v>
      </c>
      <c r="E888" t="s">
        <v>22</v>
      </c>
      <c r="F888">
        <f>IF(Table2[[#This Row],[Attrition]]="Yes", 1, 0)</f>
        <v>0</v>
      </c>
      <c r="G888" t="s">
        <v>26</v>
      </c>
      <c r="H888" t="s">
        <v>23</v>
      </c>
      <c r="I888">
        <v>1</v>
      </c>
      <c r="J888">
        <v>3</v>
      </c>
      <c r="K888" t="s">
        <v>29</v>
      </c>
      <c r="L888">
        <v>4</v>
      </c>
      <c r="M888">
        <v>2</v>
      </c>
      <c r="N888" s="3">
        <v>3579</v>
      </c>
      <c r="O888" s="3" t="str">
        <f>IF(Table2[[#This Row],[MonthlyIncome]]&lt;=5000, "$1001 - $5000", IF(Table2[[#This Row],[MonthlyIncome]]&lt;=9000, "$5001 - $9000", IF(Table2[[#This Row],[MonthlyIncome]]&lt;=13000, "$9001 - $13000", IF(Table2[[#This Row],[MonthlyIncome]]&lt;=17000, "$13001 - $17000", IF(Table2[[#This Row],[MonthlyIncome]]&lt;=21000, "$17001 - $21000")))))</f>
        <v>$1001 - $5000</v>
      </c>
      <c r="P888">
        <v>0</v>
      </c>
      <c r="Q888">
        <v>3</v>
      </c>
      <c r="R888">
        <v>11</v>
      </c>
      <c r="S8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89" spans="1:19" ht="14.25" x14ac:dyDescent="0.2">
      <c r="A889">
        <v>60287538</v>
      </c>
      <c r="B889">
        <v>42</v>
      </c>
      <c r="C889" t="s">
        <v>20</v>
      </c>
      <c r="D889" t="s">
        <v>24</v>
      </c>
      <c r="E889" t="s">
        <v>22</v>
      </c>
      <c r="F889">
        <f>IF(Table2[[#This Row],[Attrition]]="Yes", 1, 0)</f>
        <v>0</v>
      </c>
      <c r="G889" t="s">
        <v>35</v>
      </c>
      <c r="H889" t="s">
        <v>23</v>
      </c>
      <c r="I889">
        <v>26</v>
      </c>
      <c r="J889">
        <v>5</v>
      </c>
      <c r="K889" t="s">
        <v>29</v>
      </c>
      <c r="L889">
        <v>1</v>
      </c>
      <c r="M889">
        <v>1</v>
      </c>
      <c r="N889" s="3">
        <v>13191</v>
      </c>
      <c r="O889" s="3" t="str">
        <f>IF(Table2[[#This Row],[MonthlyIncome]]&lt;=5000, "$1001 - $5000", IF(Table2[[#This Row],[MonthlyIncome]]&lt;=9000, "$5001 - $9000", IF(Table2[[#This Row],[MonthlyIncome]]&lt;=13000, "$9001 - $13000", IF(Table2[[#This Row],[MonthlyIncome]]&lt;=17000, "$13001 - $17000", IF(Table2[[#This Row],[MonthlyIncome]]&lt;=21000, "$17001 - $21000")))))</f>
        <v>$13001 - $17000</v>
      </c>
      <c r="P889">
        <v>3</v>
      </c>
      <c r="Q889">
        <v>3</v>
      </c>
      <c r="R889">
        <v>1</v>
      </c>
      <c r="S8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90" spans="1:19" ht="14.25" x14ac:dyDescent="0.2">
      <c r="A890">
        <v>29136652</v>
      </c>
      <c r="B890">
        <v>35</v>
      </c>
      <c r="C890" t="s">
        <v>20</v>
      </c>
      <c r="D890" t="s">
        <v>24</v>
      </c>
      <c r="E890" t="s">
        <v>22</v>
      </c>
      <c r="F890">
        <f>IF(Table2[[#This Row],[Attrition]]="Yes", 1, 0)</f>
        <v>0</v>
      </c>
      <c r="G890" t="s">
        <v>21</v>
      </c>
      <c r="H890" t="s">
        <v>17</v>
      </c>
      <c r="I890">
        <v>8</v>
      </c>
      <c r="J890">
        <v>2</v>
      </c>
      <c r="K890" t="s">
        <v>36</v>
      </c>
      <c r="L890">
        <v>3</v>
      </c>
      <c r="M890">
        <v>4</v>
      </c>
      <c r="N890" s="3">
        <v>10377</v>
      </c>
      <c r="O890" s="3" t="str">
        <f>IF(Table2[[#This Row],[MonthlyIncome]]&lt;=5000, "$1001 - $5000", IF(Table2[[#This Row],[MonthlyIncome]]&lt;=9000, "$5001 - $9000", IF(Table2[[#This Row],[MonthlyIncome]]&lt;=13000, "$9001 - $13000", IF(Table2[[#This Row],[MonthlyIncome]]&lt;=17000, "$13001 - $17000", IF(Table2[[#This Row],[MonthlyIncome]]&lt;=21000, "$17001 - $21000")))))</f>
        <v>$9001 - $13000</v>
      </c>
      <c r="P890">
        <v>4</v>
      </c>
      <c r="Q890">
        <v>2</v>
      </c>
      <c r="R890">
        <v>13</v>
      </c>
      <c r="S8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91" spans="1:19" ht="14.25" x14ac:dyDescent="0.2">
      <c r="A891">
        <v>39603950</v>
      </c>
      <c r="B891">
        <v>27</v>
      </c>
      <c r="C891" t="s">
        <v>25</v>
      </c>
      <c r="D891" t="s">
        <v>24</v>
      </c>
      <c r="E891" t="s">
        <v>22</v>
      </c>
      <c r="F891">
        <f>IF(Table2[[#This Row],[Attrition]]="Yes", 1, 0)</f>
        <v>0</v>
      </c>
      <c r="G891" t="s">
        <v>26</v>
      </c>
      <c r="H891" t="s">
        <v>23</v>
      </c>
      <c r="I891">
        <v>14</v>
      </c>
      <c r="J891">
        <v>3</v>
      </c>
      <c r="K891" t="s">
        <v>18</v>
      </c>
      <c r="L891">
        <v>1</v>
      </c>
      <c r="M891">
        <v>1</v>
      </c>
      <c r="N891" s="3">
        <v>2235</v>
      </c>
      <c r="O891" s="3" t="str">
        <f>IF(Table2[[#This Row],[MonthlyIncome]]&lt;=5000, "$1001 - $5000", IF(Table2[[#This Row],[MonthlyIncome]]&lt;=9000, "$5001 - $9000", IF(Table2[[#This Row],[MonthlyIncome]]&lt;=13000, "$9001 - $13000", IF(Table2[[#This Row],[MonthlyIncome]]&lt;=17000, "$13001 - $17000", IF(Table2[[#This Row],[MonthlyIncome]]&lt;=21000, "$17001 - $21000")))))</f>
        <v>$1001 - $5000</v>
      </c>
      <c r="P891">
        <v>1</v>
      </c>
      <c r="Q891">
        <v>2</v>
      </c>
      <c r="R891">
        <v>9</v>
      </c>
      <c r="S8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92" spans="1:19" ht="14.25" x14ac:dyDescent="0.2">
      <c r="A892">
        <v>17370995</v>
      </c>
      <c r="B892">
        <v>54</v>
      </c>
      <c r="C892" t="s">
        <v>20</v>
      </c>
      <c r="D892" t="s">
        <v>30</v>
      </c>
      <c r="E892" t="s">
        <v>22</v>
      </c>
      <c r="F892">
        <f>IF(Table2[[#This Row],[Attrition]]="Yes", 1, 0)</f>
        <v>0</v>
      </c>
      <c r="G892" t="s">
        <v>31</v>
      </c>
      <c r="H892" t="s">
        <v>23</v>
      </c>
      <c r="I892">
        <v>1</v>
      </c>
      <c r="J892">
        <v>4</v>
      </c>
      <c r="K892" t="s">
        <v>18</v>
      </c>
      <c r="L892">
        <v>4</v>
      </c>
      <c r="M892">
        <v>3</v>
      </c>
      <c r="N892" s="3">
        <v>10502</v>
      </c>
      <c r="O892" s="3" t="str">
        <f>IF(Table2[[#This Row],[MonthlyIncome]]&lt;=5000, "$1001 - $5000", IF(Table2[[#This Row],[MonthlyIncome]]&lt;=9000, "$5001 - $9000", IF(Table2[[#This Row],[MonthlyIncome]]&lt;=13000, "$9001 - $13000", IF(Table2[[#This Row],[MonthlyIncome]]&lt;=17000, "$13001 - $17000", IF(Table2[[#This Row],[MonthlyIncome]]&lt;=21000, "$17001 - $21000")))))</f>
        <v>$9001 - $13000</v>
      </c>
      <c r="P892">
        <v>7</v>
      </c>
      <c r="Q892">
        <v>1</v>
      </c>
      <c r="R892">
        <v>5</v>
      </c>
      <c r="S8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93" spans="1:19" ht="14.25" x14ac:dyDescent="0.2">
      <c r="A893">
        <v>59155237</v>
      </c>
      <c r="B893">
        <v>44</v>
      </c>
      <c r="C893" t="s">
        <v>20</v>
      </c>
      <c r="D893" t="s">
        <v>24</v>
      </c>
      <c r="E893" t="s">
        <v>22</v>
      </c>
      <c r="F893">
        <f>IF(Table2[[#This Row],[Attrition]]="Yes", 1, 0)</f>
        <v>0</v>
      </c>
      <c r="G893" t="s">
        <v>26</v>
      </c>
      <c r="H893" t="s">
        <v>23</v>
      </c>
      <c r="I893">
        <v>2</v>
      </c>
      <c r="J893">
        <v>1</v>
      </c>
      <c r="K893" t="s">
        <v>18</v>
      </c>
      <c r="L893">
        <v>1</v>
      </c>
      <c r="M893">
        <v>4</v>
      </c>
      <c r="N893" s="3">
        <v>2011</v>
      </c>
      <c r="O893" s="3" t="str">
        <f>IF(Table2[[#This Row],[MonthlyIncome]]&lt;=5000, "$1001 - $5000", IF(Table2[[#This Row],[MonthlyIncome]]&lt;=9000, "$5001 - $9000", IF(Table2[[#This Row],[MonthlyIncome]]&lt;=13000, "$9001 - $13000", IF(Table2[[#This Row],[MonthlyIncome]]&lt;=17000, "$13001 - $17000", IF(Table2[[#This Row],[MonthlyIncome]]&lt;=21000, "$17001 - $21000")))))</f>
        <v>$1001 - $5000</v>
      </c>
      <c r="P893">
        <v>1</v>
      </c>
      <c r="Q893">
        <v>3</v>
      </c>
      <c r="R893">
        <v>10</v>
      </c>
      <c r="S8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94" spans="1:19" ht="14.25" x14ac:dyDescent="0.2">
      <c r="A894">
        <v>10509378</v>
      </c>
      <c r="B894">
        <v>19</v>
      </c>
      <c r="C894" t="s">
        <v>20</v>
      </c>
      <c r="D894" t="s">
        <v>19</v>
      </c>
      <c r="E894" t="s">
        <v>16</v>
      </c>
      <c r="F894">
        <f>IF(Table2[[#This Row],[Attrition]]="Yes", 1, 0)</f>
        <v>1</v>
      </c>
      <c r="G894" t="s">
        <v>26</v>
      </c>
      <c r="H894" t="s">
        <v>23</v>
      </c>
      <c r="I894">
        <v>10</v>
      </c>
      <c r="J894">
        <v>3</v>
      </c>
      <c r="K894" t="s">
        <v>29</v>
      </c>
      <c r="L894">
        <v>1</v>
      </c>
      <c r="M894">
        <v>2</v>
      </c>
      <c r="N894" s="3">
        <v>1859</v>
      </c>
      <c r="O894" s="3" t="str">
        <f>IF(Table2[[#This Row],[MonthlyIncome]]&lt;=5000, "$1001 - $5000", IF(Table2[[#This Row],[MonthlyIncome]]&lt;=9000, "$5001 - $9000", IF(Table2[[#This Row],[MonthlyIncome]]&lt;=13000, "$9001 - $13000", IF(Table2[[#This Row],[MonthlyIncome]]&lt;=17000, "$13001 - $17000", IF(Table2[[#This Row],[MonthlyIncome]]&lt;=21000, "$17001 - $21000")))))</f>
        <v>$1001 - $5000</v>
      </c>
      <c r="P894">
        <v>1</v>
      </c>
      <c r="Q894">
        <v>4</v>
      </c>
      <c r="R894">
        <v>1</v>
      </c>
      <c r="S8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95" spans="1:19" ht="14.25" x14ac:dyDescent="0.2">
      <c r="A895">
        <v>77256810</v>
      </c>
      <c r="B895">
        <v>29</v>
      </c>
      <c r="C895" t="s">
        <v>20</v>
      </c>
      <c r="D895" t="s">
        <v>30</v>
      </c>
      <c r="E895" t="s">
        <v>22</v>
      </c>
      <c r="F895">
        <f>IF(Table2[[#This Row],[Attrition]]="Yes", 1, 0)</f>
        <v>0</v>
      </c>
      <c r="G895" t="s">
        <v>26</v>
      </c>
      <c r="H895" t="s">
        <v>23</v>
      </c>
      <c r="I895">
        <v>1</v>
      </c>
      <c r="J895">
        <v>3</v>
      </c>
      <c r="K895" t="s">
        <v>18</v>
      </c>
      <c r="L895">
        <v>1</v>
      </c>
      <c r="M895">
        <v>4</v>
      </c>
      <c r="N895" s="3">
        <v>3760</v>
      </c>
      <c r="O895" s="3" t="str">
        <f>IF(Table2[[#This Row],[MonthlyIncome]]&lt;=5000, "$1001 - $5000", IF(Table2[[#This Row],[MonthlyIncome]]&lt;=9000, "$5001 - $9000", IF(Table2[[#This Row],[MonthlyIncome]]&lt;=13000, "$9001 - $13000", IF(Table2[[#This Row],[MonthlyIncome]]&lt;=17000, "$13001 - $17000", IF(Table2[[#This Row],[MonthlyIncome]]&lt;=21000, "$17001 - $21000")))))</f>
        <v>$1001 - $5000</v>
      </c>
      <c r="P895">
        <v>1</v>
      </c>
      <c r="Q895">
        <v>3</v>
      </c>
      <c r="R895">
        <v>3</v>
      </c>
      <c r="S8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896" spans="1:19" ht="14.25" x14ac:dyDescent="0.2">
      <c r="A896">
        <v>25345119</v>
      </c>
      <c r="B896">
        <v>54</v>
      </c>
      <c r="C896" t="s">
        <v>25</v>
      </c>
      <c r="D896" t="s">
        <v>24</v>
      </c>
      <c r="E896" t="s">
        <v>22</v>
      </c>
      <c r="F896">
        <f>IF(Table2[[#This Row],[Attrition]]="Yes", 1, 0)</f>
        <v>0</v>
      </c>
      <c r="G896" t="s">
        <v>35</v>
      </c>
      <c r="H896" t="s">
        <v>23</v>
      </c>
      <c r="I896">
        <v>3</v>
      </c>
      <c r="J896">
        <v>3</v>
      </c>
      <c r="K896" t="s">
        <v>18</v>
      </c>
      <c r="L896">
        <v>4</v>
      </c>
      <c r="M896">
        <v>4</v>
      </c>
      <c r="N896" s="3">
        <v>17779</v>
      </c>
      <c r="O896" s="3" t="str">
        <f>IF(Table2[[#This Row],[MonthlyIncome]]&lt;=5000, "$1001 - $5000", IF(Table2[[#This Row],[MonthlyIncome]]&lt;=9000, "$5001 - $9000", IF(Table2[[#This Row],[MonthlyIncome]]&lt;=13000, "$9001 - $13000", IF(Table2[[#This Row],[MonthlyIncome]]&lt;=17000, "$13001 - $17000", IF(Table2[[#This Row],[MonthlyIncome]]&lt;=21000, "$17001 - $21000")))))</f>
        <v>$17001 - $21000</v>
      </c>
      <c r="P896">
        <v>3</v>
      </c>
      <c r="Q896">
        <v>3</v>
      </c>
      <c r="R896">
        <v>10</v>
      </c>
      <c r="S8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97" spans="1:19" ht="14.25" x14ac:dyDescent="0.2">
      <c r="A897">
        <v>85951869</v>
      </c>
      <c r="B897">
        <v>31</v>
      </c>
      <c r="C897" t="s">
        <v>25</v>
      </c>
      <c r="D897" t="s">
        <v>24</v>
      </c>
      <c r="E897" t="s">
        <v>22</v>
      </c>
      <c r="F897">
        <f>IF(Table2[[#This Row],[Attrition]]="Yes", 1, 0)</f>
        <v>0</v>
      </c>
      <c r="G897" t="s">
        <v>32</v>
      </c>
      <c r="H897" t="s">
        <v>23</v>
      </c>
      <c r="I897">
        <v>11</v>
      </c>
      <c r="J897">
        <v>2</v>
      </c>
      <c r="K897" t="s">
        <v>29</v>
      </c>
      <c r="L897">
        <v>3</v>
      </c>
      <c r="M897">
        <v>1</v>
      </c>
      <c r="N897" s="3">
        <v>6833</v>
      </c>
      <c r="O897" s="3" t="str">
        <f>IF(Table2[[#This Row],[MonthlyIncome]]&lt;=5000, "$1001 - $5000", IF(Table2[[#This Row],[MonthlyIncome]]&lt;=9000, "$5001 - $9000", IF(Table2[[#This Row],[MonthlyIncome]]&lt;=13000, "$9001 - $13000", IF(Table2[[#This Row],[MonthlyIncome]]&lt;=17000, "$13001 - $17000", IF(Table2[[#This Row],[MonthlyIncome]]&lt;=21000, "$17001 - $21000")))))</f>
        <v>$5001 - $9000</v>
      </c>
      <c r="P897">
        <v>1</v>
      </c>
      <c r="Q897">
        <v>2</v>
      </c>
      <c r="R897">
        <v>6</v>
      </c>
      <c r="S8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898" spans="1:19" ht="14.25" x14ac:dyDescent="0.2">
      <c r="A898">
        <v>60589104</v>
      </c>
      <c r="B898">
        <v>31</v>
      </c>
      <c r="C898" t="s">
        <v>20</v>
      </c>
      <c r="D898" t="s">
        <v>19</v>
      </c>
      <c r="E898" t="s">
        <v>22</v>
      </c>
      <c r="F898">
        <f>IF(Table2[[#This Row],[Attrition]]="Yes", 1, 0)</f>
        <v>0</v>
      </c>
      <c r="G898" t="s">
        <v>32</v>
      </c>
      <c r="H898" t="s">
        <v>23</v>
      </c>
      <c r="I898">
        <v>24</v>
      </c>
      <c r="J898">
        <v>3</v>
      </c>
      <c r="K898" t="s">
        <v>29</v>
      </c>
      <c r="L898">
        <v>3</v>
      </c>
      <c r="M898">
        <v>1</v>
      </c>
      <c r="N898" s="3">
        <v>6812</v>
      </c>
      <c r="O898" s="3" t="str">
        <f>IF(Table2[[#This Row],[MonthlyIncome]]&lt;=5000, "$1001 - $5000", IF(Table2[[#This Row],[MonthlyIncome]]&lt;=9000, "$5001 - $9000", IF(Table2[[#This Row],[MonthlyIncome]]&lt;=13000, "$9001 - $13000", IF(Table2[[#This Row],[MonthlyIncome]]&lt;=17000, "$13001 - $17000", IF(Table2[[#This Row],[MonthlyIncome]]&lt;=21000, "$17001 - $21000")))))</f>
        <v>$5001 - $9000</v>
      </c>
      <c r="P898">
        <v>1</v>
      </c>
      <c r="Q898">
        <v>3</v>
      </c>
      <c r="R898">
        <v>10</v>
      </c>
      <c r="S8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899" spans="1:19" ht="14.25" x14ac:dyDescent="0.2">
      <c r="A899">
        <v>18841009</v>
      </c>
      <c r="B899">
        <v>59</v>
      </c>
      <c r="C899" t="s">
        <v>20</v>
      </c>
      <c r="D899" t="s">
        <v>19</v>
      </c>
      <c r="E899" t="s">
        <v>22</v>
      </c>
      <c r="F899">
        <f>IF(Table2[[#This Row],[Attrition]]="Yes", 1, 0)</f>
        <v>0</v>
      </c>
      <c r="G899" t="s">
        <v>21</v>
      </c>
      <c r="H899" t="s">
        <v>17</v>
      </c>
      <c r="I899">
        <v>3</v>
      </c>
      <c r="J899">
        <v>3</v>
      </c>
      <c r="K899" t="s">
        <v>18</v>
      </c>
      <c r="L899">
        <v>3</v>
      </c>
      <c r="M899">
        <v>4</v>
      </c>
      <c r="N899" s="3">
        <v>5171</v>
      </c>
      <c r="O899" s="3" t="str">
        <f>IF(Table2[[#This Row],[MonthlyIncome]]&lt;=5000, "$1001 - $5000", IF(Table2[[#This Row],[MonthlyIncome]]&lt;=9000, "$5001 - $9000", IF(Table2[[#This Row],[MonthlyIncome]]&lt;=13000, "$9001 - $13000", IF(Table2[[#This Row],[MonthlyIncome]]&lt;=17000, "$13001 - $17000", IF(Table2[[#This Row],[MonthlyIncome]]&lt;=21000, "$17001 - $21000")))))</f>
        <v>$5001 - $9000</v>
      </c>
      <c r="P899">
        <v>5</v>
      </c>
      <c r="Q899">
        <v>3</v>
      </c>
      <c r="R899">
        <v>6</v>
      </c>
      <c r="S8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00" spans="1:19" ht="14.25" x14ac:dyDescent="0.2">
      <c r="A900">
        <v>28598606</v>
      </c>
      <c r="B900">
        <v>43</v>
      </c>
      <c r="C900" t="s">
        <v>25</v>
      </c>
      <c r="D900" t="s">
        <v>24</v>
      </c>
      <c r="E900" t="s">
        <v>22</v>
      </c>
      <c r="F900">
        <f>IF(Table2[[#This Row],[Attrition]]="Yes", 1, 0)</f>
        <v>0</v>
      </c>
      <c r="G900" t="s">
        <v>35</v>
      </c>
      <c r="H900" t="s">
        <v>23</v>
      </c>
      <c r="I900">
        <v>3</v>
      </c>
      <c r="J900">
        <v>3</v>
      </c>
      <c r="K900" t="s">
        <v>18</v>
      </c>
      <c r="L900">
        <v>3</v>
      </c>
      <c r="M900">
        <v>4</v>
      </c>
      <c r="N900" s="3">
        <v>19740</v>
      </c>
      <c r="O900" s="3" t="str">
        <f>IF(Table2[[#This Row],[MonthlyIncome]]&lt;=5000, "$1001 - $5000", IF(Table2[[#This Row],[MonthlyIncome]]&lt;=9000, "$5001 - $9000", IF(Table2[[#This Row],[MonthlyIncome]]&lt;=13000, "$9001 - $13000", IF(Table2[[#This Row],[MonthlyIncome]]&lt;=17000, "$13001 - $17000", IF(Table2[[#This Row],[MonthlyIncome]]&lt;=21000, "$17001 - $21000")))))</f>
        <v>$17001 - $21000</v>
      </c>
      <c r="P900">
        <v>3</v>
      </c>
      <c r="Q900">
        <v>3</v>
      </c>
      <c r="R900">
        <v>8</v>
      </c>
      <c r="S9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01" spans="1:19" ht="14.25" x14ac:dyDescent="0.2">
      <c r="A901">
        <v>63740309</v>
      </c>
      <c r="B901">
        <v>49</v>
      </c>
      <c r="C901" t="s">
        <v>25</v>
      </c>
      <c r="D901" t="s">
        <v>24</v>
      </c>
      <c r="E901" t="s">
        <v>22</v>
      </c>
      <c r="F901">
        <f>IF(Table2[[#This Row],[Attrition]]="Yes", 1, 0)</f>
        <v>0</v>
      </c>
      <c r="G901" t="s">
        <v>33</v>
      </c>
      <c r="H901" t="s">
        <v>23</v>
      </c>
      <c r="I901">
        <v>4</v>
      </c>
      <c r="J901">
        <v>2</v>
      </c>
      <c r="K901" t="s">
        <v>29</v>
      </c>
      <c r="L901">
        <v>1</v>
      </c>
      <c r="M901">
        <v>3</v>
      </c>
      <c r="N901" s="3">
        <v>18711</v>
      </c>
      <c r="O901" s="3" t="str">
        <f>IF(Table2[[#This Row],[MonthlyIncome]]&lt;=5000, "$1001 - $5000", IF(Table2[[#This Row],[MonthlyIncome]]&lt;=9000, "$5001 - $9000", IF(Table2[[#This Row],[MonthlyIncome]]&lt;=13000, "$9001 - $13000", IF(Table2[[#This Row],[MonthlyIncome]]&lt;=17000, "$13001 - $17000", IF(Table2[[#This Row],[MonthlyIncome]]&lt;=21000, "$17001 - $21000")))))</f>
        <v>$17001 - $21000</v>
      </c>
      <c r="P901">
        <v>2</v>
      </c>
      <c r="Q901">
        <v>4</v>
      </c>
      <c r="R901">
        <v>1</v>
      </c>
      <c r="S9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02" spans="1:19" ht="14.25" x14ac:dyDescent="0.2">
      <c r="A902">
        <v>48361244</v>
      </c>
      <c r="B902">
        <v>36</v>
      </c>
      <c r="C902" t="s">
        <v>25</v>
      </c>
      <c r="D902" t="s">
        <v>24</v>
      </c>
      <c r="E902" t="s">
        <v>22</v>
      </c>
      <c r="F902">
        <f>IF(Table2[[#This Row],[Attrition]]="Yes", 1, 0)</f>
        <v>0</v>
      </c>
      <c r="G902" t="s">
        <v>26</v>
      </c>
      <c r="H902" t="s">
        <v>23</v>
      </c>
      <c r="I902">
        <v>3</v>
      </c>
      <c r="J902">
        <v>3</v>
      </c>
      <c r="K902" t="s">
        <v>37</v>
      </c>
      <c r="L902">
        <v>3</v>
      </c>
      <c r="M902">
        <v>2</v>
      </c>
      <c r="N902" s="3">
        <v>3692</v>
      </c>
      <c r="O902" s="3" t="str">
        <f>IF(Table2[[#This Row],[MonthlyIncome]]&lt;=5000, "$1001 - $5000", IF(Table2[[#This Row],[MonthlyIncome]]&lt;=9000, "$5001 - $9000", IF(Table2[[#This Row],[MonthlyIncome]]&lt;=13000, "$9001 - $13000", IF(Table2[[#This Row],[MonthlyIncome]]&lt;=17000, "$13001 - $17000", IF(Table2[[#This Row],[MonthlyIncome]]&lt;=21000, "$17001 - $21000")))))</f>
        <v>$1001 - $5000</v>
      </c>
      <c r="P902">
        <v>1</v>
      </c>
      <c r="Q902">
        <v>2</v>
      </c>
      <c r="R902">
        <v>11</v>
      </c>
      <c r="S9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03" spans="1:19" ht="14.25" x14ac:dyDescent="0.2">
      <c r="A903">
        <v>23363442</v>
      </c>
      <c r="B903">
        <v>48</v>
      </c>
      <c r="C903" t="s">
        <v>25</v>
      </c>
      <c r="D903" t="s">
        <v>19</v>
      </c>
      <c r="E903" t="s">
        <v>22</v>
      </c>
      <c r="F903">
        <f>IF(Table2[[#This Row],[Attrition]]="Yes", 1, 0)</f>
        <v>0</v>
      </c>
      <c r="G903" t="s">
        <v>28</v>
      </c>
      <c r="H903" t="s">
        <v>23</v>
      </c>
      <c r="I903">
        <v>2</v>
      </c>
      <c r="J903">
        <v>2</v>
      </c>
      <c r="K903" t="s">
        <v>37</v>
      </c>
      <c r="L903">
        <v>4</v>
      </c>
      <c r="M903">
        <v>2</v>
      </c>
      <c r="N903" s="3">
        <v>2559</v>
      </c>
      <c r="O903" s="3" t="str">
        <f>IF(Table2[[#This Row],[MonthlyIncome]]&lt;=5000, "$1001 - $5000", IF(Table2[[#This Row],[MonthlyIncome]]&lt;=9000, "$5001 - $9000", IF(Table2[[#This Row],[MonthlyIncome]]&lt;=13000, "$9001 - $13000", IF(Table2[[#This Row],[MonthlyIncome]]&lt;=17000, "$13001 - $17000", IF(Table2[[#This Row],[MonthlyIncome]]&lt;=21000, "$17001 - $21000")))))</f>
        <v>$1001 - $5000</v>
      </c>
      <c r="P903">
        <v>5</v>
      </c>
      <c r="Q903">
        <v>2</v>
      </c>
      <c r="R903">
        <v>1</v>
      </c>
      <c r="S9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04" spans="1:19" ht="14.25" x14ac:dyDescent="0.2">
      <c r="A904">
        <v>66242134</v>
      </c>
      <c r="B904">
        <v>27</v>
      </c>
      <c r="C904" t="s">
        <v>25</v>
      </c>
      <c r="D904" t="s">
        <v>30</v>
      </c>
      <c r="E904" t="s">
        <v>22</v>
      </c>
      <c r="F904">
        <f>IF(Table2[[#This Row],[Attrition]]="Yes", 1, 0)</f>
        <v>0</v>
      </c>
      <c r="G904" t="s">
        <v>26</v>
      </c>
      <c r="H904" t="s">
        <v>23</v>
      </c>
      <c r="I904">
        <v>4</v>
      </c>
      <c r="J904">
        <v>2</v>
      </c>
      <c r="K904" t="s">
        <v>18</v>
      </c>
      <c r="L904">
        <v>1</v>
      </c>
      <c r="M904">
        <v>3</v>
      </c>
      <c r="N904" s="3">
        <v>2517</v>
      </c>
      <c r="O904" s="3" t="str">
        <f>IF(Table2[[#This Row],[MonthlyIncome]]&lt;=5000, "$1001 - $5000", IF(Table2[[#This Row],[MonthlyIncome]]&lt;=9000, "$5001 - $9000", IF(Table2[[#This Row],[MonthlyIncome]]&lt;=13000, "$9001 - $13000", IF(Table2[[#This Row],[MonthlyIncome]]&lt;=17000, "$13001 - $17000", IF(Table2[[#This Row],[MonthlyIncome]]&lt;=21000, "$17001 - $21000")))))</f>
        <v>$1001 - $5000</v>
      </c>
      <c r="P904">
        <v>1</v>
      </c>
      <c r="Q904">
        <v>3</v>
      </c>
      <c r="R904">
        <v>5</v>
      </c>
      <c r="S9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05" spans="1:19" ht="14.25" x14ac:dyDescent="0.2">
      <c r="A905">
        <v>59065050</v>
      </c>
      <c r="B905">
        <v>29</v>
      </c>
      <c r="C905" t="s">
        <v>25</v>
      </c>
      <c r="D905" t="s">
        <v>30</v>
      </c>
      <c r="E905" t="s">
        <v>22</v>
      </c>
      <c r="F905">
        <f>IF(Table2[[#This Row],[Attrition]]="Yes", 1, 0)</f>
        <v>0</v>
      </c>
      <c r="G905" t="s">
        <v>32</v>
      </c>
      <c r="H905" t="s">
        <v>23</v>
      </c>
      <c r="I905">
        <v>7</v>
      </c>
      <c r="J905">
        <v>3</v>
      </c>
      <c r="K905" t="s">
        <v>18</v>
      </c>
      <c r="L905">
        <v>3</v>
      </c>
      <c r="M905">
        <v>4</v>
      </c>
      <c r="N905" s="3">
        <v>6623</v>
      </c>
      <c r="O905" s="3" t="str">
        <f>IF(Table2[[#This Row],[MonthlyIncome]]&lt;=5000, "$1001 - $5000", IF(Table2[[#This Row],[MonthlyIncome]]&lt;=9000, "$5001 - $9000", IF(Table2[[#This Row],[MonthlyIncome]]&lt;=13000, "$9001 - $13000", IF(Table2[[#This Row],[MonthlyIncome]]&lt;=17000, "$13001 - $17000", IF(Table2[[#This Row],[MonthlyIncome]]&lt;=21000, "$17001 - $21000")))))</f>
        <v>$5001 - $9000</v>
      </c>
      <c r="P905">
        <v>1</v>
      </c>
      <c r="Q905">
        <v>3</v>
      </c>
      <c r="R905">
        <v>6</v>
      </c>
      <c r="S9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06" spans="1:19" ht="14.25" x14ac:dyDescent="0.2">
      <c r="A906">
        <v>44458576</v>
      </c>
      <c r="B906">
        <v>48</v>
      </c>
      <c r="C906" t="s">
        <v>25</v>
      </c>
      <c r="D906" t="s">
        <v>19</v>
      </c>
      <c r="E906" t="s">
        <v>22</v>
      </c>
      <c r="F906">
        <f>IF(Table2[[#This Row],[Attrition]]="Yes", 1, 0)</f>
        <v>0</v>
      </c>
      <c r="G906" t="s">
        <v>35</v>
      </c>
      <c r="H906" t="s">
        <v>23</v>
      </c>
      <c r="I906">
        <v>1</v>
      </c>
      <c r="J906">
        <v>3</v>
      </c>
      <c r="K906" t="s">
        <v>18</v>
      </c>
      <c r="L906">
        <v>4</v>
      </c>
      <c r="M906">
        <v>4</v>
      </c>
      <c r="N906" s="3">
        <v>18265</v>
      </c>
      <c r="O906" s="3" t="str">
        <f>IF(Table2[[#This Row],[MonthlyIncome]]&lt;=5000, "$1001 - $5000", IF(Table2[[#This Row],[MonthlyIncome]]&lt;=9000, "$5001 - $9000", IF(Table2[[#This Row],[MonthlyIncome]]&lt;=13000, "$9001 - $13000", IF(Table2[[#This Row],[MonthlyIncome]]&lt;=17000, "$13001 - $17000", IF(Table2[[#This Row],[MonthlyIncome]]&lt;=21000, "$17001 - $21000")))))</f>
        <v>$17001 - $21000</v>
      </c>
      <c r="P906">
        <v>6</v>
      </c>
      <c r="Q906">
        <v>4</v>
      </c>
      <c r="R906">
        <v>1</v>
      </c>
      <c r="S9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07" spans="1:19" ht="14.25" x14ac:dyDescent="0.2">
      <c r="A907">
        <v>10244557</v>
      </c>
      <c r="B907">
        <v>29</v>
      </c>
      <c r="C907" t="s">
        <v>20</v>
      </c>
      <c r="D907" t="s">
        <v>30</v>
      </c>
      <c r="E907" t="s">
        <v>22</v>
      </c>
      <c r="F907">
        <f>IF(Table2[[#This Row],[Attrition]]="Yes", 1, 0)</f>
        <v>0</v>
      </c>
      <c r="G907" t="s">
        <v>35</v>
      </c>
      <c r="H907" t="s">
        <v>23</v>
      </c>
      <c r="I907">
        <v>1</v>
      </c>
      <c r="J907">
        <v>3</v>
      </c>
      <c r="K907" t="s">
        <v>18</v>
      </c>
      <c r="L907">
        <v>4</v>
      </c>
      <c r="M907">
        <v>4</v>
      </c>
      <c r="N907" s="3">
        <v>16124</v>
      </c>
      <c r="O907" s="3" t="str">
        <f>IF(Table2[[#This Row],[MonthlyIncome]]&lt;=5000, "$1001 - $5000", IF(Table2[[#This Row],[MonthlyIncome]]&lt;=9000, "$5001 - $9000", IF(Table2[[#This Row],[MonthlyIncome]]&lt;=13000, "$9001 - $13000", IF(Table2[[#This Row],[MonthlyIncome]]&lt;=17000, "$13001 - $17000", IF(Table2[[#This Row],[MonthlyIncome]]&lt;=21000, "$17001 - $21000")))))</f>
        <v>$13001 - $17000</v>
      </c>
      <c r="P907">
        <v>3</v>
      </c>
      <c r="Q907">
        <v>2</v>
      </c>
      <c r="R907">
        <v>7</v>
      </c>
      <c r="S9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08" spans="1:19" ht="14.25" x14ac:dyDescent="0.2">
      <c r="A908">
        <v>11835211</v>
      </c>
      <c r="B908">
        <v>34</v>
      </c>
      <c r="C908" t="s">
        <v>20</v>
      </c>
      <c r="D908" t="s">
        <v>24</v>
      </c>
      <c r="E908" t="s">
        <v>22</v>
      </c>
      <c r="F908">
        <f>IF(Table2[[#This Row],[Attrition]]="Yes", 1, 0)</f>
        <v>0</v>
      </c>
      <c r="G908" t="s">
        <v>26</v>
      </c>
      <c r="H908" t="s">
        <v>23</v>
      </c>
      <c r="I908">
        <v>20</v>
      </c>
      <c r="J908">
        <v>3</v>
      </c>
      <c r="K908" t="s">
        <v>37</v>
      </c>
      <c r="L908">
        <v>3</v>
      </c>
      <c r="M908">
        <v>3</v>
      </c>
      <c r="N908" s="3">
        <v>2585</v>
      </c>
      <c r="O908" s="3" t="str">
        <f>IF(Table2[[#This Row],[MonthlyIncome]]&lt;=5000, "$1001 - $5000", IF(Table2[[#This Row],[MonthlyIncome]]&lt;=9000, "$5001 - $9000", IF(Table2[[#This Row],[MonthlyIncome]]&lt;=13000, "$9001 - $13000", IF(Table2[[#This Row],[MonthlyIncome]]&lt;=17000, "$13001 - $17000", IF(Table2[[#This Row],[MonthlyIncome]]&lt;=21000, "$17001 - $21000")))))</f>
        <v>$1001 - $5000</v>
      </c>
      <c r="P908">
        <v>0</v>
      </c>
      <c r="Q908">
        <v>2</v>
      </c>
      <c r="R908">
        <v>1</v>
      </c>
      <c r="S9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09" spans="1:19" ht="14.25" x14ac:dyDescent="0.2">
      <c r="A909">
        <v>84068400</v>
      </c>
      <c r="B909">
        <v>44</v>
      </c>
      <c r="C909" t="s">
        <v>25</v>
      </c>
      <c r="D909" t="s">
        <v>24</v>
      </c>
      <c r="E909" t="s">
        <v>22</v>
      </c>
      <c r="F909">
        <f>IF(Table2[[#This Row],[Attrition]]="Yes", 1, 0)</f>
        <v>0</v>
      </c>
      <c r="G909" t="s">
        <v>33</v>
      </c>
      <c r="H909" t="s">
        <v>17</v>
      </c>
      <c r="I909">
        <v>5</v>
      </c>
      <c r="J909">
        <v>3</v>
      </c>
      <c r="K909" t="s">
        <v>36</v>
      </c>
      <c r="L909">
        <v>2</v>
      </c>
      <c r="M909">
        <v>2</v>
      </c>
      <c r="N909" s="3">
        <v>18213</v>
      </c>
      <c r="O909" s="3" t="str">
        <f>IF(Table2[[#This Row],[MonthlyIncome]]&lt;=5000, "$1001 - $5000", IF(Table2[[#This Row],[MonthlyIncome]]&lt;=9000, "$5001 - $9000", IF(Table2[[#This Row],[MonthlyIncome]]&lt;=13000, "$9001 - $13000", IF(Table2[[#This Row],[MonthlyIncome]]&lt;=17000, "$13001 - $17000", IF(Table2[[#This Row],[MonthlyIncome]]&lt;=21000, "$17001 - $21000")))))</f>
        <v>$17001 - $21000</v>
      </c>
      <c r="P909">
        <v>7</v>
      </c>
      <c r="Q909">
        <v>3</v>
      </c>
      <c r="R909">
        <v>22</v>
      </c>
      <c r="S9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910" spans="1:19" ht="14.25" x14ac:dyDescent="0.2">
      <c r="A910">
        <v>32228839</v>
      </c>
      <c r="B910">
        <v>33</v>
      </c>
      <c r="C910" t="s">
        <v>25</v>
      </c>
      <c r="D910" t="s">
        <v>30</v>
      </c>
      <c r="E910" t="s">
        <v>22</v>
      </c>
      <c r="F910">
        <f>IF(Table2[[#This Row],[Attrition]]="Yes", 1, 0)</f>
        <v>0</v>
      </c>
      <c r="G910" t="s">
        <v>21</v>
      </c>
      <c r="H910" t="s">
        <v>17</v>
      </c>
      <c r="I910">
        <v>10</v>
      </c>
      <c r="J910">
        <v>5</v>
      </c>
      <c r="K910" t="s">
        <v>36</v>
      </c>
      <c r="L910">
        <v>4</v>
      </c>
      <c r="M910">
        <v>3</v>
      </c>
      <c r="N910" s="3">
        <v>8380</v>
      </c>
      <c r="O910" s="3" t="str">
        <f>IF(Table2[[#This Row],[MonthlyIncome]]&lt;=5000, "$1001 - $5000", IF(Table2[[#This Row],[MonthlyIncome]]&lt;=9000, "$5001 - $9000", IF(Table2[[#This Row],[MonthlyIncome]]&lt;=13000, "$9001 - $13000", IF(Table2[[#This Row],[MonthlyIncome]]&lt;=17000, "$13001 - $17000", IF(Table2[[#This Row],[MonthlyIncome]]&lt;=21000, "$17001 - $21000")))))</f>
        <v>$5001 - $9000</v>
      </c>
      <c r="P910">
        <v>0</v>
      </c>
      <c r="Q910">
        <v>3</v>
      </c>
      <c r="R910">
        <v>9</v>
      </c>
      <c r="S9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11" spans="1:19" ht="14.25" x14ac:dyDescent="0.2">
      <c r="A911">
        <v>24641560</v>
      </c>
      <c r="B911">
        <v>19</v>
      </c>
      <c r="C911" t="s">
        <v>20</v>
      </c>
      <c r="D911" t="s">
        <v>19</v>
      </c>
      <c r="E911" t="s">
        <v>22</v>
      </c>
      <c r="F911">
        <f>IF(Table2[[#This Row],[Attrition]]="Yes", 1, 0)</f>
        <v>0</v>
      </c>
      <c r="G911" t="s">
        <v>26</v>
      </c>
      <c r="H911" t="s">
        <v>23</v>
      </c>
      <c r="I911">
        <v>25</v>
      </c>
      <c r="J911">
        <v>3</v>
      </c>
      <c r="K911" t="s">
        <v>18</v>
      </c>
      <c r="L911">
        <v>2</v>
      </c>
      <c r="M911">
        <v>4</v>
      </c>
      <c r="N911" s="3">
        <v>2994</v>
      </c>
      <c r="O911" s="3" t="str">
        <f>IF(Table2[[#This Row],[MonthlyIncome]]&lt;=5000, "$1001 - $5000", IF(Table2[[#This Row],[MonthlyIncome]]&lt;=9000, "$5001 - $9000", IF(Table2[[#This Row],[MonthlyIncome]]&lt;=13000, "$9001 - $13000", IF(Table2[[#This Row],[MonthlyIncome]]&lt;=17000, "$13001 - $17000", IF(Table2[[#This Row],[MonthlyIncome]]&lt;=21000, "$17001 - $21000")))))</f>
        <v>$1001 - $5000</v>
      </c>
      <c r="P911">
        <v>1</v>
      </c>
      <c r="Q911">
        <v>3</v>
      </c>
      <c r="R911">
        <v>1</v>
      </c>
      <c r="S9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12" spans="1:19" ht="14.25" x14ac:dyDescent="0.2">
      <c r="A912">
        <v>59856893</v>
      </c>
      <c r="B912">
        <v>23</v>
      </c>
      <c r="C912" t="s">
        <v>25</v>
      </c>
      <c r="D912" t="s">
        <v>24</v>
      </c>
      <c r="E912" t="s">
        <v>22</v>
      </c>
      <c r="F912">
        <f>IF(Table2[[#This Row],[Attrition]]="Yes", 1, 0)</f>
        <v>0</v>
      </c>
      <c r="G912" t="s">
        <v>26</v>
      </c>
      <c r="H912" t="s">
        <v>23</v>
      </c>
      <c r="I912">
        <v>1</v>
      </c>
      <c r="J912">
        <v>2</v>
      </c>
      <c r="K912" t="s">
        <v>18</v>
      </c>
      <c r="L912">
        <v>4</v>
      </c>
      <c r="M912">
        <v>3</v>
      </c>
      <c r="N912" s="3">
        <v>1223</v>
      </c>
      <c r="O912" s="3" t="str">
        <f>IF(Table2[[#This Row],[MonthlyIncome]]&lt;=5000, "$1001 - $5000", IF(Table2[[#This Row],[MonthlyIncome]]&lt;=9000, "$5001 - $9000", IF(Table2[[#This Row],[MonthlyIncome]]&lt;=13000, "$9001 - $13000", IF(Table2[[#This Row],[MonthlyIncome]]&lt;=17000, "$13001 - $17000", IF(Table2[[#This Row],[MonthlyIncome]]&lt;=21000, "$17001 - $21000")))))</f>
        <v>$1001 - $5000</v>
      </c>
      <c r="P912">
        <v>1</v>
      </c>
      <c r="Q912">
        <v>3</v>
      </c>
      <c r="R912">
        <v>1</v>
      </c>
      <c r="S9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13" spans="1:19" ht="14.25" x14ac:dyDescent="0.2">
      <c r="A913">
        <v>66349467</v>
      </c>
      <c r="B913">
        <v>25</v>
      </c>
      <c r="C913" t="s">
        <v>25</v>
      </c>
      <c r="D913" t="s">
        <v>19</v>
      </c>
      <c r="E913" t="s">
        <v>16</v>
      </c>
      <c r="F913">
        <f>IF(Table2[[#This Row],[Attrition]]="Yes", 1, 0)</f>
        <v>1</v>
      </c>
      <c r="G913" t="s">
        <v>34</v>
      </c>
      <c r="H913" t="s">
        <v>17</v>
      </c>
      <c r="I913">
        <v>24</v>
      </c>
      <c r="J913">
        <v>1</v>
      </c>
      <c r="K913" t="s">
        <v>18</v>
      </c>
      <c r="L913">
        <v>3</v>
      </c>
      <c r="M913">
        <v>4</v>
      </c>
      <c r="N913" s="3">
        <v>1118</v>
      </c>
      <c r="O913" s="3" t="str">
        <f>IF(Table2[[#This Row],[MonthlyIncome]]&lt;=5000, "$1001 - $5000", IF(Table2[[#This Row],[MonthlyIncome]]&lt;=9000, "$5001 - $9000", IF(Table2[[#This Row],[MonthlyIncome]]&lt;=13000, "$9001 - $13000", IF(Table2[[#This Row],[MonthlyIncome]]&lt;=17000, "$13001 - $17000", IF(Table2[[#This Row],[MonthlyIncome]]&lt;=21000, "$17001 - $21000")))))</f>
        <v>$1001 - $5000</v>
      </c>
      <c r="P913">
        <v>1</v>
      </c>
      <c r="Q913">
        <v>3</v>
      </c>
      <c r="R913">
        <v>1</v>
      </c>
      <c r="S9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14" spans="1:19" ht="14.25" x14ac:dyDescent="0.2">
      <c r="A914">
        <v>68375992</v>
      </c>
      <c r="B914">
        <v>26</v>
      </c>
      <c r="C914" t="s">
        <v>25</v>
      </c>
      <c r="D914" t="s">
        <v>19</v>
      </c>
      <c r="E914" t="s">
        <v>22</v>
      </c>
      <c r="F914">
        <f>IF(Table2[[#This Row],[Attrition]]="Yes", 1, 0)</f>
        <v>0</v>
      </c>
      <c r="G914" t="s">
        <v>26</v>
      </c>
      <c r="H914" t="s">
        <v>23</v>
      </c>
      <c r="I914">
        <v>4</v>
      </c>
      <c r="J914">
        <v>2</v>
      </c>
      <c r="K914" t="s">
        <v>18</v>
      </c>
      <c r="L914">
        <v>3</v>
      </c>
      <c r="M914">
        <v>4</v>
      </c>
      <c r="N914" s="3">
        <v>2875</v>
      </c>
      <c r="O914" s="3" t="str">
        <f>IF(Table2[[#This Row],[MonthlyIncome]]&lt;=5000, "$1001 - $5000", IF(Table2[[#This Row],[MonthlyIncome]]&lt;=9000, "$5001 - $9000", IF(Table2[[#This Row],[MonthlyIncome]]&lt;=13000, "$9001 - $13000", IF(Table2[[#This Row],[MonthlyIncome]]&lt;=17000, "$13001 - $17000", IF(Table2[[#This Row],[MonthlyIncome]]&lt;=21000, "$17001 - $21000")))))</f>
        <v>$1001 - $5000</v>
      </c>
      <c r="P914">
        <v>1</v>
      </c>
      <c r="Q914">
        <v>2</v>
      </c>
      <c r="R914">
        <v>8</v>
      </c>
      <c r="S9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15" spans="1:19" ht="14.25" x14ac:dyDescent="0.2">
      <c r="A915">
        <v>72232441</v>
      </c>
      <c r="B915">
        <v>45</v>
      </c>
      <c r="C915" t="s">
        <v>20</v>
      </c>
      <c r="D915" t="s">
        <v>19</v>
      </c>
      <c r="E915" t="s">
        <v>16</v>
      </c>
      <c r="F915">
        <f>IF(Table2[[#This Row],[Attrition]]="Yes", 1, 0)</f>
        <v>1</v>
      </c>
      <c r="G915" t="s">
        <v>33</v>
      </c>
      <c r="H915" t="s">
        <v>17</v>
      </c>
      <c r="I915">
        <v>2</v>
      </c>
      <c r="J915">
        <v>3</v>
      </c>
      <c r="K915" t="s">
        <v>36</v>
      </c>
      <c r="L915">
        <v>1</v>
      </c>
      <c r="M915">
        <v>2</v>
      </c>
      <c r="N915" s="3">
        <v>18824</v>
      </c>
      <c r="O915" s="3" t="str">
        <f>IF(Table2[[#This Row],[MonthlyIncome]]&lt;=5000, "$1001 - $5000", IF(Table2[[#This Row],[MonthlyIncome]]&lt;=9000, "$5001 - $9000", IF(Table2[[#This Row],[MonthlyIncome]]&lt;=13000, "$9001 - $13000", IF(Table2[[#This Row],[MonthlyIncome]]&lt;=17000, "$13001 - $17000", IF(Table2[[#This Row],[MonthlyIncome]]&lt;=21000, "$17001 - $21000")))))</f>
        <v>$17001 - $21000</v>
      </c>
      <c r="P915">
        <v>2</v>
      </c>
      <c r="Q915">
        <v>3</v>
      </c>
      <c r="R915">
        <v>24</v>
      </c>
      <c r="S9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916" spans="1:19" ht="14.25" x14ac:dyDescent="0.2">
      <c r="A916">
        <v>12783265</v>
      </c>
      <c r="B916">
        <v>55</v>
      </c>
      <c r="C916" t="s">
        <v>25</v>
      </c>
      <c r="D916" t="s">
        <v>30</v>
      </c>
      <c r="E916" t="s">
        <v>22</v>
      </c>
      <c r="F916">
        <f>IF(Table2[[#This Row],[Attrition]]="Yes", 1, 0)</f>
        <v>0</v>
      </c>
      <c r="G916" t="s">
        <v>32</v>
      </c>
      <c r="H916" t="s">
        <v>23</v>
      </c>
      <c r="I916">
        <v>8</v>
      </c>
      <c r="J916">
        <v>1</v>
      </c>
      <c r="K916" t="s">
        <v>29</v>
      </c>
      <c r="L916">
        <v>4</v>
      </c>
      <c r="M916">
        <v>2</v>
      </c>
      <c r="N916" s="3">
        <v>13577</v>
      </c>
      <c r="O916" s="3" t="str">
        <f>IF(Table2[[#This Row],[MonthlyIncome]]&lt;=5000, "$1001 - $5000", IF(Table2[[#This Row],[MonthlyIncome]]&lt;=9000, "$5001 - $9000", IF(Table2[[#This Row],[MonthlyIncome]]&lt;=13000, "$9001 - $13000", IF(Table2[[#This Row],[MonthlyIncome]]&lt;=17000, "$13001 - $17000", IF(Table2[[#This Row],[MonthlyIncome]]&lt;=21000, "$17001 - $21000")))))</f>
        <v>$13001 - $17000</v>
      </c>
      <c r="P916">
        <v>1</v>
      </c>
      <c r="Q916">
        <v>3</v>
      </c>
      <c r="R916">
        <v>33</v>
      </c>
      <c r="S9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30 - 35 Years</v>
      </c>
    </row>
    <row r="917" spans="1:19" ht="14.25" x14ac:dyDescent="0.2">
      <c r="A917">
        <v>43154234</v>
      </c>
      <c r="B917">
        <v>21</v>
      </c>
      <c r="C917" t="s">
        <v>20</v>
      </c>
      <c r="D917" t="s">
        <v>19</v>
      </c>
      <c r="E917" t="s">
        <v>16</v>
      </c>
      <c r="F917">
        <f>IF(Table2[[#This Row],[Attrition]]="Yes", 1, 0)</f>
        <v>1</v>
      </c>
      <c r="G917" t="s">
        <v>28</v>
      </c>
      <c r="H917" t="s">
        <v>23</v>
      </c>
      <c r="I917">
        <v>10</v>
      </c>
      <c r="J917">
        <v>2</v>
      </c>
      <c r="K917" t="s">
        <v>18</v>
      </c>
      <c r="L917">
        <v>1</v>
      </c>
      <c r="M917">
        <v>3</v>
      </c>
      <c r="N917" s="3">
        <v>2625</v>
      </c>
      <c r="O917" s="3" t="str">
        <f>IF(Table2[[#This Row],[MonthlyIncome]]&lt;=5000, "$1001 - $5000", IF(Table2[[#This Row],[MonthlyIncome]]&lt;=9000, "$5001 - $9000", IF(Table2[[#This Row],[MonthlyIncome]]&lt;=13000, "$9001 - $13000", IF(Table2[[#This Row],[MonthlyIncome]]&lt;=17000, "$13001 - $17000", IF(Table2[[#This Row],[MonthlyIncome]]&lt;=21000, "$17001 - $21000")))))</f>
        <v>$1001 - $5000</v>
      </c>
      <c r="P917">
        <v>1</v>
      </c>
      <c r="Q917">
        <v>1</v>
      </c>
      <c r="R917">
        <v>2</v>
      </c>
      <c r="S9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18" spans="1:19" ht="14.25" x14ac:dyDescent="0.2">
      <c r="A918">
        <v>73057193</v>
      </c>
      <c r="B918">
        <v>46</v>
      </c>
      <c r="C918" t="s">
        <v>20</v>
      </c>
      <c r="D918" t="s">
        <v>24</v>
      </c>
      <c r="E918" t="s">
        <v>22</v>
      </c>
      <c r="F918">
        <f>IF(Table2[[#This Row],[Attrition]]="Yes", 1, 0)</f>
        <v>0</v>
      </c>
      <c r="G918" t="s">
        <v>33</v>
      </c>
      <c r="H918" t="s">
        <v>17</v>
      </c>
      <c r="I918">
        <v>4</v>
      </c>
      <c r="J918">
        <v>2</v>
      </c>
      <c r="K918" t="s">
        <v>36</v>
      </c>
      <c r="L918">
        <v>4</v>
      </c>
      <c r="M918">
        <v>2</v>
      </c>
      <c r="N918" s="3">
        <v>18789</v>
      </c>
      <c r="O918" s="3" t="str">
        <f>IF(Table2[[#This Row],[MonthlyIncome]]&lt;=5000, "$1001 - $5000", IF(Table2[[#This Row],[MonthlyIncome]]&lt;=9000, "$5001 - $9000", IF(Table2[[#This Row],[MonthlyIncome]]&lt;=13000, "$9001 - $13000", IF(Table2[[#This Row],[MonthlyIncome]]&lt;=17000, "$13001 - $17000", IF(Table2[[#This Row],[MonthlyIncome]]&lt;=21000, "$17001 - $21000")))))</f>
        <v>$17001 - $21000</v>
      </c>
      <c r="P918">
        <v>2</v>
      </c>
      <c r="Q918">
        <v>3</v>
      </c>
      <c r="R918">
        <v>11</v>
      </c>
      <c r="S9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19" spans="1:19" ht="14.25" x14ac:dyDescent="0.2">
      <c r="A919">
        <v>75294468</v>
      </c>
      <c r="B919">
        <v>34</v>
      </c>
      <c r="C919" t="s">
        <v>20</v>
      </c>
      <c r="D919" t="s">
        <v>19</v>
      </c>
      <c r="E919" t="s">
        <v>22</v>
      </c>
      <c r="F919">
        <f>IF(Table2[[#This Row],[Attrition]]="Yes", 1, 0)</f>
        <v>0</v>
      </c>
      <c r="G919" t="s">
        <v>21</v>
      </c>
      <c r="H919" t="s">
        <v>17</v>
      </c>
      <c r="I919">
        <v>2</v>
      </c>
      <c r="J919">
        <v>3</v>
      </c>
      <c r="K919" t="s">
        <v>36</v>
      </c>
      <c r="L919">
        <v>3</v>
      </c>
      <c r="M919">
        <v>1</v>
      </c>
      <c r="N919" s="3">
        <v>4538</v>
      </c>
      <c r="O919" s="3" t="str">
        <f>IF(Table2[[#This Row],[MonthlyIncome]]&lt;=5000, "$1001 - $5000", IF(Table2[[#This Row],[MonthlyIncome]]&lt;=9000, "$5001 - $9000", IF(Table2[[#This Row],[MonthlyIncome]]&lt;=13000, "$9001 - $13000", IF(Table2[[#This Row],[MonthlyIncome]]&lt;=17000, "$13001 - $17000", IF(Table2[[#This Row],[MonthlyIncome]]&lt;=21000, "$17001 - $21000")))))</f>
        <v>$1001 - $5000</v>
      </c>
      <c r="P919">
        <v>0</v>
      </c>
      <c r="Q919">
        <v>3</v>
      </c>
      <c r="R919">
        <v>3</v>
      </c>
      <c r="S9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20" spans="1:19" ht="14.25" x14ac:dyDescent="0.2">
      <c r="A920">
        <v>17565770</v>
      </c>
      <c r="B920">
        <v>51</v>
      </c>
      <c r="C920" t="s">
        <v>25</v>
      </c>
      <c r="D920" t="s">
        <v>30</v>
      </c>
      <c r="E920" t="s">
        <v>22</v>
      </c>
      <c r="F920">
        <f>IF(Table2[[#This Row],[Attrition]]="Yes", 1, 0)</f>
        <v>0</v>
      </c>
      <c r="G920" t="s">
        <v>33</v>
      </c>
      <c r="H920" t="s">
        <v>17</v>
      </c>
      <c r="I920">
        <v>9</v>
      </c>
      <c r="J920">
        <v>3</v>
      </c>
      <c r="K920" t="s">
        <v>18</v>
      </c>
      <c r="L920">
        <v>4</v>
      </c>
      <c r="M920">
        <v>2</v>
      </c>
      <c r="N920" s="3">
        <v>19847</v>
      </c>
      <c r="O920" s="3" t="str">
        <f>IF(Table2[[#This Row],[MonthlyIncome]]&lt;=5000, "$1001 - $5000", IF(Table2[[#This Row],[MonthlyIncome]]&lt;=9000, "$5001 - $9000", IF(Table2[[#This Row],[MonthlyIncome]]&lt;=13000, "$9001 - $13000", IF(Table2[[#This Row],[MonthlyIncome]]&lt;=17000, "$13001 - $17000", IF(Table2[[#This Row],[MonthlyIncome]]&lt;=21000, "$17001 - $21000")))))</f>
        <v>$17001 - $21000</v>
      </c>
      <c r="P920">
        <v>4</v>
      </c>
      <c r="Q920">
        <v>2</v>
      </c>
      <c r="R920">
        <v>29</v>
      </c>
      <c r="S9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25 - 30 Years</v>
      </c>
    </row>
    <row r="921" spans="1:19" ht="14.25" x14ac:dyDescent="0.2">
      <c r="A921">
        <v>23094784</v>
      </c>
      <c r="B921">
        <v>59</v>
      </c>
      <c r="C921" t="s">
        <v>25</v>
      </c>
      <c r="D921" t="s">
        <v>19</v>
      </c>
      <c r="E921" t="s">
        <v>22</v>
      </c>
      <c r="F921">
        <f>IF(Table2[[#This Row],[Attrition]]="Yes", 1, 0)</f>
        <v>0</v>
      </c>
      <c r="G921" t="s">
        <v>31</v>
      </c>
      <c r="H921" t="s">
        <v>23</v>
      </c>
      <c r="I921">
        <v>18</v>
      </c>
      <c r="J921">
        <v>4</v>
      </c>
      <c r="K921" t="s">
        <v>29</v>
      </c>
      <c r="L921">
        <v>4</v>
      </c>
      <c r="M921">
        <v>4</v>
      </c>
      <c r="N921" s="3">
        <v>10512</v>
      </c>
      <c r="O921" s="3" t="str">
        <f>IF(Table2[[#This Row],[MonthlyIncome]]&lt;=5000, "$1001 - $5000", IF(Table2[[#This Row],[MonthlyIncome]]&lt;=9000, "$5001 - $9000", IF(Table2[[#This Row],[MonthlyIncome]]&lt;=13000, "$9001 - $13000", IF(Table2[[#This Row],[MonthlyIncome]]&lt;=17000, "$13001 - $17000", IF(Table2[[#This Row],[MonthlyIncome]]&lt;=21000, "$17001 - $21000")))))</f>
        <v>$9001 - $13000</v>
      </c>
      <c r="P921">
        <v>6</v>
      </c>
      <c r="Q921">
        <v>2</v>
      </c>
      <c r="R921">
        <v>9</v>
      </c>
      <c r="S9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22" spans="1:19" ht="14.25" x14ac:dyDescent="0.2">
      <c r="A922">
        <v>39489843</v>
      </c>
      <c r="B922">
        <v>34</v>
      </c>
      <c r="C922" t="s">
        <v>20</v>
      </c>
      <c r="D922" t="s">
        <v>30</v>
      </c>
      <c r="E922" t="s">
        <v>22</v>
      </c>
      <c r="F922">
        <f>IF(Table2[[#This Row],[Attrition]]="Yes", 1, 0)</f>
        <v>0</v>
      </c>
      <c r="G922" t="s">
        <v>28</v>
      </c>
      <c r="H922" t="s">
        <v>23</v>
      </c>
      <c r="I922">
        <v>19</v>
      </c>
      <c r="J922">
        <v>3</v>
      </c>
      <c r="K922" t="s">
        <v>29</v>
      </c>
      <c r="L922">
        <v>3</v>
      </c>
      <c r="M922">
        <v>2</v>
      </c>
      <c r="N922" s="3">
        <v>4444</v>
      </c>
      <c r="O922" s="3" t="str">
        <f>IF(Table2[[#This Row],[MonthlyIncome]]&lt;=5000, "$1001 - $5000", IF(Table2[[#This Row],[MonthlyIncome]]&lt;=9000, "$5001 - $9000", IF(Table2[[#This Row],[MonthlyIncome]]&lt;=13000, "$9001 - $13000", IF(Table2[[#This Row],[MonthlyIncome]]&lt;=17000, "$13001 - $17000", IF(Table2[[#This Row],[MonthlyIncome]]&lt;=21000, "$17001 - $21000")))))</f>
        <v>$1001 - $5000</v>
      </c>
      <c r="P922">
        <v>4</v>
      </c>
      <c r="Q922">
        <v>4</v>
      </c>
      <c r="R922">
        <v>11</v>
      </c>
      <c r="S9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23" spans="1:19" ht="14.25" x14ac:dyDescent="0.2">
      <c r="A923">
        <v>82380382</v>
      </c>
      <c r="B923">
        <v>28</v>
      </c>
      <c r="C923" t="s">
        <v>25</v>
      </c>
      <c r="D923" t="s">
        <v>19</v>
      </c>
      <c r="E923" t="s">
        <v>22</v>
      </c>
      <c r="F923">
        <f>IF(Table2[[#This Row],[Attrition]]="Yes", 1, 0)</f>
        <v>0</v>
      </c>
      <c r="G923" t="s">
        <v>28</v>
      </c>
      <c r="H923" t="s">
        <v>23</v>
      </c>
      <c r="I923">
        <v>1</v>
      </c>
      <c r="J923">
        <v>4</v>
      </c>
      <c r="K923" t="s">
        <v>29</v>
      </c>
      <c r="L923">
        <v>4</v>
      </c>
      <c r="M923">
        <v>3</v>
      </c>
      <c r="N923" s="3">
        <v>2154</v>
      </c>
      <c r="O923" s="3" t="str">
        <f>IF(Table2[[#This Row],[MonthlyIncome]]&lt;=5000, "$1001 - $5000", IF(Table2[[#This Row],[MonthlyIncome]]&lt;=9000, "$5001 - $9000", IF(Table2[[#This Row],[MonthlyIncome]]&lt;=13000, "$9001 - $13000", IF(Table2[[#This Row],[MonthlyIncome]]&lt;=17000, "$13001 - $17000", IF(Table2[[#This Row],[MonthlyIncome]]&lt;=21000, "$17001 - $21000")))))</f>
        <v>$1001 - $5000</v>
      </c>
      <c r="P923">
        <v>0</v>
      </c>
      <c r="Q923">
        <v>2</v>
      </c>
      <c r="R923">
        <v>4</v>
      </c>
      <c r="S9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24" spans="1:19" ht="14.25" x14ac:dyDescent="0.2">
      <c r="A924">
        <v>82262683</v>
      </c>
      <c r="B924">
        <v>44</v>
      </c>
      <c r="C924" t="s">
        <v>25</v>
      </c>
      <c r="D924" t="s">
        <v>30</v>
      </c>
      <c r="E924" t="s">
        <v>22</v>
      </c>
      <c r="F924">
        <f>IF(Table2[[#This Row],[Attrition]]="Yes", 1, 0)</f>
        <v>0</v>
      </c>
      <c r="G924" t="s">
        <v>33</v>
      </c>
      <c r="H924" t="s">
        <v>23</v>
      </c>
      <c r="I924">
        <v>4</v>
      </c>
      <c r="J924">
        <v>2</v>
      </c>
      <c r="K924" t="s">
        <v>18</v>
      </c>
      <c r="L924">
        <v>3</v>
      </c>
      <c r="M924">
        <v>1</v>
      </c>
      <c r="N924" s="3">
        <v>19190</v>
      </c>
      <c r="O924" s="3" t="str">
        <f>IF(Table2[[#This Row],[MonthlyIncome]]&lt;=5000, "$1001 - $5000", IF(Table2[[#This Row],[MonthlyIncome]]&lt;=9000, "$5001 - $9000", IF(Table2[[#This Row],[MonthlyIncome]]&lt;=13000, "$9001 - $13000", IF(Table2[[#This Row],[MonthlyIncome]]&lt;=17000, "$13001 - $17000", IF(Table2[[#This Row],[MonthlyIncome]]&lt;=21000, "$17001 - $21000")))))</f>
        <v>$17001 - $21000</v>
      </c>
      <c r="P924">
        <v>1</v>
      </c>
      <c r="Q924">
        <v>2</v>
      </c>
      <c r="R924">
        <v>25</v>
      </c>
      <c r="S9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25 - 30 Years</v>
      </c>
    </row>
    <row r="925" spans="1:19" ht="14.25" x14ac:dyDescent="0.2">
      <c r="A925">
        <v>81712084</v>
      </c>
      <c r="B925">
        <v>34</v>
      </c>
      <c r="C925" t="s">
        <v>25</v>
      </c>
      <c r="D925" t="s">
        <v>24</v>
      </c>
      <c r="E925" t="s">
        <v>22</v>
      </c>
      <c r="F925">
        <f>IF(Table2[[#This Row],[Attrition]]="Yes", 1, 0)</f>
        <v>0</v>
      </c>
      <c r="G925" t="s">
        <v>38</v>
      </c>
      <c r="H925" t="s">
        <v>38</v>
      </c>
      <c r="I925">
        <v>11</v>
      </c>
      <c r="J925">
        <v>3</v>
      </c>
      <c r="K925" t="s">
        <v>18</v>
      </c>
      <c r="L925">
        <v>3</v>
      </c>
      <c r="M925">
        <v>2</v>
      </c>
      <c r="N925" s="3">
        <v>4490</v>
      </c>
      <c r="O925" s="3" t="str">
        <f>IF(Table2[[#This Row],[MonthlyIncome]]&lt;=5000, "$1001 - $5000", IF(Table2[[#This Row],[MonthlyIncome]]&lt;=9000, "$5001 - $9000", IF(Table2[[#This Row],[MonthlyIncome]]&lt;=13000, "$9001 - $13000", IF(Table2[[#This Row],[MonthlyIncome]]&lt;=17000, "$13001 - $17000", IF(Table2[[#This Row],[MonthlyIncome]]&lt;=21000, "$17001 - $21000")))))</f>
        <v>$1001 - $5000</v>
      </c>
      <c r="P925">
        <v>4</v>
      </c>
      <c r="Q925">
        <v>4</v>
      </c>
      <c r="R925">
        <v>10</v>
      </c>
      <c r="S9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26" spans="1:19" ht="14.25" x14ac:dyDescent="0.2">
      <c r="A926">
        <v>82982256</v>
      </c>
      <c r="B926">
        <v>35</v>
      </c>
      <c r="C926" t="s">
        <v>25</v>
      </c>
      <c r="D926" t="s">
        <v>24</v>
      </c>
      <c r="E926" t="s">
        <v>22</v>
      </c>
      <c r="F926">
        <f>IF(Table2[[#This Row],[Attrition]]="Yes", 1, 0)</f>
        <v>0</v>
      </c>
      <c r="G926" t="s">
        <v>26</v>
      </c>
      <c r="H926" t="s">
        <v>23</v>
      </c>
      <c r="I926">
        <v>6</v>
      </c>
      <c r="J926">
        <v>1</v>
      </c>
      <c r="K926" t="s">
        <v>18</v>
      </c>
      <c r="L926">
        <v>3</v>
      </c>
      <c r="M926">
        <v>3</v>
      </c>
      <c r="N926" s="3">
        <v>3506</v>
      </c>
      <c r="O926" s="3" t="str">
        <f>IF(Table2[[#This Row],[MonthlyIncome]]&lt;=5000, "$1001 - $5000", IF(Table2[[#This Row],[MonthlyIncome]]&lt;=9000, "$5001 - $9000", IF(Table2[[#This Row],[MonthlyIncome]]&lt;=13000, "$9001 - $13000", IF(Table2[[#This Row],[MonthlyIncome]]&lt;=17000, "$13001 - $17000", IF(Table2[[#This Row],[MonthlyIncome]]&lt;=21000, "$17001 - $21000")))))</f>
        <v>$1001 - $5000</v>
      </c>
      <c r="P926">
        <v>0</v>
      </c>
      <c r="Q926">
        <v>3</v>
      </c>
      <c r="R926">
        <v>3</v>
      </c>
      <c r="S9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27" spans="1:19" ht="14.25" x14ac:dyDescent="0.2">
      <c r="A927">
        <v>40529503</v>
      </c>
      <c r="B927">
        <v>42</v>
      </c>
      <c r="C927" t="s">
        <v>20</v>
      </c>
      <c r="D927" t="s">
        <v>24</v>
      </c>
      <c r="E927" t="s">
        <v>22</v>
      </c>
      <c r="F927">
        <f>IF(Table2[[#This Row],[Attrition]]="Yes", 1, 0)</f>
        <v>0</v>
      </c>
      <c r="G927" t="s">
        <v>26</v>
      </c>
      <c r="H927" t="s">
        <v>23</v>
      </c>
      <c r="I927">
        <v>7</v>
      </c>
      <c r="J927">
        <v>4</v>
      </c>
      <c r="K927" t="s">
        <v>29</v>
      </c>
      <c r="L927">
        <v>2</v>
      </c>
      <c r="M927">
        <v>2</v>
      </c>
      <c r="N927" s="3">
        <v>2372</v>
      </c>
      <c r="O927" s="3" t="str">
        <f>IF(Table2[[#This Row],[MonthlyIncome]]&lt;=5000, "$1001 - $5000", IF(Table2[[#This Row],[MonthlyIncome]]&lt;=9000, "$5001 - $9000", IF(Table2[[#This Row],[MonthlyIncome]]&lt;=13000, "$9001 - $13000", IF(Table2[[#This Row],[MonthlyIncome]]&lt;=17000, "$13001 - $17000", IF(Table2[[#This Row],[MonthlyIncome]]&lt;=21000, "$17001 - $21000")))))</f>
        <v>$1001 - $5000</v>
      </c>
      <c r="P927">
        <v>6</v>
      </c>
      <c r="Q927">
        <v>3</v>
      </c>
      <c r="R927">
        <v>1</v>
      </c>
      <c r="S9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28" spans="1:19" ht="14.25" x14ac:dyDescent="0.2">
      <c r="A928">
        <v>64567197</v>
      </c>
      <c r="B928">
        <v>43</v>
      </c>
      <c r="C928" t="s">
        <v>20</v>
      </c>
      <c r="D928" t="s">
        <v>19</v>
      </c>
      <c r="E928" t="s">
        <v>22</v>
      </c>
      <c r="F928">
        <f>IF(Table2[[#This Row],[Attrition]]="Yes", 1, 0)</f>
        <v>0</v>
      </c>
      <c r="G928" t="s">
        <v>21</v>
      </c>
      <c r="H928" t="s">
        <v>17</v>
      </c>
      <c r="I928">
        <v>4</v>
      </c>
      <c r="J928">
        <v>4</v>
      </c>
      <c r="K928" t="s">
        <v>36</v>
      </c>
      <c r="L928">
        <v>4</v>
      </c>
      <c r="M928">
        <v>4</v>
      </c>
      <c r="N928" s="3">
        <v>10231</v>
      </c>
      <c r="O928" s="3" t="str">
        <f>IF(Table2[[#This Row],[MonthlyIncome]]&lt;=5000, "$1001 - $5000", IF(Table2[[#This Row],[MonthlyIncome]]&lt;=9000, "$5001 - $9000", IF(Table2[[#This Row],[MonthlyIncome]]&lt;=13000, "$9001 - $13000", IF(Table2[[#This Row],[MonthlyIncome]]&lt;=17000, "$13001 - $17000", IF(Table2[[#This Row],[MonthlyIncome]]&lt;=21000, "$17001 - $21000")))))</f>
        <v>$9001 - $13000</v>
      </c>
      <c r="P928">
        <v>3</v>
      </c>
      <c r="Q928">
        <v>4</v>
      </c>
      <c r="R928">
        <v>21</v>
      </c>
      <c r="S9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929" spans="1:19" ht="14.25" x14ac:dyDescent="0.2">
      <c r="A929">
        <v>81774904</v>
      </c>
      <c r="B929">
        <v>36</v>
      </c>
      <c r="C929" t="s">
        <v>20</v>
      </c>
      <c r="D929" t="s">
        <v>19</v>
      </c>
      <c r="E929" t="s">
        <v>22</v>
      </c>
      <c r="F929">
        <f>IF(Table2[[#This Row],[Attrition]]="Yes", 1, 0)</f>
        <v>0</v>
      </c>
      <c r="G929" t="s">
        <v>31</v>
      </c>
      <c r="H929" t="s">
        <v>23</v>
      </c>
      <c r="I929">
        <v>2</v>
      </c>
      <c r="J929">
        <v>4</v>
      </c>
      <c r="K929" t="s">
        <v>18</v>
      </c>
      <c r="L929">
        <v>3</v>
      </c>
      <c r="M929">
        <v>2</v>
      </c>
      <c r="N929" s="3">
        <v>5410</v>
      </c>
      <c r="O929" s="3" t="str">
        <f>IF(Table2[[#This Row],[MonthlyIncome]]&lt;=5000, "$1001 - $5000", IF(Table2[[#This Row],[MonthlyIncome]]&lt;=9000, "$5001 - $9000", IF(Table2[[#This Row],[MonthlyIncome]]&lt;=13000, "$9001 - $13000", IF(Table2[[#This Row],[MonthlyIncome]]&lt;=17000, "$13001 - $17000", IF(Table2[[#This Row],[MonthlyIncome]]&lt;=21000, "$17001 - $21000")))))</f>
        <v>$5001 - $9000</v>
      </c>
      <c r="P929">
        <v>9</v>
      </c>
      <c r="Q929">
        <v>3</v>
      </c>
      <c r="R929">
        <v>16</v>
      </c>
      <c r="S9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930" spans="1:19" ht="14.25" x14ac:dyDescent="0.2">
      <c r="A930">
        <v>15379490</v>
      </c>
      <c r="B930">
        <v>44</v>
      </c>
      <c r="C930" t="s">
        <v>20</v>
      </c>
      <c r="D930" t="s">
        <v>24</v>
      </c>
      <c r="E930" t="s">
        <v>16</v>
      </c>
      <c r="F930">
        <f>IF(Table2[[#This Row],[Attrition]]="Yes", 1, 0)</f>
        <v>1</v>
      </c>
      <c r="G930" t="s">
        <v>32</v>
      </c>
      <c r="H930" t="s">
        <v>23</v>
      </c>
      <c r="I930">
        <v>15</v>
      </c>
      <c r="J930">
        <v>3</v>
      </c>
      <c r="K930" t="s">
        <v>29</v>
      </c>
      <c r="L930">
        <v>1</v>
      </c>
      <c r="M930">
        <v>4</v>
      </c>
      <c r="N930" s="3">
        <v>7978</v>
      </c>
      <c r="O930" s="3" t="str">
        <f>IF(Table2[[#This Row],[MonthlyIncome]]&lt;=5000, "$1001 - $5000", IF(Table2[[#This Row],[MonthlyIncome]]&lt;=9000, "$5001 - $9000", IF(Table2[[#This Row],[MonthlyIncome]]&lt;=13000, "$9001 - $13000", IF(Table2[[#This Row],[MonthlyIncome]]&lt;=17000, "$13001 - $17000", IF(Table2[[#This Row],[MonthlyIncome]]&lt;=21000, "$17001 - $21000")))))</f>
        <v>$5001 - $9000</v>
      </c>
      <c r="P930">
        <v>1</v>
      </c>
      <c r="Q930">
        <v>3</v>
      </c>
      <c r="R930">
        <v>10</v>
      </c>
      <c r="S9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31" spans="1:19" ht="14.25" x14ac:dyDescent="0.2">
      <c r="A931">
        <v>89044990</v>
      </c>
      <c r="B931">
        <v>28</v>
      </c>
      <c r="C931" t="s">
        <v>25</v>
      </c>
      <c r="D931" t="s">
        <v>24</v>
      </c>
      <c r="E931" t="s">
        <v>22</v>
      </c>
      <c r="F931">
        <f>IF(Table2[[#This Row],[Attrition]]="Yes", 1, 0)</f>
        <v>0</v>
      </c>
      <c r="G931" t="s">
        <v>28</v>
      </c>
      <c r="H931" t="s">
        <v>23</v>
      </c>
      <c r="I931">
        <v>2</v>
      </c>
      <c r="J931">
        <v>3</v>
      </c>
      <c r="K931" t="s">
        <v>18</v>
      </c>
      <c r="L931">
        <v>4</v>
      </c>
      <c r="M931">
        <v>4</v>
      </c>
      <c r="N931" s="3">
        <v>3867</v>
      </c>
      <c r="O931" s="3" t="str">
        <f>IF(Table2[[#This Row],[MonthlyIncome]]&lt;=5000, "$1001 - $5000", IF(Table2[[#This Row],[MonthlyIncome]]&lt;=9000, "$5001 - $9000", IF(Table2[[#This Row],[MonthlyIncome]]&lt;=13000, "$9001 - $13000", IF(Table2[[#This Row],[MonthlyIncome]]&lt;=17000, "$13001 - $17000", IF(Table2[[#This Row],[MonthlyIncome]]&lt;=21000, "$17001 - $21000")))))</f>
        <v>$1001 - $5000</v>
      </c>
      <c r="P931">
        <v>1</v>
      </c>
      <c r="Q931">
        <v>3</v>
      </c>
      <c r="R931">
        <v>2</v>
      </c>
      <c r="S9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32" spans="1:19" ht="14.25" x14ac:dyDescent="0.2">
      <c r="A932">
        <v>83665315</v>
      </c>
      <c r="B932">
        <v>51</v>
      </c>
      <c r="C932" t="s">
        <v>20</v>
      </c>
      <c r="D932" t="s">
        <v>19</v>
      </c>
      <c r="E932" t="s">
        <v>22</v>
      </c>
      <c r="F932">
        <f>IF(Table2[[#This Row],[Attrition]]="Yes", 1, 0)</f>
        <v>0</v>
      </c>
      <c r="G932" t="s">
        <v>28</v>
      </c>
      <c r="H932" t="s">
        <v>23</v>
      </c>
      <c r="I932">
        <v>6</v>
      </c>
      <c r="J932">
        <v>2</v>
      </c>
      <c r="K932" t="s">
        <v>29</v>
      </c>
      <c r="L932">
        <v>2</v>
      </c>
      <c r="M932">
        <v>3</v>
      </c>
      <c r="N932" s="3">
        <v>2838</v>
      </c>
      <c r="O932" s="3" t="str">
        <f>IF(Table2[[#This Row],[MonthlyIncome]]&lt;=5000, "$1001 - $5000", IF(Table2[[#This Row],[MonthlyIncome]]&lt;=9000, "$5001 - $9000", IF(Table2[[#This Row],[MonthlyIncome]]&lt;=13000, "$9001 - $13000", IF(Table2[[#This Row],[MonthlyIncome]]&lt;=17000, "$13001 - $17000", IF(Table2[[#This Row],[MonthlyIncome]]&lt;=21000, "$17001 - $21000")))))</f>
        <v>$1001 - $5000</v>
      </c>
      <c r="P932">
        <v>0</v>
      </c>
      <c r="Q932">
        <v>2</v>
      </c>
      <c r="R932">
        <v>7</v>
      </c>
      <c r="S9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33" spans="1:19" ht="14.25" x14ac:dyDescent="0.2">
      <c r="A933">
        <v>35945873</v>
      </c>
      <c r="B933">
        <v>30</v>
      </c>
      <c r="C933" t="s">
        <v>20</v>
      </c>
      <c r="D933" t="s">
        <v>19</v>
      </c>
      <c r="E933" t="s">
        <v>22</v>
      </c>
      <c r="F933">
        <f>IF(Table2[[#This Row],[Attrition]]="Yes", 1, 0)</f>
        <v>0</v>
      </c>
      <c r="G933" t="s">
        <v>31</v>
      </c>
      <c r="H933" t="s">
        <v>23</v>
      </c>
      <c r="I933">
        <v>9</v>
      </c>
      <c r="J933">
        <v>2</v>
      </c>
      <c r="K933" t="s">
        <v>29</v>
      </c>
      <c r="L933">
        <v>3</v>
      </c>
      <c r="M933">
        <v>3</v>
      </c>
      <c r="N933" s="3">
        <v>4695</v>
      </c>
      <c r="O933" s="3" t="str">
        <f>IF(Table2[[#This Row],[MonthlyIncome]]&lt;=5000, "$1001 - $5000", IF(Table2[[#This Row],[MonthlyIncome]]&lt;=9000, "$5001 - $9000", IF(Table2[[#This Row],[MonthlyIncome]]&lt;=13000, "$9001 - $13000", IF(Table2[[#This Row],[MonthlyIncome]]&lt;=17000, "$13001 - $17000", IF(Table2[[#This Row],[MonthlyIncome]]&lt;=21000, "$17001 - $21000")))))</f>
        <v>$1001 - $5000</v>
      </c>
      <c r="P933">
        <v>7</v>
      </c>
      <c r="Q933">
        <v>3</v>
      </c>
      <c r="R933">
        <v>8</v>
      </c>
      <c r="S9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34" spans="1:19" ht="14.25" x14ac:dyDescent="0.2">
      <c r="A934">
        <v>76626992</v>
      </c>
      <c r="B934">
        <v>29</v>
      </c>
      <c r="C934" t="s">
        <v>20</v>
      </c>
      <c r="D934" t="s">
        <v>30</v>
      </c>
      <c r="E934" t="s">
        <v>16</v>
      </c>
      <c r="F934">
        <f>IF(Table2[[#This Row],[Attrition]]="Yes", 1, 0)</f>
        <v>1</v>
      </c>
      <c r="G934" t="s">
        <v>28</v>
      </c>
      <c r="H934" t="s">
        <v>23</v>
      </c>
      <c r="I934">
        <v>7</v>
      </c>
      <c r="J934">
        <v>3</v>
      </c>
      <c r="K934" t="s">
        <v>37</v>
      </c>
      <c r="L934">
        <v>2</v>
      </c>
      <c r="M934">
        <v>3</v>
      </c>
      <c r="N934" s="3">
        <v>3339</v>
      </c>
      <c r="O934" s="3" t="str">
        <f>IF(Table2[[#This Row],[MonthlyIncome]]&lt;=5000, "$1001 - $5000", IF(Table2[[#This Row],[MonthlyIncome]]&lt;=9000, "$5001 - $9000", IF(Table2[[#This Row],[MonthlyIncome]]&lt;=13000, "$9001 - $13000", IF(Table2[[#This Row],[MonthlyIncome]]&lt;=17000, "$13001 - $17000", IF(Table2[[#This Row],[MonthlyIncome]]&lt;=21000, "$17001 - $21000")))))</f>
        <v>$1001 - $5000</v>
      </c>
      <c r="P934">
        <v>3</v>
      </c>
      <c r="Q934">
        <v>3</v>
      </c>
      <c r="R934">
        <v>7</v>
      </c>
      <c r="S9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35" spans="1:19" ht="14.25" x14ac:dyDescent="0.2">
      <c r="A935">
        <v>69205355</v>
      </c>
      <c r="B935">
        <v>28</v>
      </c>
      <c r="C935" t="s">
        <v>25</v>
      </c>
      <c r="D935" t="s">
        <v>19</v>
      </c>
      <c r="E935" t="s">
        <v>22</v>
      </c>
      <c r="F935">
        <f>IF(Table2[[#This Row],[Attrition]]="Yes", 1, 0)</f>
        <v>0</v>
      </c>
      <c r="G935" t="s">
        <v>26</v>
      </c>
      <c r="H935" t="s">
        <v>23</v>
      </c>
      <c r="I935">
        <v>1</v>
      </c>
      <c r="J935">
        <v>3</v>
      </c>
      <c r="K935" t="s">
        <v>37</v>
      </c>
      <c r="L935">
        <v>4</v>
      </c>
      <c r="M935">
        <v>1</v>
      </c>
      <c r="N935" s="3">
        <v>2080</v>
      </c>
      <c r="O935" s="3" t="str">
        <f>IF(Table2[[#This Row],[MonthlyIncome]]&lt;=5000, "$1001 - $5000", IF(Table2[[#This Row],[MonthlyIncome]]&lt;=9000, "$5001 - $9000", IF(Table2[[#This Row],[MonthlyIncome]]&lt;=13000, "$9001 - $13000", IF(Table2[[#This Row],[MonthlyIncome]]&lt;=17000, "$13001 - $17000", IF(Table2[[#This Row],[MonthlyIncome]]&lt;=21000, "$17001 - $21000")))))</f>
        <v>$1001 - $5000</v>
      </c>
      <c r="P935">
        <v>2</v>
      </c>
      <c r="Q935">
        <v>2</v>
      </c>
      <c r="R935">
        <v>3</v>
      </c>
      <c r="S9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36" spans="1:19" ht="14.25" x14ac:dyDescent="0.2">
      <c r="A936">
        <v>63494020</v>
      </c>
      <c r="B936">
        <v>25</v>
      </c>
      <c r="C936" t="s">
        <v>20</v>
      </c>
      <c r="D936" t="s">
        <v>19</v>
      </c>
      <c r="E936" t="s">
        <v>22</v>
      </c>
      <c r="F936">
        <f>IF(Table2[[#This Row],[Attrition]]="Yes", 1, 0)</f>
        <v>0</v>
      </c>
      <c r="G936" t="s">
        <v>26</v>
      </c>
      <c r="H936" t="s">
        <v>23</v>
      </c>
      <c r="I936">
        <v>1</v>
      </c>
      <c r="J936">
        <v>3</v>
      </c>
      <c r="K936" t="s">
        <v>29</v>
      </c>
      <c r="L936">
        <v>4</v>
      </c>
      <c r="M936">
        <v>2</v>
      </c>
      <c r="N936" s="3">
        <v>2096</v>
      </c>
      <c r="O936" s="3" t="str">
        <f>IF(Table2[[#This Row],[MonthlyIncome]]&lt;=5000, "$1001 - $5000", IF(Table2[[#This Row],[MonthlyIncome]]&lt;=9000, "$5001 - $9000", IF(Table2[[#This Row],[MonthlyIncome]]&lt;=13000, "$9001 - $13000", IF(Table2[[#This Row],[MonthlyIncome]]&lt;=17000, "$13001 - $17000", IF(Table2[[#This Row],[MonthlyIncome]]&lt;=21000, "$17001 - $21000")))))</f>
        <v>$1001 - $5000</v>
      </c>
      <c r="P936">
        <v>1</v>
      </c>
      <c r="Q936">
        <v>2</v>
      </c>
      <c r="R936">
        <v>2</v>
      </c>
      <c r="S9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37" spans="1:19" ht="14.25" x14ac:dyDescent="0.2">
      <c r="A937">
        <v>45966166</v>
      </c>
      <c r="B937">
        <v>32</v>
      </c>
      <c r="C937" t="s">
        <v>25</v>
      </c>
      <c r="D937" t="s">
        <v>24</v>
      </c>
      <c r="E937" t="s">
        <v>22</v>
      </c>
      <c r="F937">
        <f>IF(Table2[[#This Row],[Attrition]]="Yes", 1, 0)</f>
        <v>0</v>
      </c>
      <c r="G937" t="s">
        <v>21</v>
      </c>
      <c r="H937" t="s">
        <v>17</v>
      </c>
      <c r="I937">
        <v>8</v>
      </c>
      <c r="J937">
        <v>3</v>
      </c>
      <c r="K937" t="s">
        <v>29</v>
      </c>
      <c r="L937">
        <v>3</v>
      </c>
      <c r="M937">
        <v>4</v>
      </c>
      <c r="N937" s="3">
        <v>6209</v>
      </c>
      <c r="O937" s="3" t="str">
        <f>IF(Table2[[#This Row],[MonthlyIncome]]&lt;=5000, "$1001 - $5000", IF(Table2[[#This Row],[MonthlyIncome]]&lt;=9000, "$5001 - $9000", IF(Table2[[#This Row],[MonthlyIncome]]&lt;=13000, "$9001 - $13000", IF(Table2[[#This Row],[MonthlyIncome]]&lt;=17000, "$13001 - $17000", IF(Table2[[#This Row],[MonthlyIncome]]&lt;=21000, "$17001 - $21000")))))</f>
        <v>$5001 - $9000</v>
      </c>
      <c r="P937">
        <v>1</v>
      </c>
      <c r="Q937">
        <v>4</v>
      </c>
      <c r="R937">
        <v>10</v>
      </c>
      <c r="S9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38" spans="1:19" ht="14.25" x14ac:dyDescent="0.2">
      <c r="A938">
        <v>55125648</v>
      </c>
      <c r="B938">
        <v>45</v>
      </c>
      <c r="C938" t="s">
        <v>20</v>
      </c>
      <c r="D938" t="s">
        <v>19</v>
      </c>
      <c r="E938" t="s">
        <v>22</v>
      </c>
      <c r="F938">
        <f>IF(Table2[[#This Row],[Attrition]]="Yes", 1, 0)</f>
        <v>0</v>
      </c>
      <c r="G938" t="s">
        <v>33</v>
      </c>
      <c r="H938" t="s">
        <v>23</v>
      </c>
      <c r="I938">
        <v>25</v>
      </c>
      <c r="J938">
        <v>3</v>
      </c>
      <c r="K938" t="s">
        <v>29</v>
      </c>
      <c r="L938">
        <v>2</v>
      </c>
      <c r="M938">
        <v>2</v>
      </c>
      <c r="N938" s="3">
        <v>18061</v>
      </c>
      <c r="O938" s="3" t="str">
        <f>IF(Table2[[#This Row],[MonthlyIncome]]&lt;=5000, "$1001 - $5000", IF(Table2[[#This Row],[MonthlyIncome]]&lt;=9000, "$5001 - $9000", IF(Table2[[#This Row],[MonthlyIncome]]&lt;=13000, "$9001 - $13000", IF(Table2[[#This Row],[MonthlyIncome]]&lt;=17000, "$13001 - $17000", IF(Table2[[#This Row],[MonthlyIncome]]&lt;=21000, "$17001 - $21000")))))</f>
        <v>$17001 - $21000</v>
      </c>
      <c r="P938">
        <v>3</v>
      </c>
      <c r="Q938">
        <v>3</v>
      </c>
      <c r="R938">
        <v>0</v>
      </c>
      <c r="S9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39" spans="1:19" ht="14.25" x14ac:dyDescent="0.2">
      <c r="A939">
        <v>26202226</v>
      </c>
      <c r="B939">
        <v>39</v>
      </c>
      <c r="C939" t="s">
        <v>20</v>
      </c>
      <c r="D939" t="s">
        <v>30</v>
      </c>
      <c r="E939" t="s">
        <v>22</v>
      </c>
      <c r="F939">
        <f>IF(Table2[[#This Row],[Attrition]]="Yes", 1, 0)</f>
        <v>0</v>
      </c>
      <c r="G939" t="s">
        <v>33</v>
      </c>
      <c r="H939" t="s">
        <v>23</v>
      </c>
      <c r="I939">
        <v>13</v>
      </c>
      <c r="J939">
        <v>4</v>
      </c>
      <c r="K939" t="s">
        <v>29</v>
      </c>
      <c r="L939">
        <v>3</v>
      </c>
      <c r="M939">
        <v>2</v>
      </c>
      <c r="N939" s="3">
        <v>17123</v>
      </c>
      <c r="O939" s="3" t="str">
        <f>IF(Table2[[#This Row],[MonthlyIncome]]&lt;=5000, "$1001 - $5000", IF(Table2[[#This Row],[MonthlyIncome]]&lt;=9000, "$5001 - $9000", IF(Table2[[#This Row],[MonthlyIncome]]&lt;=13000, "$9001 - $13000", IF(Table2[[#This Row],[MonthlyIncome]]&lt;=17000, "$13001 - $17000", IF(Table2[[#This Row],[MonthlyIncome]]&lt;=21000, "$17001 - $21000")))))</f>
        <v>$17001 - $21000</v>
      </c>
      <c r="P939">
        <v>6</v>
      </c>
      <c r="Q939">
        <v>3</v>
      </c>
      <c r="R939">
        <v>19</v>
      </c>
      <c r="S9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940" spans="1:19" ht="14.25" x14ac:dyDescent="0.2">
      <c r="A940">
        <v>74576945</v>
      </c>
      <c r="B940">
        <v>58</v>
      </c>
      <c r="C940" t="s">
        <v>25</v>
      </c>
      <c r="D940" t="s">
        <v>30</v>
      </c>
      <c r="E940" t="s">
        <v>22</v>
      </c>
      <c r="F940">
        <f>IF(Table2[[#This Row],[Attrition]]="Yes", 1, 0)</f>
        <v>0</v>
      </c>
      <c r="G940" t="s">
        <v>26</v>
      </c>
      <c r="H940" t="s">
        <v>23</v>
      </c>
      <c r="I940">
        <v>23</v>
      </c>
      <c r="J940">
        <v>4</v>
      </c>
      <c r="K940" t="s">
        <v>18</v>
      </c>
      <c r="L940">
        <v>1</v>
      </c>
      <c r="M940">
        <v>3</v>
      </c>
      <c r="N940" s="3">
        <v>2372</v>
      </c>
      <c r="O940" s="3" t="str">
        <f>IF(Table2[[#This Row],[MonthlyIncome]]&lt;=5000, "$1001 - $5000", IF(Table2[[#This Row],[MonthlyIncome]]&lt;=9000, "$5001 - $9000", IF(Table2[[#This Row],[MonthlyIncome]]&lt;=13000, "$9001 - $13000", IF(Table2[[#This Row],[MonthlyIncome]]&lt;=17000, "$13001 - $17000", IF(Table2[[#This Row],[MonthlyIncome]]&lt;=21000, "$17001 - $21000")))))</f>
        <v>$1001 - $5000</v>
      </c>
      <c r="P940">
        <v>1</v>
      </c>
      <c r="Q940">
        <v>3</v>
      </c>
      <c r="R940">
        <v>2</v>
      </c>
      <c r="S9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41" spans="1:19" ht="14.25" x14ac:dyDescent="0.2">
      <c r="A941">
        <v>52209860</v>
      </c>
      <c r="B941">
        <v>32</v>
      </c>
      <c r="C941" t="s">
        <v>25</v>
      </c>
      <c r="D941" t="s">
        <v>24</v>
      </c>
      <c r="E941" t="s">
        <v>16</v>
      </c>
      <c r="F941">
        <f>IF(Table2[[#This Row],[Attrition]]="Yes", 1, 0)</f>
        <v>1</v>
      </c>
      <c r="G941" t="s">
        <v>28</v>
      </c>
      <c r="H941" t="s">
        <v>23</v>
      </c>
      <c r="I941">
        <v>7</v>
      </c>
      <c r="J941">
        <v>2</v>
      </c>
      <c r="K941" t="s">
        <v>18</v>
      </c>
      <c r="L941">
        <v>4</v>
      </c>
      <c r="M941">
        <v>3</v>
      </c>
      <c r="N941" s="3">
        <v>4883</v>
      </c>
      <c r="O941" s="3" t="str">
        <f>IF(Table2[[#This Row],[MonthlyIncome]]&lt;=5000, "$1001 - $5000", IF(Table2[[#This Row],[MonthlyIncome]]&lt;=9000, "$5001 - $9000", IF(Table2[[#This Row],[MonthlyIncome]]&lt;=13000, "$9001 - $13000", IF(Table2[[#This Row],[MonthlyIncome]]&lt;=17000, "$13001 - $17000", IF(Table2[[#This Row],[MonthlyIncome]]&lt;=21000, "$17001 - $21000")))))</f>
        <v>$1001 - $5000</v>
      </c>
      <c r="P941">
        <v>1</v>
      </c>
      <c r="Q941">
        <v>3</v>
      </c>
      <c r="R941">
        <v>10</v>
      </c>
      <c r="S9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42" spans="1:19" ht="14.25" x14ac:dyDescent="0.2">
      <c r="A942">
        <v>58447905</v>
      </c>
      <c r="B942">
        <v>39</v>
      </c>
      <c r="C942" t="s">
        <v>25</v>
      </c>
      <c r="D942" t="s">
        <v>19</v>
      </c>
      <c r="E942" t="s">
        <v>16</v>
      </c>
      <c r="F942">
        <f>IF(Table2[[#This Row],[Attrition]]="Yes", 1, 0)</f>
        <v>1</v>
      </c>
      <c r="G942" t="s">
        <v>26</v>
      </c>
      <c r="H942" t="s">
        <v>23</v>
      </c>
      <c r="I942">
        <v>23</v>
      </c>
      <c r="J942">
        <v>3</v>
      </c>
      <c r="K942" t="s">
        <v>29</v>
      </c>
      <c r="L942">
        <v>3</v>
      </c>
      <c r="M942">
        <v>1</v>
      </c>
      <c r="N942" s="3">
        <v>3904</v>
      </c>
      <c r="O942" s="3" t="str">
        <f>IF(Table2[[#This Row],[MonthlyIncome]]&lt;=5000, "$1001 - $5000", IF(Table2[[#This Row],[MonthlyIncome]]&lt;=9000, "$5001 - $9000", IF(Table2[[#This Row],[MonthlyIncome]]&lt;=13000, "$9001 - $13000", IF(Table2[[#This Row],[MonthlyIncome]]&lt;=17000, "$13001 - $17000", IF(Table2[[#This Row],[MonthlyIncome]]&lt;=21000, "$17001 - $21000")))))</f>
        <v>$1001 - $5000</v>
      </c>
      <c r="P942">
        <v>0</v>
      </c>
      <c r="Q942">
        <v>3</v>
      </c>
      <c r="R942">
        <v>5</v>
      </c>
      <c r="S9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43" spans="1:19" ht="14.25" x14ac:dyDescent="0.2">
      <c r="A943">
        <v>32390012</v>
      </c>
      <c r="B943">
        <v>30</v>
      </c>
      <c r="C943" t="s">
        <v>20</v>
      </c>
      <c r="D943" t="s">
        <v>24</v>
      </c>
      <c r="E943" t="s">
        <v>22</v>
      </c>
      <c r="F943">
        <f>IF(Table2[[#This Row],[Attrition]]="Yes", 1, 0)</f>
        <v>0</v>
      </c>
      <c r="G943" t="s">
        <v>28</v>
      </c>
      <c r="H943" t="s">
        <v>23</v>
      </c>
      <c r="I943">
        <v>6</v>
      </c>
      <c r="J943">
        <v>3</v>
      </c>
      <c r="K943" t="s">
        <v>37</v>
      </c>
      <c r="L943">
        <v>1</v>
      </c>
      <c r="M943">
        <v>4</v>
      </c>
      <c r="N943" s="3">
        <v>4627</v>
      </c>
      <c r="O943" s="3" t="str">
        <f>IF(Table2[[#This Row],[MonthlyIncome]]&lt;=5000, "$1001 - $5000", IF(Table2[[#This Row],[MonthlyIncome]]&lt;=9000, "$5001 - $9000", IF(Table2[[#This Row],[MonthlyIncome]]&lt;=13000, "$9001 - $13000", IF(Table2[[#This Row],[MonthlyIncome]]&lt;=17000, "$13001 - $17000", IF(Table2[[#This Row],[MonthlyIncome]]&lt;=21000, "$17001 - $21000")))))</f>
        <v>$1001 - $5000</v>
      </c>
      <c r="P943">
        <v>0</v>
      </c>
      <c r="Q943">
        <v>3</v>
      </c>
      <c r="R943">
        <v>9</v>
      </c>
      <c r="S9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44" spans="1:19" ht="14.25" x14ac:dyDescent="0.2">
      <c r="A944">
        <v>41940119</v>
      </c>
      <c r="B944">
        <v>36</v>
      </c>
      <c r="C944" t="s">
        <v>20</v>
      </c>
      <c r="D944" t="s">
        <v>24</v>
      </c>
      <c r="E944" t="s">
        <v>22</v>
      </c>
      <c r="F944">
        <f>IF(Table2[[#This Row],[Attrition]]="Yes", 1, 0)</f>
        <v>0</v>
      </c>
      <c r="G944" t="s">
        <v>32</v>
      </c>
      <c r="H944" t="s">
        <v>23</v>
      </c>
      <c r="I944">
        <v>10</v>
      </c>
      <c r="J944">
        <v>4</v>
      </c>
      <c r="K944" t="s">
        <v>37</v>
      </c>
      <c r="L944">
        <v>4</v>
      </c>
      <c r="M944">
        <v>3</v>
      </c>
      <c r="N944" s="3">
        <v>7094</v>
      </c>
      <c r="O944" s="3" t="str">
        <f>IF(Table2[[#This Row],[MonthlyIncome]]&lt;=5000, "$1001 - $5000", IF(Table2[[#This Row],[MonthlyIncome]]&lt;=9000, "$5001 - $9000", IF(Table2[[#This Row],[MonthlyIncome]]&lt;=13000, "$9001 - $13000", IF(Table2[[#This Row],[MonthlyIncome]]&lt;=17000, "$13001 - $17000", IF(Table2[[#This Row],[MonthlyIncome]]&lt;=21000, "$17001 - $21000")))))</f>
        <v>$5001 - $9000</v>
      </c>
      <c r="P944">
        <v>3</v>
      </c>
      <c r="Q944">
        <v>3</v>
      </c>
      <c r="R944">
        <v>7</v>
      </c>
      <c r="S9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45" spans="1:19" ht="14.25" x14ac:dyDescent="0.2">
      <c r="A945">
        <v>11522354</v>
      </c>
      <c r="B945">
        <v>46</v>
      </c>
      <c r="C945" t="s">
        <v>20</v>
      </c>
      <c r="D945" t="s">
        <v>19</v>
      </c>
      <c r="E945" t="s">
        <v>22</v>
      </c>
      <c r="F945">
        <f>IF(Table2[[#This Row],[Attrition]]="Yes", 1, 0)</f>
        <v>0</v>
      </c>
      <c r="G945" t="s">
        <v>38</v>
      </c>
      <c r="H945" t="s">
        <v>38</v>
      </c>
      <c r="I945">
        <v>1</v>
      </c>
      <c r="J945">
        <v>2</v>
      </c>
      <c r="K945" t="s">
        <v>18</v>
      </c>
      <c r="L945">
        <v>4</v>
      </c>
      <c r="M945">
        <v>1</v>
      </c>
      <c r="N945" s="3">
        <v>3423</v>
      </c>
      <c r="O945" s="3" t="str">
        <f>IF(Table2[[#This Row],[MonthlyIncome]]&lt;=5000, "$1001 - $5000", IF(Table2[[#This Row],[MonthlyIncome]]&lt;=9000, "$5001 - $9000", IF(Table2[[#This Row],[MonthlyIncome]]&lt;=13000, "$9001 - $13000", IF(Table2[[#This Row],[MonthlyIncome]]&lt;=17000, "$13001 - $17000", IF(Table2[[#This Row],[MonthlyIncome]]&lt;=21000, "$17001 - $21000")))))</f>
        <v>$1001 - $5000</v>
      </c>
      <c r="P945">
        <v>6</v>
      </c>
      <c r="Q945">
        <v>4</v>
      </c>
      <c r="R945">
        <v>7</v>
      </c>
      <c r="S9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46" spans="1:19" ht="14.25" x14ac:dyDescent="0.2">
      <c r="A946">
        <v>44336696</v>
      </c>
      <c r="B946">
        <v>28</v>
      </c>
      <c r="C946" t="s">
        <v>20</v>
      </c>
      <c r="D946" t="s">
        <v>24</v>
      </c>
      <c r="E946" t="s">
        <v>22</v>
      </c>
      <c r="F946">
        <f>IF(Table2[[#This Row],[Attrition]]="Yes", 1, 0)</f>
        <v>0</v>
      </c>
      <c r="G946" t="s">
        <v>28</v>
      </c>
      <c r="H946" t="s">
        <v>23</v>
      </c>
      <c r="I946">
        <v>1</v>
      </c>
      <c r="J946">
        <v>3</v>
      </c>
      <c r="K946" t="s">
        <v>18</v>
      </c>
      <c r="L946">
        <v>3</v>
      </c>
      <c r="M946">
        <v>4</v>
      </c>
      <c r="N946" s="3">
        <v>6674</v>
      </c>
      <c r="O946" s="3" t="str">
        <f>IF(Table2[[#This Row],[MonthlyIncome]]&lt;=5000, "$1001 - $5000", IF(Table2[[#This Row],[MonthlyIncome]]&lt;=9000, "$5001 - $9000", IF(Table2[[#This Row],[MonthlyIncome]]&lt;=13000, "$9001 - $13000", IF(Table2[[#This Row],[MonthlyIncome]]&lt;=17000, "$13001 - $17000", IF(Table2[[#This Row],[MonthlyIncome]]&lt;=21000, "$17001 - $21000")))))</f>
        <v>$5001 - $9000</v>
      </c>
      <c r="P946">
        <v>0</v>
      </c>
      <c r="Q946">
        <v>3</v>
      </c>
      <c r="R946">
        <v>9</v>
      </c>
      <c r="S9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47" spans="1:19" ht="14.25" x14ac:dyDescent="0.2">
      <c r="A947">
        <v>54013303</v>
      </c>
      <c r="B947">
        <v>50</v>
      </c>
      <c r="C947" t="s">
        <v>20</v>
      </c>
      <c r="D947" t="s">
        <v>24</v>
      </c>
      <c r="E947" t="s">
        <v>22</v>
      </c>
      <c r="F947">
        <f>IF(Table2[[#This Row],[Attrition]]="Yes", 1, 0)</f>
        <v>0</v>
      </c>
      <c r="G947" t="s">
        <v>35</v>
      </c>
      <c r="H947" t="s">
        <v>23</v>
      </c>
      <c r="I947">
        <v>28</v>
      </c>
      <c r="J947">
        <v>3</v>
      </c>
      <c r="K947" t="s">
        <v>18</v>
      </c>
      <c r="L947">
        <v>4</v>
      </c>
      <c r="M947">
        <v>1</v>
      </c>
      <c r="N947" s="3">
        <v>16880</v>
      </c>
      <c r="O947" s="3" t="str">
        <f>IF(Table2[[#This Row],[MonthlyIncome]]&lt;=5000, "$1001 - $5000", IF(Table2[[#This Row],[MonthlyIncome]]&lt;=9000, "$5001 - $9000", IF(Table2[[#This Row],[MonthlyIncome]]&lt;=13000, "$9001 - $13000", IF(Table2[[#This Row],[MonthlyIncome]]&lt;=17000, "$13001 - $17000", IF(Table2[[#This Row],[MonthlyIncome]]&lt;=21000, "$17001 - $21000")))))</f>
        <v>$13001 - $17000</v>
      </c>
      <c r="P947">
        <v>4</v>
      </c>
      <c r="Q947">
        <v>3</v>
      </c>
      <c r="R947">
        <v>3</v>
      </c>
      <c r="S9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48" spans="1:19" ht="14.25" x14ac:dyDescent="0.2">
      <c r="A948">
        <v>74959426</v>
      </c>
      <c r="B948">
        <v>40</v>
      </c>
      <c r="C948" t="s">
        <v>25</v>
      </c>
      <c r="D948" t="s">
        <v>19</v>
      </c>
      <c r="E948" t="s">
        <v>16</v>
      </c>
      <c r="F948">
        <f>IF(Table2[[#This Row],[Attrition]]="Yes", 1, 0)</f>
        <v>1</v>
      </c>
      <c r="G948" t="s">
        <v>21</v>
      </c>
      <c r="H948" t="s">
        <v>17</v>
      </c>
      <c r="I948">
        <v>25</v>
      </c>
      <c r="J948">
        <v>4</v>
      </c>
      <c r="K948" t="s">
        <v>36</v>
      </c>
      <c r="L948">
        <v>4</v>
      </c>
      <c r="M948">
        <v>2</v>
      </c>
      <c r="N948" s="3">
        <v>9094</v>
      </c>
      <c r="O948" s="3" t="str">
        <f>IF(Table2[[#This Row],[MonthlyIncome]]&lt;=5000, "$1001 - $5000", IF(Table2[[#This Row],[MonthlyIncome]]&lt;=9000, "$5001 - $9000", IF(Table2[[#This Row],[MonthlyIncome]]&lt;=13000, "$9001 - $13000", IF(Table2[[#This Row],[MonthlyIncome]]&lt;=17000, "$13001 - $17000", IF(Table2[[#This Row],[MonthlyIncome]]&lt;=21000, "$17001 - $21000")))))</f>
        <v>$9001 - $13000</v>
      </c>
      <c r="P948">
        <v>2</v>
      </c>
      <c r="Q948">
        <v>3</v>
      </c>
      <c r="R948">
        <v>5</v>
      </c>
      <c r="S9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49" spans="1:19" ht="14.25" x14ac:dyDescent="0.2">
      <c r="A949">
        <v>58201029</v>
      </c>
      <c r="B949">
        <v>52</v>
      </c>
      <c r="C949" t="s">
        <v>25</v>
      </c>
      <c r="D949" t="s">
        <v>19</v>
      </c>
      <c r="E949" t="s">
        <v>16</v>
      </c>
      <c r="F949">
        <f>IF(Table2[[#This Row],[Attrition]]="Yes", 1, 0)</f>
        <v>1</v>
      </c>
      <c r="G949" t="s">
        <v>21</v>
      </c>
      <c r="H949" t="s">
        <v>17</v>
      </c>
      <c r="I949">
        <v>5</v>
      </c>
      <c r="J949">
        <v>3</v>
      </c>
      <c r="K949" t="s">
        <v>18</v>
      </c>
      <c r="L949">
        <v>2</v>
      </c>
      <c r="M949">
        <v>2</v>
      </c>
      <c r="N949" s="3">
        <v>8446</v>
      </c>
      <c r="O949" s="3" t="str">
        <f>IF(Table2[[#This Row],[MonthlyIncome]]&lt;=5000, "$1001 - $5000", IF(Table2[[#This Row],[MonthlyIncome]]&lt;=9000, "$5001 - $9000", IF(Table2[[#This Row],[MonthlyIncome]]&lt;=13000, "$9001 - $13000", IF(Table2[[#This Row],[MonthlyIncome]]&lt;=17000, "$13001 - $17000", IF(Table2[[#This Row],[MonthlyIncome]]&lt;=21000, "$17001 - $21000")))))</f>
        <v>$5001 - $9000</v>
      </c>
      <c r="P949">
        <v>9</v>
      </c>
      <c r="Q949">
        <v>2</v>
      </c>
      <c r="R949">
        <v>8</v>
      </c>
      <c r="S9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50" spans="1:19" ht="14.25" x14ac:dyDescent="0.2">
      <c r="A950">
        <v>39834674</v>
      </c>
      <c r="B950">
        <v>30</v>
      </c>
      <c r="C950" t="s">
        <v>20</v>
      </c>
      <c r="D950" t="s">
        <v>24</v>
      </c>
      <c r="E950" t="s">
        <v>22</v>
      </c>
      <c r="F950">
        <f>IF(Table2[[#This Row],[Attrition]]="Yes", 1, 0)</f>
        <v>0</v>
      </c>
      <c r="G950" t="s">
        <v>33</v>
      </c>
      <c r="H950" t="s">
        <v>23</v>
      </c>
      <c r="I950">
        <v>17</v>
      </c>
      <c r="J950">
        <v>4</v>
      </c>
      <c r="K950" t="s">
        <v>29</v>
      </c>
      <c r="L950">
        <v>2</v>
      </c>
      <c r="M950">
        <v>1</v>
      </c>
      <c r="N950" s="3">
        <v>11916</v>
      </c>
      <c r="O950" s="3" t="str">
        <f>IF(Table2[[#This Row],[MonthlyIncome]]&lt;=5000, "$1001 - $5000", IF(Table2[[#This Row],[MonthlyIncome]]&lt;=9000, "$5001 - $9000", IF(Table2[[#This Row],[MonthlyIncome]]&lt;=13000, "$9001 - $13000", IF(Table2[[#This Row],[MonthlyIncome]]&lt;=17000, "$13001 - $17000", IF(Table2[[#This Row],[MonthlyIncome]]&lt;=21000, "$17001 - $21000")))))</f>
        <v>$9001 - $13000</v>
      </c>
      <c r="P950">
        <v>1</v>
      </c>
      <c r="Q950">
        <v>3</v>
      </c>
      <c r="R950">
        <v>9</v>
      </c>
      <c r="S9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51" spans="1:19" ht="14.25" x14ac:dyDescent="0.2">
      <c r="A951">
        <v>88718763</v>
      </c>
      <c r="B951">
        <v>39</v>
      </c>
      <c r="C951" t="s">
        <v>25</v>
      </c>
      <c r="D951" t="s">
        <v>19</v>
      </c>
      <c r="E951" t="s">
        <v>22</v>
      </c>
      <c r="F951">
        <f>IF(Table2[[#This Row],[Attrition]]="Yes", 1, 0)</f>
        <v>0</v>
      </c>
      <c r="G951" t="s">
        <v>31</v>
      </c>
      <c r="H951" t="s">
        <v>23</v>
      </c>
      <c r="I951">
        <v>18</v>
      </c>
      <c r="J951">
        <v>2</v>
      </c>
      <c r="K951" t="s">
        <v>18</v>
      </c>
      <c r="L951">
        <v>1</v>
      </c>
      <c r="M951">
        <v>3</v>
      </c>
      <c r="N951" s="3">
        <v>4534</v>
      </c>
      <c r="O951" s="3" t="str">
        <f>IF(Table2[[#This Row],[MonthlyIncome]]&lt;=5000, "$1001 - $5000", IF(Table2[[#This Row],[MonthlyIncome]]&lt;=9000, "$5001 - $9000", IF(Table2[[#This Row],[MonthlyIncome]]&lt;=13000, "$9001 - $13000", IF(Table2[[#This Row],[MonthlyIncome]]&lt;=17000, "$13001 - $17000", IF(Table2[[#This Row],[MonthlyIncome]]&lt;=21000, "$17001 - $21000")))))</f>
        <v>$1001 - $5000</v>
      </c>
      <c r="P951">
        <v>0</v>
      </c>
      <c r="Q951">
        <v>3</v>
      </c>
      <c r="R951">
        <v>8</v>
      </c>
      <c r="S9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52" spans="1:19" ht="14.25" x14ac:dyDescent="0.2">
      <c r="A952">
        <v>72374002</v>
      </c>
      <c r="B952">
        <v>31</v>
      </c>
      <c r="C952" t="s">
        <v>20</v>
      </c>
      <c r="D952" t="s">
        <v>30</v>
      </c>
      <c r="E952" t="s">
        <v>22</v>
      </c>
      <c r="F952">
        <f>IF(Table2[[#This Row],[Attrition]]="Yes", 1, 0)</f>
        <v>0</v>
      </c>
      <c r="G952" t="s">
        <v>21</v>
      </c>
      <c r="H952" t="s">
        <v>17</v>
      </c>
      <c r="I952">
        <v>2</v>
      </c>
      <c r="J952">
        <v>4</v>
      </c>
      <c r="K952" t="s">
        <v>18</v>
      </c>
      <c r="L952">
        <v>4</v>
      </c>
      <c r="M952">
        <v>3</v>
      </c>
      <c r="N952" s="3">
        <v>9852</v>
      </c>
      <c r="O952" s="3" t="str">
        <f>IF(Table2[[#This Row],[MonthlyIncome]]&lt;=5000, "$1001 - $5000", IF(Table2[[#This Row],[MonthlyIncome]]&lt;=9000, "$5001 - $9000", IF(Table2[[#This Row],[MonthlyIncome]]&lt;=13000, "$9001 - $13000", IF(Table2[[#This Row],[MonthlyIncome]]&lt;=17000, "$13001 - $17000", IF(Table2[[#This Row],[MonthlyIncome]]&lt;=21000, "$17001 - $21000")))))</f>
        <v>$9001 - $13000</v>
      </c>
      <c r="P952">
        <v>1</v>
      </c>
      <c r="Q952">
        <v>2</v>
      </c>
      <c r="R952">
        <v>10</v>
      </c>
      <c r="S9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53" spans="1:19" ht="14.25" x14ac:dyDescent="0.2">
      <c r="A953">
        <v>58489242</v>
      </c>
      <c r="B953">
        <v>41</v>
      </c>
      <c r="C953" t="s">
        <v>25</v>
      </c>
      <c r="D953" t="s">
        <v>19</v>
      </c>
      <c r="E953" t="s">
        <v>22</v>
      </c>
      <c r="F953">
        <f>IF(Table2[[#This Row],[Attrition]]="Yes", 1, 0)</f>
        <v>0</v>
      </c>
      <c r="G953" t="s">
        <v>21</v>
      </c>
      <c r="H953" t="s">
        <v>17</v>
      </c>
      <c r="I953">
        <v>10</v>
      </c>
      <c r="J953">
        <v>2</v>
      </c>
      <c r="K953" t="s">
        <v>29</v>
      </c>
      <c r="L953">
        <v>3</v>
      </c>
      <c r="M953">
        <v>2</v>
      </c>
      <c r="N953" s="3">
        <v>6151</v>
      </c>
      <c r="O953" s="3" t="str">
        <f>IF(Table2[[#This Row],[MonthlyIncome]]&lt;=5000, "$1001 - $5000", IF(Table2[[#This Row],[MonthlyIncome]]&lt;=9000, "$5001 - $9000", IF(Table2[[#This Row],[MonthlyIncome]]&lt;=13000, "$9001 - $13000", IF(Table2[[#This Row],[MonthlyIncome]]&lt;=17000, "$13001 - $17000", IF(Table2[[#This Row],[MonthlyIncome]]&lt;=21000, "$17001 - $21000")))))</f>
        <v>$5001 - $9000</v>
      </c>
      <c r="P953">
        <v>1</v>
      </c>
      <c r="Q953">
        <v>3</v>
      </c>
      <c r="R953">
        <v>19</v>
      </c>
      <c r="S9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954" spans="1:19" ht="14.25" x14ac:dyDescent="0.2">
      <c r="A954">
        <v>58869425</v>
      </c>
      <c r="B954">
        <v>31</v>
      </c>
      <c r="C954" t="s">
        <v>20</v>
      </c>
      <c r="D954" t="s">
        <v>19</v>
      </c>
      <c r="E954" t="s">
        <v>16</v>
      </c>
      <c r="F954">
        <f>IF(Table2[[#This Row],[Attrition]]="Yes", 1, 0)</f>
        <v>1</v>
      </c>
      <c r="G954" t="s">
        <v>34</v>
      </c>
      <c r="H954" t="s">
        <v>17</v>
      </c>
      <c r="I954">
        <v>1</v>
      </c>
      <c r="J954">
        <v>3</v>
      </c>
      <c r="K954" t="s">
        <v>18</v>
      </c>
      <c r="L954">
        <v>4</v>
      </c>
      <c r="M954">
        <v>2</v>
      </c>
      <c r="N954" s="3">
        <v>2302</v>
      </c>
      <c r="O954" s="3" t="str">
        <f>IF(Table2[[#This Row],[MonthlyIncome]]&lt;=5000, "$1001 - $5000", IF(Table2[[#This Row],[MonthlyIncome]]&lt;=9000, "$5001 - $9000", IF(Table2[[#This Row],[MonthlyIncome]]&lt;=13000, "$9001 - $13000", IF(Table2[[#This Row],[MonthlyIncome]]&lt;=17000, "$13001 - $17000", IF(Table2[[#This Row],[MonthlyIncome]]&lt;=21000, "$17001 - $21000")))))</f>
        <v>$1001 - $5000</v>
      </c>
      <c r="P954">
        <v>1</v>
      </c>
      <c r="Q954">
        <v>4</v>
      </c>
      <c r="R954">
        <v>3</v>
      </c>
      <c r="S9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55" spans="1:19" ht="14.25" x14ac:dyDescent="0.2">
      <c r="A955">
        <v>71113048</v>
      </c>
      <c r="B955">
        <v>44</v>
      </c>
      <c r="C955" t="s">
        <v>25</v>
      </c>
      <c r="D955" t="s">
        <v>24</v>
      </c>
      <c r="E955" t="s">
        <v>16</v>
      </c>
      <c r="F955">
        <f>IF(Table2[[#This Row],[Attrition]]="Yes", 1, 0)</f>
        <v>1</v>
      </c>
      <c r="G955" t="s">
        <v>28</v>
      </c>
      <c r="H955" t="s">
        <v>23</v>
      </c>
      <c r="I955">
        <v>3</v>
      </c>
      <c r="J955">
        <v>3</v>
      </c>
      <c r="K955" t="s">
        <v>18</v>
      </c>
      <c r="L955">
        <v>1</v>
      </c>
      <c r="M955">
        <v>1</v>
      </c>
      <c r="N955" s="3">
        <v>2362</v>
      </c>
      <c r="O955" s="3" t="str">
        <f>IF(Table2[[#This Row],[MonthlyIncome]]&lt;=5000, "$1001 - $5000", IF(Table2[[#This Row],[MonthlyIncome]]&lt;=9000, "$5001 - $9000", IF(Table2[[#This Row],[MonthlyIncome]]&lt;=13000, "$9001 - $13000", IF(Table2[[#This Row],[MonthlyIncome]]&lt;=17000, "$13001 - $17000", IF(Table2[[#This Row],[MonthlyIncome]]&lt;=21000, "$17001 - $21000")))))</f>
        <v>$1001 - $5000</v>
      </c>
      <c r="P955">
        <v>4</v>
      </c>
      <c r="Q955">
        <v>4</v>
      </c>
      <c r="R955">
        <v>3</v>
      </c>
      <c r="S9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56" spans="1:19" ht="14.25" x14ac:dyDescent="0.2">
      <c r="A956">
        <v>11460268</v>
      </c>
      <c r="B956">
        <v>42</v>
      </c>
      <c r="C956" t="s">
        <v>25</v>
      </c>
      <c r="D956" t="s">
        <v>24</v>
      </c>
      <c r="E956" t="s">
        <v>22</v>
      </c>
      <c r="F956">
        <f>IF(Table2[[#This Row],[Attrition]]="Yes", 1, 0)</f>
        <v>0</v>
      </c>
      <c r="G956" t="s">
        <v>33</v>
      </c>
      <c r="H956" t="s">
        <v>23</v>
      </c>
      <c r="I956">
        <v>2</v>
      </c>
      <c r="J956">
        <v>1</v>
      </c>
      <c r="K956" t="s">
        <v>18</v>
      </c>
      <c r="L956">
        <v>3</v>
      </c>
      <c r="M956">
        <v>3</v>
      </c>
      <c r="N956" s="3">
        <v>17861</v>
      </c>
      <c r="O956" s="3" t="str">
        <f>IF(Table2[[#This Row],[MonthlyIncome]]&lt;=5000, "$1001 - $5000", IF(Table2[[#This Row],[MonthlyIncome]]&lt;=9000, "$5001 - $9000", IF(Table2[[#This Row],[MonthlyIncome]]&lt;=13000, "$9001 - $13000", IF(Table2[[#This Row],[MonthlyIncome]]&lt;=17000, "$13001 - $17000", IF(Table2[[#This Row],[MonthlyIncome]]&lt;=21000, "$17001 - $21000")))))</f>
        <v>$17001 - $21000</v>
      </c>
      <c r="P956">
        <v>0</v>
      </c>
      <c r="Q956">
        <v>2</v>
      </c>
      <c r="R956">
        <v>20</v>
      </c>
      <c r="S9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957" spans="1:19" ht="14.25" x14ac:dyDescent="0.2">
      <c r="A957">
        <v>76129428</v>
      </c>
      <c r="B957">
        <v>55</v>
      </c>
      <c r="C957" t="s">
        <v>20</v>
      </c>
      <c r="D957" t="s">
        <v>24</v>
      </c>
      <c r="E957" t="s">
        <v>22</v>
      </c>
      <c r="F957">
        <f>IF(Table2[[#This Row],[Attrition]]="Yes", 1, 0)</f>
        <v>0</v>
      </c>
      <c r="G957" t="s">
        <v>33</v>
      </c>
      <c r="H957" t="s">
        <v>23</v>
      </c>
      <c r="I957">
        <v>2</v>
      </c>
      <c r="J957">
        <v>2</v>
      </c>
      <c r="K957" t="s">
        <v>29</v>
      </c>
      <c r="L957">
        <v>4</v>
      </c>
      <c r="M957">
        <v>3</v>
      </c>
      <c r="N957" s="3">
        <v>19187</v>
      </c>
      <c r="O957" s="3" t="str">
        <f>IF(Table2[[#This Row],[MonthlyIncome]]&lt;=5000, "$1001 - $5000", IF(Table2[[#This Row],[MonthlyIncome]]&lt;=9000, "$5001 - $9000", IF(Table2[[#This Row],[MonthlyIncome]]&lt;=13000, "$9001 - $13000", IF(Table2[[#This Row],[MonthlyIncome]]&lt;=17000, "$13001 - $17000", IF(Table2[[#This Row],[MonthlyIncome]]&lt;=21000, "$17001 - $21000")))))</f>
        <v>$17001 - $21000</v>
      </c>
      <c r="P957">
        <v>4</v>
      </c>
      <c r="Q957">
        <v>3</v>
      </c>
      <c r="R957">
        <v>19</v>
      </c>
      <c r="S9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958" spans="1:19" ht="14.25" x14ac:dyDescent="0.2">
      <c r="A958">
        <v>29223738</v>
      </c>
      <c r="B958">
        <v>56</v>
      </c>
      <c r="C958" t="s">
        <v>25</v>
      </c>
      <c r="D958" t="s">
        <v>19</v>
      </c>
      <c r="E958" t="s">
        <v>22</v>
      </c>
      <c r="F958">
        <f>IF(Table2[[#This Row],[Attrition]]="Yes", 1, 0)</f>
        <v>0</v>
      </c>
      <c r="G958" t="s">
        <v>33</v>
      </c>
      <c r="H958" t="s">
        <v>38</v>
      </c>
      <c r="I958">
        <v>8</v>
      </c>
      <c r="J958">
        <v>4</v>
      </c>
      <c r="K958" t="s">
        <v>18</v>
      </c>
      <c r="L958">
        <v>4</v>
      </c>
      <c r="M958">
        <v>2</v>
      </c>
      <c r="N958" s="3">
        <v>19717</v>
      </c>
      <c r="O958" s="3" t="str">
        <f>IF(Table2[[#This Row],[MonthlyIncome]]&lt;=5000, "$1001 - $5000", IF(Table2[[#This Row],[MonthlyIncome]]&lt;=9000, "$5001 - $9000", IF(Table2[[#This Row],[MonthlyIncome]]&lt;=13000, "$9001 - $13000", IF(Table2[[#This Row],[MonthlyIncome]]&lt;=17000, "$13001 - $17000", IF(Table2[[#This Row],[MonthlyIncome]]&lt;=21000, "$17001 - $21000")))))</f>
        <v>$17001 - $21000</v>
      </c>
      <c r="P958">
        <v>6</v>
      </c>
      <c r="Q958">
        <v>3</v>
      </c>
      <c r="R958">
        <v>7</v>
      </c>
      <c r="S9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59" spans="1:19" ht="14.25" x14ac:dyDescent="0.2">
      <c r="A959">
        <v>62724149</v>
      </c>
      <c r="B959">
        <v>40</v>
      </c>
      <c r="C959" t="s">
        <v>25</v>
      </c>
      <c r="D959" t="s">
        <v>30</v>
      </c>
      <c r="E959" t="s">
        <v>22</v>
      </c>
      <c r="F959">
        <f>IF(Table2[[#This Row],[Attrition]]="Yes", 1, 0)</f>
        <v>0</v>
      </c>
      <c r="G959" t="s">
        <v>26</v>
      </c>
      <c r="H959" t="s">
        <v>23</v>
      </c>
      <c r="I959">
        <v>16</v>
      </c>
      <c r="J959">
        <v>2</v>
      </c>
      <c r="K959" t="s">
        <v>18</v>
      </c>
      <c r="L959">
        <v>3</v>
      </c>
      <c r="M959">
        <v>3</v>
      </c>
      <c r="N959" s="3">
        <v>3544</v>
      </c>
      <c r="O959" s="3" t="str">
        <f>IF(Table2[[#This Row],[MonthlyIncome]]&lt;=5000, "$1001 - $5000", IF(Table2[[#This Row],[MonthlyIncome]]&lt;=9000, "$5001 - $9000", IF(Table2[[#This Row],[MonthlyIncome]]&lt;=13000, "$9001 - $13000", IF(Table2[[#This Row],[MonthlyIncome]]&lt;=17000, "$13001 - $17000", IF(Table2[[#This Row],[MonthlyIncome]]&lt;=21000, "$17001 - $21000")))))</f>
        <v>$1001 - $5000</v>
      </c>
      <c r="P959">
        <v>9</v>
      </c>
      <c r="Q959">
        <v>3</v>
      </c>
      <c r="R959">
        <v>4</v>
      </c>
      <c r="S9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60" spans="1:19" ht="14.25" x14ac:dyDescent="0.2">
      <c r="A960">
        <v>75083068</v>
      </c>
      <c r="B960">
        <v>34</v>
      </c>
      <c r="C960" t="s">
        <v>25</v>
      </c>
      <c r="D960" t="s">
        <v>30</v>
      </c>
      <c r="E960" t="s">
        <v>22</v>
      </c>
      <c r="F960">
        <f>IF(Table2[[#This Row],[Attrition]]="Yes", 1, 0)</f>
        <v>0</v>
      </c>
      <c r="G960" t="s">
        <v>32</v>
      </c>
      <c r="H960" t="s">
        <v>23</v>
      </c>
      <c r="I960">
        <v>9</v>
      </c>
      <c r="J960">
        <v>3</v>
      </c>
      <c r="K960" t="s">
        <v>18</v>
      </c>
      <c r="L960">
        <v>4</v>
      </c>
      <c r="M960">
        <v>4</v>
      </c>
      <c r="N960" s="3">
        <v>8500</v>
      </c>
      <c r="O960" s="3" t="str">
        <f>IF(Table2[[#This Row],[MonthlyIncome]]&lt;=5000, "$1001 - $5000", IF(Table2[[#This Row],[MonthlyIncome]]&lt;=9000, "$5001 - $9000", IF(Table2[[#This Row],[MonthlyIncome]]&lt;=13000, "$9001 - $13000", IF(Table2[[#This Row],[MonthlyIncome]]&lt;=17000, "$13001 - $17000", IF(Table2[[#This Row],[MonthlyIncome]]&lt;=21000, "$17001 - $21000")))))</f>
        <v>$5001 - $9000</v>
      </c>
      <c r="P960">
        <v>0</v>
      </c>
      <c r="Q960">
        <v>2</v>
      </c>
      <c r="R960">
        <v>9</v>
      </c>
      <c r="S9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61" spans="1:19" ht="14.25" x14ac:dyDescent="0.2">
      <c r="A961">
        <v>83746599</v>
      </c>
      <c r="B961">
        <v>40</v>
      </c>
      <c r="C961" t="s">
        <v>25</v>
      </c>
      <c r="D961" t="s">
        <v>19</v>
      </c>
      <c r="E961" t="s">
        <v>22</v>
      </c>
      <c r="F961">
        <f>IF(Table2[[#This Row],[Attrition]]="Yes", 1, 0)</f>
        <v>0</v>
      </c>
      <c r="G961" t="s">
        <v>26</v>
      </c>
      <c r="H961" t="s">
        <v>23</v>
      </c>
      <c r="I961">
        <v>2</v>
      </c>
      <c r="J961">
        <v>3</v>
      </c>
      <c r="K961" t="s">
        <v>18</v>
      </c>
      <c r="L961">
        <v>3</v>
      </c>
      <c r="M961">
        <v>4</v>
      </c>
      <c r="N961" s="3">
        <v>4661</v>
      </c>
      <c r="O961" s="3" t="str">
        <f>IF(Table2[[#This Row],[MonthlyIncome]]&lt;=5000, "$1001 - $5000", IF(Table2[[#This Row],[MonthlyIncome]]&lt;=9000, "$5001 - $9000", IF(Table2[[#This Row],[MonthlyIncome]]&lt;=13000, "$9001 - $13000", IF(Table2[[#This Row],[MonthlyIncome]]&lt;=17000, "$13001 - $17000", IF(Table2[[#This Row],[MonthlyIncome]]&lt;=21000, "$17001 - $21000")))))</f>
        <v>$1001 - $5000</v>
      </c>
      <c r="P961">
        <v>1</v>
      </c>
      <c r="Q961">
        <v>3</v>
      </c>
      <c r="R961">
        <v>9</v>
      </c>
      <c r="S9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62" spans="1:19" ht="14.25" x14ac:dyDescent="0.2">
      <c r="A962">
        <v>62146584</v>
      </c>
      <c r="B962">
        <v>41</v>
      </c>
      <c r="C962" t="s">
        <v>20</v>
      </c>
      <c r="D962" t="s">
        <v>30</v>
      </c>
      <c r="E962" t="s">
        <v>22</v>
      </c>
      <c r="F962">
        <f>IF(Table2[[#This Row],[Attrition]]="Yes", 1, 0)</f>
        <v>0</v>
      </c>
      <c r="G962" t="s">
        <v>21</v>
      </c>
      <c r="H962" t="s">
        <v>17</v>
      </c>
      <c r="I962">
        <v>1</v>
      </c>
      <c r="J962">
        <v>3</v>
      </c>
      <c r="K962" t="s">
        <v>36</v>
      </c>
      <c r="L962">
        <v>3</v>
      </c>
      <c r="M962">
        <v>1</v>
      </c>
      <c r="N962" s="3">
        <v>4103</v>
      </c>
      <c r="O962" s="3" t="str">
        <f>IF(Table2[[#This Row],[MonthlyIncome]]&lt;=5000, "$1001 - $5000", IF(Table2[[#This Row],[MonthlyIncome]]&lt;=9000, "$5001 - $9000", IF(Table2[[#This Row],[MonthlyIncome]]&lt;=13000, "$9001 - $13000", IF(Table2[[#This Row],[MonthlyIncome]]&lt;=17000, "$13001 - $17000", IF(Table2[[#This Row],[MonthlyIncome]]&lt;=21000, "$17001 - $21000")))))</f>
        <v>$1001 - $5000</v>
      </c>
      <c r="P962">
        <v>0</v>
      </c>
      <c r="Q962">
        <v>3</v>
      </c>
      <c r="R962">
        <v>9</v>
      </c>
      <c r="S9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63" spans="1:19" ht="14.25" x14ac:dyDescent="0.2">
      <c r="A963">
        <v>78417883</v>
      </c>
      <c r="B963">
        <v>35</v>
      </c>
      <c r="C963" t="s">
        <v>25</v>
      </c>
      <c r="D963" t="s">
        <v>19</v>
      </c>
      <c r="E963" t="s">
        <v>22</v>
      </c>
      <c r="F963">
        <f>IF(Table2[[#This Row],[Attrition]]="Yes", 1, 0)</f>
        <v>0</v>
      </c>
      <c r="G963" t="s">
        <v>26</v>
      </c>
      <c r="H963" t="s">
        <v>23</v>
      </c>
      <c r="I963">
        <v>4</v>
      </c>
      <c r="J963">
        <v>4</v>
      </c>
      <c r="K963" t="s">
        <v>18</v>
      </c>
      <c r="L963">
        <v>3</v>
      </c>
      <c r="M963">
        <v>3</v>
      </c>
      <c r="N963" s="3">
        <v>4249</v>
      </c>
      <c r="O963" s="3" t="str">
        <f>IF(Table2[[#This Row],[MonthlyIncome]]&lt;=5000, "$1001 - $5000", IF(Table2[[#This Row],[MonthlyIncome]]&lt;=9000, "$5001 - $9000", IF(Table2[[#This Row],[MonthlyIncome]]&lt;=13000, "$9001 - $13000", IF(Table2[[#This Row],[MonthlyIncome]]&lt;=17000, "$13001 - $17000", IF(Table2[[#This Row],[MonthlyIncome]]&lt;=21000, "$17001 - $21000")))))</f>
        <v>$1001 - $5000</v>
      </c>
      <c r="P963">
        <v>1</v>
      </c>
      <c r="Q963">
        <v>3</v>
      </c>
      <c r="R963">
        <v>9</v>
      </c>
      <c r="S9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64" spans="1:19" ht="14.25" x14ac:dyDescent="0.2">
      <c r="A964">
        <v>75357136</v>
      </c>
      <c r="B964">
        <v>51</v>
      </c>
      <c r="C964" t="s">
        <v>25</v>
      </c>
      <c r="D964" t="s">
        <v>30</v>
      </c>
      <c r="E964" t="s">
        <v>22</v>
      </c>
      <c r="F964">
        <f>IF(Table2[[#This Row],[Attrition]]="Yes", 1, 0)</f>
        <v>0</v>
      </c>
      <c r="G964" t="s">
        <v>33</v>
      </c>
      <c r="H964" t="s">
        <v>38</v>
      </c>
      <c r="I964">
        <v>5</v>
      </c>
      <c r="J964">
        <v>3</v>
      </c>
      <c r="K964" t="s">
        <v>18</v>
      </c>
      <c r="L964">
        <v>3</v>
      </c>
      <c r="M964">
        <v>2</v>
      </c>
      <c r="N964" s="3">
        <v>14026</v>
      </c>
      <c r="O964" s="3" t="str">
        <f>IF(Table2[[#This Row],[MonthlyIncome]]&lt;=5000, "$1001 - $5000", IF(Table2[[#This Row],[MonthlyIncome]]&lt;=9000, "$5001 - $9000", IF(Table2[[#This Row],[MonthlyIncome]]&lt;=13000, "$9001 - $13000", IF(Table2[[#This Row],[MonthlyIncome]]&lt;=17000, "$13001 - $17000", IF(Table2[[#This Row],[MonthlyIncome]]&lt;=21000, "$17001 - $21000")))))</f>
        <v>$13001 - $17000</v>
      </c>
      <c r="P964">
        <v>1</v>
      </c>
      <c r="Q964">
        <v>3</v>
      </c>
      <c r="R964">
        <v>33</v>
      </c>
      <c r="S9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30 - 35 Years</v>
      </c>
    </row>
    <row r="965" spans="1:19" ht="14.25" x14ac:dyDescent="0.2">
      <c r="A965">
        <v>89511738</v>
      </c>
      <c r="B965">
        <v>38</v>
      </c>
      <c r="C965" t="s">
        <v>20</v>
      </c>
      <c r="D965" t="s">
        <v>30</v>
      </c>
      <c r="E965" t="s">
        <v>22</v>
      </c>
      <c r="F965">
        <f>IF(Table2[[#This Row],[Attrition]]="Yes", 1, 0)</f>
        <v>0</v>
      </c>
      <c r="G965" t="s">
        <v>21</v>
      </c>
      <c r="H965" t="s">
        <v>17</v>
      </c>
      <c r="I965">
        <v>2</v>
      </c>
      <c r="J965">
        <v>2</v>
      </c>
      <c r="K965" t="s">
        <v>18</v>
      </c>
      <c r="L965">
        <v>2</v>
      </c>
      <c r="M965">
        <v>1</v>
      </c>
      <c r="N965" s="3">
        <v>6893</v>
      </c>
      <c r="O965" s="3" t="str">
        <f>IF(Table2[[#This Row],[MonthlyIncome]]&lt;=5000, "$1001 - $5000", IF(Table2[[#This Row],[MonthlyIncome]]&lt;=9000, "$5001 - $9000", IF(Table2[[#This Row],[MonthlyIncome]]&lt;=13000, "$9001 - $13000", IF(Table2[[#This Row],[MonthlyIncome]]&lt;=17000, "$13001 - $17000", IF(Table2[[#This Row],[MonthlyIncome]]&lt;=21000, "$17001 - $21000")))))</f>
        <v>$5001 - $9000</v>
      </c>
      <c r="P965">
        <v>3</v>
      </c>
      <c r="Q965">
        <v>3</v>
      </c>
      <c r="R965">
        <v>7</v>
      </c>
      <c r="S9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66" spans="1:19" ht="14.25" x14ac:dyDescent="0.2">
      <c r="A966">
        <v>38647523</v>
      </c>
      <c r="B966">
        <v>34</v>
      </c>
      <c r="C966" t="s">
        <v>20</v>
      </c>
      <c r="D966" t="s">
        <v>19</v>
      </c>
      <c r="E966" t="s">
        <v>22</v>
      </c>
      <c r="F966">
        <f>IF(Table2[[#This Row],[Attrition]]="Yes", 1, 0)</f>
        <v>0</v>
      </c>
      <c r="G966" t="s">
        <v>21</v>
      </c>
      <c r="H966" t="s">
        <v>17</v>
      </c>
      <c r="I966">
        <v>15</v>
      </c>
      <c r="J966">
        <v>2</v>
      </c>
      <c r="K966" t="s">
        <v>29</v>
      </c>
      <c r="L966">
        <v>3</v>
      </c>
      <c r="M966">
        <v>1</v>
      </c>
      <c r="N966" s="3">
        <v>6125</v>
      </c>
      <c r="O966" s="3" t="str">
        <f>IF(Table2[[#This Row],[MonthlyIncome]]&lt;=5000, "$1001 - $5000", IF(Table2[[#This Row],[MonthlyIncome]]&lt;=9000, "$5001 - $9000", IF(Table2[[#This Row],[MonthlyIncome]]&lt;=13000, "$9001 - $13000", IF(Table2[[#This Row],[MonthlyIncome]]&lt;=17000, "$13001 - $17000", IF(Table2[[#This Row],[MonthlyIncome]]&lt;=21000, "$17001 - $21000")))))</f>
        <v>$5001 - $9000</v>
      </c>
      <c r="P966">
        <v>1</v>
      </c>
      <c r="Q966">
        <v>4</v>
      </c>
      <c r="R966">
        <v>10</v>
      </c>
      <c r="S9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67" spans="1:19" ht="14.25" x14ac:dyDescent="0.2">
      <c r="A967">
        <v>22834369</v>
      </c>
      <c r="B967">
        <v>25</v>
      </c>
      <c r="C967" t="s">
        <v>25</v>
      </c>
      <c r="D967" t="s">
        <v>24</v>
      </c>
      <c r="E967" t="s">
        <v>22</v>
      </c>
      <c r="F967">
        <f>IF(Table2[[#This Row],[Attrition]]="Yes", 1, 0)</f>
        <v>0</v>
      </c>
      <c r="G967" t="s">
        <v>28</v>
      </c>
      <c r="H967" t="s">
        <v>23</v>
      </c>
      <c r="I967">
        <v>19</v>
      </c>
      <c r="J967">
        <v>1</v>
      </c>
      <c r="K967" t="s">
        <v>29</v>
      </c>
      <c r="L967">
        <v>4</v>
      </c>
      <c r="M967">
        <v>4</v>
      </c>
      <c r="N967" s="3">
        <v>3669</v>
      </c>
      <c r="O967" s="3" t="str">
        <f>IF(Table2[[#This Row],[MonthlyIncome]]&lt;=5000, "$1001 - $5000", IF(Table2[[#This Row],[MonthlyIncome]]&lt;=9000, "$5001 - $9000", IF(Table2[[#This Row],[MonthlyIncome]]&lt;=13000, "$9001 - $13000", IF(Table2[[#This Row],[MonthlyIncome]]&lt;=17000, "$13001 - $17000", IF(Table2[[#This Row],[MonthlyIncome]]&lt;=21000, "$17001 - $21000")))))</f>
        <v>$1001 - $5000</v>
      </c>
      <c r="P967">
        <v>3</v>
      </c>
      <c r="Q967">
        <v>2</v>
      </c>
      <c r="R967">
        <v>3</v>
      </c>
      <c r="S9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68" spans="1:19" ht="14.25" x14ac:dyDescent="0.2">
      <c r="A968">
        <v>11128584</v>
      </c>
      <c r="B968">
        <v>58</v>
      </c>
      <c r="C968" t="s">
        <v>20</v>
      </c>
      <c r="D968" t="s">
        <v>24</v>
      </c>
      <c r="E968" t="s">
        <v>16</v>
      </c>
      <c r="F968">
        <f>IF(Table2[[#This Row],[Attrition]]="Yes", 1, 0)</f>
        <v>1</v>
      </c>
      <c r="G968" t="s">
        <v>31</v>
      </c>
      <c r="H968" t="s">
        <v>23</v>
      </c>
      <c r="I968">
        <v>7</v>
      </c>
      <c r="J968">
        <v>4</v>
      </c>
      <c r="K968" t="s">
        <v>29</v>
      </c>
      <c r="L968">
        <v>3</v>
      </c>
      <c r="M968">
        <v>1</v>
      </c>
      <c r="N968" s="3">
        <v>10008</v>
      </c>
      <c r="O968" s="3" t="str">
        <f>IF(Table2[[#This Row],[MonthlyIncome]]&lt;=5000, "$1001 - $5000", IF(Table2[[#This Row],[MonthlyIncome]]&lt;=9000, "$5001 - $9000", IF(Table2[[#This Row],[MonthlyIncome]]&lt;=13000, "$9001 - $13000", IF(Table2[[#This Row],[MonthlyIncome]]&lt;=17000, "$13001 - $17000", IF(Table2[[#This Row],[MonthlyIncome]]&lt;=21000, "$17001 - $21000")))))</f>
        <v>$9001 - $13000</v>
      </c>
      <c r="P968">
        <v>7</v>
      </c>
      <c r="Q968">
        <v>2</v>
      </c>
      <c r="R968">
        <v>10</v>
      </c>
      <c r="S9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69" spans="1:19" ht="14.25" x14ac:dyDescent="0.2">
      <c r="A969">
        <v>17794187</v>
      </c>
      <c r="B969">
        <v>40</v>
      </c>
      <c r="C969" t="s">
        <v>25</v>
      </c>
      <c r="D969" t="s">
        <v>24</v>
      </c>
      <c r="E969" t="s">
        <v>22</v>
      </c>
      <c r="F969">
        <f>IF(Table2[[#This Row],[Attrition]]="Yes", 1, 0)</f>
        <v>0</v>
      </c>
      <c r="G969" t="s">
        <v>28</v>
      </c>
      <c r="H969" t="s">
        <v>23</v>
      </c>
      <c r="I969">
        <v>1</v>
      </c>
      <c r="J969">
        <v>4</v>
      </c>
      <c r="K969" t="s">
        <v>18</v>
      </c>
      <c r="L969">
        <v>2</v>
      </c>
      <c r="M969">
        <v>2</v>
      </c>
      <c r="N969" s="3">
        <v>2387</v>
      </c>
      <c r="O969" s="3" t="str">
        <f>IF(Table2[[#This Row],[MonthlyIncome]]&lt;=5000, "$1001 - $5000", IF(Table2[[#This Row],[MonthlyIncome]]&lt;=9000, "$5001 - $9000", IF(Table2[[#This Row],[MonthlyIncome]]&lt;=13000, "$9001 - $13000", IF(Table2[[#This Row],[MonthlyIncome]]&lt;=17000, "$13001 - $17000", IF(Table2[[#This Row],[MonthlyIncome]]&lt;=21000, "$17001 - $21000")))))</f>
        <v>$1001 - $5000</v>
      </c>
      <c r="P969">
        <v>3</v>
      </c>
      <c r="Q969">
        <v>3</v>
      </c>
      <c r="R969">
        <v>4</v>
      </c>
      <c r="S9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70" spans="1:19" ht="14.25" x14ac:dyDescent="0.2">
      <c r="A970">
        <v>20882577</v>
      </c>
      <c r="B970">
        <v>36</v>
      </c>
      <c r="C970" t="s">
        <v>20</v>
      </c>
      <c r="D970" t="s">
        <v>24</v>
      </c>
      <c r="E970" t="s">
        <v>22</v>
      </c>
      <c r="F970">
        <f>IF(Table2[[#This Row],[Attrition]]="Yes", 1, 0)</f>
        <v>0</v>
      </c>
      <c r="G970" t="s">
        <v>21</v>
      </c>
      <c r="H970" t="s">
        <v>17</v>
      </c>
      <c r="I970">
        <v>7</v>
      </c>
      <c r="J970">
        <v>3</v>
      </c>
      <c r="K970" t="s">
        <v>36</v>
      </c>
      <c r="L970">
        <v>1</v>
      </c>
      <c r="M970">
        <v>1</v>
      </c>
      <c r="N970" s="3">
        <v>4639</v>
      </c>
      <c r="O970" s="3" t="str">
        <f>IF(Table2[[#This Row],[MonthlyIncome]]&lt;=5000, "$1001 - $5000", IF(Table2[[#This Row],[MonthlyIncome]]&lt;=9000, "$5001 - $9000", IF(Table2[[#This Row],[MonthlyIncome]]&lt;=13000, "$9001 - $13000", IF(Table2[[#This Row],[MonthlyIncome]]&lt;=17000, "$13001 - $17000", IF(Table2[[#This Row],[MonthlyIncome]]&lt;=21000, "$17001 - $21000")))))</f>
        <v>$1001 - $5000</v>
      </c>
      <c r="P970">
        <v>2</v>
      </c>
      <c r="Q970">
        <v>2</v>
      </c>
      <c r="R970">
        <v>15</v>
      </c>
      <c r="S9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971" spans="1:19" ht="14.25" x14ac:dyDescent="0.2">
      <c r="A971">
        <v>57354405</v>
      </c>
      <c r="B971">
        <v>48</v>
      </c>
      <c r="C971" t="s">
        <v>25</v>
      </c>
      <c r="D971" t="s">
        <v>19</v>
      </c>
      <c r="E971" t="s">
        <v>22</v>
      </c>
      <c r="F971">
        <f>IF(Table2[[#This Row],[Attrition]]="Yes", 1, 0)</f>
        <v>0</v>
      </c>
      <c r="G971" t="s">
        <v>31</v>
      </c>
      <c r="H971" t="s">
        <v>23</v>
      </c>
      <c r="I971">
        <v>4</v>
      </c>
      <c r="J971">
        <v>3</v>
      </c>
      <c r="K971" t="s">
        <v>18</v>
      </c>
      <c r="L971">
        <v>4</v>
      </c>
      <c r="M971">
        <v>4</v>
      </c>
      <c r="N971" s="3">
        <v>7898</v>
      </c>
      <c r="O971" s="3" t="str">
        <f>IF(Table2[[#This Row],[MonthlyIncome]]&lt;=5000, "$1001 - $5000", IF(Table2[[#This Row],[MonthlyIncome]]&lt;=9000, "$5001 - $9000", IF(Table2[[#This Row],[MonthlyIncome]]&lt;=13000, "$9001 - $13000", IF(Table2[[#This Row],[MonthlyIncome]]&lt;=17000, "$13001 - $17000", IF(Table2[[#This Row],[MonthlyIncome]]&lt;=21000, "$17001 - $21000")))))</f>
        <v>$5001 - $9000</v>
      </c>
      <c r="P971">
        <v>1</v>
      </c>
      <c r="Q971">
        <v>3</v>
      </c>
      <c r="R971">
        <v>10</v>
      </c>
      <c r="S9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72" spans="1:19" ht="14.25" x14ac:dyDescent="0.2">
      <c r="A972">
        <v>29429115</v>
      </c>
      <c r="B972">
        <v>27</v>
      </c>
      <c r="C972" t="s">
        <v>20</v>
      </c>
      <c r="D972" t="s">
        <v>24</v>
      </c>
      <c r="E972" t="s">
        <v>22</v>
      </c>
      <c r="F972">
        <f>IF(Table2[[#This Row],[Attrition]]="Yes", 1, 0)</f>
        <v>0</v>
      </c>
      <c r="G972" t="s">
        <v>34</v>
      </c>
      <c r="H972" t="s">
        <v>17</v>
      </c>
      <c r="I972">
        <v>11</v>
      </c>
      <c r="J972">
        <v>3</v>
      </c>
      <c r="K972" t="s">
        <v>29</v>
      </c>
      <c r="L972">
        <v>3</v>
      </c>
      <c r="M972">
        <v>4</v>
      </c>
      <c r="N972" s="3">
        <v>2534</v>
      </c>
      <c r="O972" s="3" t="str">
        <f>IF(Table2[[#This Row],[MonthlyIncome]]&lt;=5000, "$1001 - $5000", IF(Table2[[#This Row],[MonthlyIncome]]&lt;=9000, "$5001 - $9000", IF(Table2[[#This Row],[MonthlyIncome]]&lt;=13000, "$9001 - $13000", IF(Table2[[#This Row],[MonthlyIncome]]&lt;=17000, "$13001 - $17000", IF(Table2[[#This Row],[MonthlyIncome]]&lt;=21000, "$17001 - $21000")))))</f>
        <v>$1001 - $5000</v>
      </c>
      <c r="P972">
        <v>8</v>
      </c>
      <c r="Q972">
        <v>3</v>
      </c>
      <c r="R972">
        <v>1</v>
      </c>
      <c r="S9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73" spans="1:19" ht="14.25" x14ac:dyDescent="0.2">
      <c r="A973">
        <v>83294722</v>
      </c>
      <c r="B973">
        <v>51</v>
      </c>
      <c r="C973" t="s">
        <v>20</v>
      </c>
      <c r="D973" t="s">
        <v>19</v>
      </c>
      <c r="E973" t="s">
        <v>22</v>
      </c>
      <c r="F973">
        <f>IF(Table2[[#This Row],[Attrition]]="Yes", 1, 0)</f>
        <v>0</v>
      </c>
      <c r="G973" t="s">
        <v>31</v>
      </c>
      <c r="H973" t="s">
        <v>23</v>
      </c>
      <c r="I973">
        <v>11</v>
      </c>
      <c r="J973">
        <v>2</v>
      </c>
      <c r="K973" t="s">
        <v>37</v>
      </c>
      <c r="L973">
        <v>4</v>
      </c>
      <c r="M973">
        <v>2</v>
      </c>
      <c r="N973" s="3">
        <v>13142</v>
      </c>
      <c r="O973" s="3" t="str">
        <f>IF(Table2[[#This Row],[MonthlyIncome]]&lt;=5000, "$1001 - $5000", IF(Table2[[#This Row],[MonthlyIncome]]&lt;=9000, "$5001 - $9000", IF(Table2[[#This Row],[MonthlyIncome]]&lt;=13000, "$9001 - $13000", IF(Table2[[#This Row],[MonthlyIncome]]&lt;=17000, "$13001 - $17000", IF(Table2[[#This Row],[MonthlyIncome]]&lt;=21000, "$17001 - $21000")))))</f>
        <v>$13001 - $17000</v>
      </c>
      <c r="P973">
        <v>3</v>
      </c>
      <c r="Q973">
        <v>2</v>
      </c>
      <c r="R973">
        <v>5</v>
      </c>
      <c r="S9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74" spans="1:19" ht="14.25" x14ac:dyDescent="0.2">
      <c r="A974">
        <v>83775827</v>
      </c>
      <c r="B974">
        <v>18</v>
      </c>
      <c r="C974" t="s">
        <v>20</v>
      </c>
      <c r="D974" t="s">
        <v>19</v>
      </c>
      <c r="E974" t="s">
        <v>22</v>
      </c>
      <c r="F974">
        <f>IF(Table2[[#This Row],[Attrition]]="Yes", 1, 0)</f>
        <v>0</v>
      </c>
      <c r="G974" t="s">
        <v>28</v>
      </c>
      <c r="H974" t="s">
        <v>23</v>
      </c>
      <c r="I974">
        <v>1</v>
      </c>
      <c r="J974">
        <v>3</v>
      </c>
      <c r="K974" t="s">
        <v>18</v>
      </c>
      <c r="L974">
        <v>4</v>
      </c>
      <c r="M974">
        <v>4</v>
      </c>
      <c r="N974" s="3">
        <v>1611</v>
      </c>
      <c r="O974" s="3" t="str">
        <f>IF(Table2[[#This Row],[MonthlyIncome]]&lt;=5000, "$1001 - $5000", IF(Table2[[#This Row],[MonthlyIncome]]&lt;=9000, "$5001 - $9000", IF(Table2[[#This Row],[MonthlyIncome]]&lt;=13000, "$9001 - $13000", IF(Table2[[#This Row],[MonthlyIncome]]&lt;=17000, "$13001 - $17000", IF(Table2[[#This Row],[MonthlyIncome]]&lt;=21000, "$17001 - $21000")))))</f>
        <v>$1001 - $5000</v>
      </c>
      <c r="P974">
        <v>1</v>
      </c>
      <c r="Q974">
        <v>4</v>
      </c>
      <c r="R974">
        <v>0</v>
      </c>
      <c r="S9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75" spans="1:19" ht="14.25" x14ac:dyDescent="0.2">
      <c r="A975">
        <v>64402638</v>
      </c>
      <c r="B975">
        <v>35</v>
      </c>
      <c r="C975" t="s">
        <v>20</v>
      </c>
      <c r="D975" t="s">
        <v>24</v>
      </c>
      <c r="E975" t="s">
        <v>22</v>
      </c>
      <c r="F975">
        <f>IF(Table2[[#This Row],[Attrition]]="Yes", 1, 0)</f>
        <v>0</v>
      </c>
      <c r="G975" t="s">
        <v>28</v>
      </c>
      <c r="H975" t="s">
        <v>23</v>
      </c>
      <c r="I975">
        <v>1</v>
      </c>
      <c r="J975">
        <v>3</v>
      </c>
      <c r="K975" t="s">
        <v>29</v>
      </c>
      <c r="L975">
        <v>4</v>
      </c>
      <c r="M975">
        <v>4</v>
      </c>
      <c r="N975" s="3">
        <v>5363</v>
      </c>
      <c r="O975" s="3" t="str">
        <f>IF(Table2[[#This Row],[MonthlyIncome]]&lt;=5000, "$1001 - $5000", IF(Table2[[#This Row],[MonthlyIncome]]&lt;=9000, "$5001 - $9000", IF(Table2[[#This Row],[MonthlyIncome]]&lt;=13000, "$9001 - $13000", IF(Table2[[#This Row],[MonthlyIncome]]&lt;=17000, "$13001 - $17000", IF(Table2[[#This Row],[MonthlyIncome]]&lt;=21000, "$17001 - $21000")))))</f>
        <v>$5001 - $9000</v>
      </c>
      <c r="P975">
        <v>0</v>
      </c>
      <c r="Q975">
        <v>3</v>
      </c>
      <c r="R975">
        <v>9</v>
      </c>
      <c r="S9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76" spans="1:19" ht="14.25" x14ac:dyDescent="0.2">
      <c r="A976">
        <v>44224344</v>
      </c>
      <c r="B976">
        <v>27</v>
      </c>
      <c r="C976" t="s">
        <v>25</v>
      </c>
      <c r="D976" t="s">
        <v>19</v>
      </c>
      <c r="E976" t="s">
        <v>22</v>
      </c>
      <c r="F976">
        <f>IF(Table2[[#This Row],[Attrition]]="Yes", 1, 0)</f>
        <v>0</v>
      </c>
      <c r="G976" t="s">
        <v>21</v>
      </c>
      <c r="H976" t="s">
        <v>17</v>
      </c>
      <c r="I976">
        <v>2</v>
      </c>
      <c r="J976">
        <v>1</v>
      </c>
      <c r="K976" t="s">
        <v>18</v>
      </c>
      <c r="L976">
        <v>4</v>
      </c>
      <c r="M976">
        <v>4</v>
      </c>
      <c r="N976" s="3">
        <v>5071</v>
      </c>
      <c r="O976" s="3" t="str">
        <f>IF(Table2[[#This Row],[MonthlyIncome]]&lt;=5000, "$1001 - $5000", IF(Table2[[#This Row],[MonthlyIncome]]&lt;=9000, "$5001 - $9000", IF(Table2[[#This Row],[MonthlyIncome]]&lt;=13000, "$9001 - $13000", IF(Table2[[#This Row],[MonthlyIncome]]&lt;=17000, "$13001 - $17000", IF(Table2[[#This Row],[MonthlyIncome]]&lt;=21000, "$17001 - $21000")))))</f>
        <v>$5001 - $9000</v>
      </c>
      <c r="P976">
        <v>3</v>
      </c>
      <c r="Q976">
        <v>3</v>
      </c>
      <c r="R976">
        <v>6</v>
      </c>
      <c r="S9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77" spans="1:19" ht="14.25" x14ac:dyDescent="0.2">
      <c r="A977">
        <v>40015312</v>
      </c>
      <c r="B977">
        <v>55</v>
      </c>
      <c r="C977" t="s">
        <v>25</v>
      </c>
      <c r="D977" t="s">
        <v>19</v>
      </c>
      <c r="E977" t="s">
        <v>16</v>
      </c>
      <c r="F977">
        <f>IF(Table2[[#This Row],[Attrition]]="Yes", 1, 0)</f>
        <v>1</v>
      </c>
      <c r="G977" t="s">
        <v>21</v>
      </c>
      <c r="H977" t="s">
        <v>17</v>
      </c>
      <c r="I977">
        <v>13</v>
      </c>
      <c r="J977">
        <v>4</v>
      </c>
      <c r="K977" t="s">
        <v>36</v>
      </c>
      <c r="L977">
        <v>1</v>
      </c>
      <c r="M977">
        <v>3</v>
      </c>
      <c r="N977" s="3">
        <v>13695</v>
      </c>
      <c r="O977" s="3" t="str">
        <f>IF(Table2[[#This Row],[MonthlyIncome]]&lt;=5000, "$1001 - $5000", IF(Table2[[#This Row],[MonthlyIncome]]&lt;=9000, "$5001 - $9000", IF(Table2[[#This Row],[MonthlyIncome]]&lt;=13000, "$9001 - $13000", IF(Table2[[#This Row],[MonthlyIncome]]&lt;=17000, "$13001 - $17000", IF(Table2[[#This Row],[MonthlyIncome]]&lt;=21000, "$17001 - $21000")))))</f>
        <v>$13001 - $17000</v>
      </c>
      <c r="P977">
        <v>6</v>
      </c>
      <c r="Q977">
        <v>2</v>
      </c>
      <c r="R977">
        <v>19</v>
      </c>
      <c r="S9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978" spans="1:19" ht="14.25" x14ac:dyDescent="0.2">
      <c r="A978">
        <v>50292973</v>
      </c>
      <c r="B978">
        <v>56</v>
      </c>
      <c r="C978" t="s">
        <v>25</v>
      </c>
      <c r="D978" t="s">
        <v>24</v>
      </c>
      <c r="E978" t="s">
        <v>22</v>
      </c>
      <c r="F978">
        <f>IF(Table2[[#This Row],[Attrition]]="Yes", 1, 0)</f>
        <v>0</v>
      </c>
      <c r="G978" t="s">
        <v>31</v>
      </c>
      <c r="H978" t="s">
        <v>23</v>
      </c>
      <c r="I978">
        <v>23</v>
      </c>
      <c r="J978">
        <v>3</v>
      </c>
      <c r="K978" t="s">
        <v>18</v>
      </c>
      <c r="L978">
        <v>4</v>
      </c>
      <c r="M978">
        <v>2</v>
      </c>
      <c r="N978" s="3">
        <v>13402</v>
      </c>
      <c r="O978" s="3" t="str">
        <f>IF(Table2[[#This Row],[MonthlyIncome]]&lt;=5000, "$1001 - $5000", IF(Table2[[#This Row],[MonthlyIncome]]&lt;=9000, "$5001 - $9000", IF(Table2[[#This Row],[MonthlyIncome]]&lt;=13000, "$9001 - $13000", IF(Table2[[#This Row],[MonthlyIncome]]&lt;=17000, "$13001 - $17000", IF(Table2[[#This Row],[MonthlyIncome]]&lt;=21000, "$17001 - $21000")))))</f>
        <v>$13001 - $17000</v>
      </c>
      <c r="P978">
        <v>4</v>
      </c>
      <c r="Q978">
        <v>3</v>
      </c>
      <c r="R978">
        <v>19</v>
      </c>
      <c r="S9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979" spans="1:19" ht="14.25" x14ac:dyDescent="0.2">
      <c r="A979">
        <v>44457622</v>
      </c>
      <c r="B979">
        <v>34</v>
      </c>
      <c r="C979" t="s">
        <v>20</v>
      </c>
      <c r="D979" t="s">
        <v>30</v>
      </c>
      <c r="E979" t="s">
        <v>22</v>
      </c>
      <c r="F979">
        <f>IF(Table2[[#This Row],[Attrition]]="Yes", 1, 0)</f>
        <v>0</v>
      </c>
      <c r="G979" t="s">
        <v>26</v>
      </c>
      <c r="H979" t="s">
        <v>23</v>
      </c>
      <c r="I979">
        <v>26</v>
      </c>
      <c r="J979">
        <v>1</v>
      </c>
      <c r="K979" t="s">
        <v>37</v>
      </c>
      <c r="L979">
        <v>1</v>
      </c>
      <c r="M979">
        <v>3</v>
      </c>
      <c r="N979" s="3">
        <v>2029</v>
      </c>
      <c r="O979" s="3" t="str">
        <f>IF(Table2[[#This Row],[MonthlyIncome]]&lt;=5000, "$1001 - $5000", IF(Table2[[#This Row],[MonthlyIncome]]&lt;=9000, "$5001 - $9000", IF(Table2[[#This Row],[MonthlyIncome]]&lt;=13000, "$9001 - $13000", IF(Table2[[#This Row],[MonthlyIncome]]&lt;=17000, "$13001 - $17000", IF(Table2[[#This Row],[MonthlyIncome]]&lt;=21000, "$17001 - $21000")))))</f>
        <v>$1001 - $5000</v>
      </c>
      <c r="P979">
        <v>1</v>
      </c>
      <c r="Q979">
        <v>3</v>
      </c>
      <c r="R979">
        <v>5</v>
      </c>
      <c r="S9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80" spans="1:19" ht="14.25" x14ac:dyDescent="0.2">
      <c r="A980">
        <v>28699345</v>
      </c>
      <c r="B980">
        <v>40</v>
      </c>
      <c r="C980" t="s">
        <v>20</v>
      </c>
      <c r="D980" t="s">
        <v>30</v>
      </c>
      <c r="E980" t="s">
        <v>22</v>
      </c>
      <c r="F980">
        <f>IF(Table2[[#This Row],[Attrition]]="Yes", 1, 0)</f>
        <v>0</v>
      </c>
      <c r="G980" t="s">
        <v>32</v>
      </c>
      <c r="H980" t="s">
        <v>23</v>
      </c>
      <c r="I980">
        <v>2</v>
      </c>
      <c r="J980">
        <v>1</v>
      </c>
      <c r="K980" t="s">
        <v>29</v>
      </c>
      <c r="L980">
        <v>2</v>
      </c>
      <c r="M980">
        <v>3</v>
      </c>
      <c r="N980" s="3">
        <v>6377</v>
      </c>
      <c r="O980" s="3" t="str">
        <f>IF(Table2[[#This Row],[MonthlyIncome]]&lt;=5000, "$1001 - $5000", IF(Table2[[#This Row],[MonthlyIncome]]&lt;=9000, "$5001 - $9000", IF(Table2[[#This Row],[MonthlyIncome]]&lt;=13000, "$9001 - $13000", IF(Table2[[#This Row],[MonthlyIncome]]&lt;=17000, "$13001 - $17000", IF(Table2[[#This Row],[MonthlyIncome]]&lt;=21000, "$17001 - $21000")))))</f>
        <v>$5001 - $9000</v>
      </c>
      <c r="P980">
        <v>5</v>
      </c>
      <c r="Q980">
        <v>3</v>
      </c>
      <c r="R980">
        <v>12</v>
      </c>
      <c r="S9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81" spans="1:19" ht="14.25" x14ac:dyDescent="0.2">
      <c r="A981">
        <v>73665211</v>
      </c>
      <c r="B981">
        <v>34</v>
      </c>
      <c r="C981" t="s">
        <v>25</v>
      </c>
      <c r="D981" t="s">
        <v>24</v>
      </c>
      <c r="E981" t="s">
        <v>22</v>
      </c>
      <c r="F981">
        <f>IF(Table2[[#This Row],[Attrition]]="Yes", 1, 0)</f>
        <v>0</v>
      </c>
      <c r="G981" t="s">
        <v>28</v>
      </c>
      <c r="H981" t="s">
        <v>23</v>
      </c>
      <c r="I981">
        <v>29</v>
      </c>
      <c r="J981">
        <v>3</v>
      </c>
      <c r="K981" t="s">
        <v>29</v>
      </c>
      <c r="L981">
        <v>2</v>
      </c>
      <c r="M981">
        <v>3</v>
      </c>
      <c r="N981" s="3">
        <v>5429</v>
      </c>
      <c r="O981" s="3" t="str">
        <f>IF(Table2[[#This Row],[MonthlyIncome]]&lt;=5000, "$1001 - $5000", IF(Table2[[#This Row],[MonthlyIncome]]&lt;=9000, "$5001 - $9000", IF(Table2[[#This Row],[MonthlyIncome]]&lt;=13000, "$9001 - $13000", IF(Table2[[#This Row],[MonthlyIncome]]&lt;=17000, "$13001 - $17000", IF(Table2[[#This Row],[MonthlyIncome]]&lt;=21000, "$17001 - $21000")))))</f>
        <v>$5001 - $9000</v>
      </c>
      <c r="P981">
        <v>4</v>
      </c>
      <c r="Q981">
        <v>3</v>
      </c>
      <c r="R981">
        <v>8</v>
      </c>
      <c r="S9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82" spans="1:19" ht="14.25" x14ac:dyDescent="0.2">
      <c r="A982">
        <v>56298498</v>
      </c>
      <c r="B982">
        <v>31</v>
      </c>
      <c r="C982" t="s">
        <v>20</v>
      </c>
      <c r="D982" t="s">
        <v>19</v>
      </c>
      <c r="E982" t="s">
        <v>16</v>
      </c>
      <c r="F982">
        <f>IF(Table2[[#This Row],[Attrition]]="Yes", 1, 0)</f>
        <v>1</v>
      </c>
      <c r="G982" t="s">
        <v>34</v>
      </c>
      <c r="H982" t="s">
        <v>17</v>
      </c>
      <c r="I982">
        <v>2</v>
      </c>
      <c r="J982">
        <v>3</v>
      </c>
      <c r="K982" t="s">
        <v>18</v>
      </c>
      <c r="L982">
        <v>3</v>
      </c>
      <c r="M982">
        <v>4</v>
      </c>
      <c r="N982" s="3">
        <v>2785</v>
      </c>
      <c r="O982" s="3" t="str">
        <f>IF(Table2[[#This Row],[MonthlyIncome]]&lt;=5000, "$1001 - $5000", IF(Table2[[#This Row],[MonthlyIncome]]&lt;=9000, "$5001 - $9000", IF(Table2[[#This Row],[MonthlyIncome]]&lt;=13000, "$9001 - $13000", IF(Table2[[#This Row],[MonthlyIncome]]&lt;=17000, "$13001 - $17000", IF(Table2[[#This Row],[MonthlyIncome]]&lt;=21000, "$17001 - $21000")))))</f>
        <v>$1001 - $5000</v>
      </c>
      <c r="P982">
        <v>7</v>
      </c>
      <c r="Q982">
        <v>4</v>
      </c>
      <c r="R982">
        <v>1</v>
      </c>
      <c r="S9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83" spans="1:19" ht="14.25" x14ac:dyDescent="0.2">
      <c r="A983">
        <v>62238827</v>
      </c>
      <c r="B983">
        <v>35</v>
      </c>
      <c r="C983" t="s">
        <v>20</v>
      </c>
      <c r="D983" t="s">
        <v>24</v>
      </c>
      <c r="E983" t="s">
        <v>16</v>
      </c>
      <c r="F983">
        <f>IF(Table2[[#This Row],[Attrition]]="Yes", 1, 0)</f>
        <v>1</v>
      </c>
      <c r="G983" t="s">
        <v>21</v>
      </c>
      <c r="H983" t="s">
        <v>17</v>
      </c>
      <c r="I983">
        <v>18</v>
      </c>
      <c r="J983">
        <v>4</v>
      </c>
      <c r="K983" t="s">
        <v>36</v>
      </c>
      <c r="L983">
        <v>4</v>
      </c>
      <c r="M983">
        <v>3</v>
      </c>
      <c r="N983" s="3">
        <v>4614</v>
      </c>
      <c r="O983" s="3" t="str">
        <f>IF(Table2[[#This Row],[MonthlyIncome]]&lt;=5000, "$1001 - $5000", IF(Table2[[#This Row],[MonthlyIncome]]&lt;=9000, "$5001 - $9000", IF(Table2[[#This Row],[MonthlyIncome]]&lt;=13000, "$9001 - $13000", IF(Table2[[#This Row],[MonthlyIncome]]&lt;=17000, "$13001 - $17000", IF(Table2[[#This Row],[MonthlyIncome]]&lt;=21000, "$17001 - $21000")))))</f>
        <v>$1001 - $5000</v>
      </c>
      <c r="P983">
        <v>0</v>
      </c>
      <c r="Q983">
        <v>2</v>
      </c>
      <c r="R983">
        <v>4</v>
      </c>
      <c r="S9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84" spans="1:19" ht="14.25" x14ac:dyDescent="0.2">
      <c r="A984">
        <v>39505618</v>
      </c>
      <c r="B984">
        <v>38</v>
      </c>
      <c r="C984" t="s">
        <v>25</v>
      </c>
      <c r="D984" t="s">
        <v>30</v>
      </c>
      <c r="E984" t="s">
        <v>22</v>
      </c>
      <c r="F984">
        <f>IF(Table2[[#This Row],[Attrition]]="Yes", 1, 0)</f>
        <v>0</v>
      </c>
      <c r="G984" t="s">
        <v>26</v>
      </c>
      <c r="H984" t="s">
        <v>23</v>
      </c>
      <c r="I984">
        <v>7</v>
      </c>
      <c r="J984">
        <v>3</v>
      </c>
      <c r="K984" t="s">
        <v>18</v>
      </c>
      <c r="L984">
        <v>4</v>
      </c>
      <c r="M984">
        <v>3</v>
      </c>
      <c r="N984" s="3">
        <v>2610</v>
      </c>
      <c r="O984" s="3" t="str">
        <f>IF(Table2[[#This Row],[MonthlyIncome]]&lt;=5000, "$1001 - $5000", IF(Table2[[#This Row],[MonthlyIncome]]&lt;=9000, "$5001 - $9000", IF(Table2[[#This Row],[MonthlyIncome]]&lt;=13000, "$9001 - $13000", IF(Table2[[#This Row],[MonthlyIncome]]&lt;=17000, "$13001 - $17000", IF(Table2[[#This Row],[MonthlyIncome]]&lt;=21000, "$17001 - $21000")))))</f>
        <v>$1001 - $5000</v>
      </c>
      <c r="P984">
        <v>1</v>
      </c>
      <c r="Q984">
        <v>3</v>
      </c>
      <c r="R984">
        <v>4</v>
      </c>
      <c r="S9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85" spans="1:19" ht="14.25" x14ac:dyDescent="0.2">
      <c r="A985">
        <v>59529587</v>
      </c>
      <c r="B985">
        <v>34</v>
      </c>
      <c r="C985" t="s">
        <v>20</v>
      </c>
      <c r="D985" t="s">
        <v>19</v>
      </c>
      <c r="E985" t="s">
        <v>22</v>
      </c>
      <c r="F985">
        <f>IF(Table2[[#This Row],[Attrition]]="Yes", 1, 0)</f>
        <v>0</v>
      </c>
      <c r="G985" t="s">
        <v>32</v>
      </c>
      <c r="H985" t="s">
        <v>23</v>
      </c>
      <c r="I985">
        <v>2</v>
      </c>
      <c r="J985">
        <v>4</v>
      </c>
      <c r="K985" t="s">
        <v>37</v>
      </c>
      <c r="L985">
        <v>3</v>
      </c>
      <c r="M985">
        <v>4</v>
      </c>
      <c r="N985" s="3">
        <v>6687</v>
      </c>
      <c r="O985" s="3" t="str">
        <f>IF(Table2[[#This Row],[MonthlyIncome]]&lt;=5000, "$1001 - $5000", IF(Table2[[#This Row],[MonthlyIncome]]&lt;=9000, "$5001 - $9000", IF(Table2[[#This Row],[MonthlyIncome]]&lt;=13000, "$9001 - $13000", IF(Table2[[#This Row],[MonthlyIncome]]&lt;=17000, "$13001 - $17000", IF(Table2[[#This Row],[MonthlyIncome]]&lt;=21000, "$17001 - $21000")))))</f>
        <v>$5001 - $9000</v>
      </c>
      <c r="P985">
        <v>1</v>
      </c>
      <c r="Q985">
        <v>4</v>
      </c>
      <c r="R985">
        <v>14</v>
      </c>
      <c r="S9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86" spans="1:19" ht="14.25" x14ac:dyDescent="0.2">
      <c r="A986">
        <v>33778188</v>
      </c>
      <c r="B986">
        <v>28</v>
      </c>
      <c r="C986" t="s">
        <v>25</v>
      </c>
      <c r="D986" t="s">
        <v>24</v>
      </c>
      <c r="E986" t="s">
        <v>22</v>
      </c>
      <c r="F986">
        <f>IF(Table2[[#This Row],[Attrition]]="Yes", 1, 0)</f>
        <v>0</v>
      </c>
      <c r="G986" t="s">
        <v>21</v>
      </c>
      <c r="H986" t="s">
        <v>17</v>
      </c>
      <c r="I986">
        <v>26</v>
      </c>
      <c r="J986">
        <v>3</v>
      </c>
      <c r="K986" t="s">
        <v>18</v>
      </c>
      <c r="L986">
        <v>3</v>
      </c>
      <c r="M986">
        <v>1</v>
      </c>
      <c r="N986" s="3">
        <v>4724</v>
      </c>
      <c r="O986" s="3" t="str">
        <f>IF(Table2[[#This Row],[MonthlyIncome]]&lt;=5000, "$1001 - $5000", IF(Table2[[#This Row],[MonthlyIncome]]&lt;=9000, "$5001 - $9000", IF(Table2[[#This Row],[MonthlyIncome]]&lt;=13000, "$9001 - $13000", IF(Table2[[#This Row],[MonthlyIncome]]&lt;=17000, "$13001 - $17000", IF(Table2[[#This Row],[MonthlyIncome]]&lt;=21000, "$17001 - $21000")))))</f>
        <v>$1001 - $5000</v>
      </c>
      <c r="P986">
        <v>1</v>
      </c>
      <c r="Q986">
        <v>3</v>
      </c>
      <c r="R986">
        <v>5</v>
      </c>
      <c r="S9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87" spans="1:19" ht="14.25" x14ac:dyDescent="0.2">
      <c r="A987">
        <v>64733363</v>
      </c>
      <c r="B987">
        <v>31</v>
      </c>
      <c r="C987" t="s">
        <v>25</v>
      </c>
      <c r="D987" t="s">
        <v>24</v>
      </c>
      <c r="E987" t="s">
        <v>16</v>
      </c>
      <c r="F987">
        <f>IF(Table2[[#This Row],[Attrition]]="Yes", 1, 0)</f>
        <v>1</v>
      </c>
      <c r="G987" t="s">
        <v>31</v>
      </c>
      <c r="H987" t="s">
        <v>23</v>
      </c>
      <c r="I987">
        <v>22</v>
      </c>
      <c r="J987">
        <v>4</v>
      </c>
      <c r="K987" t="s">
        <v>29</v>
      </c>
      <c r="L987">
        <v>4</v>
      </c>
      <c r="M987">
        <v>3</v>
      </c>
      <c r="N987" s="3">
        <v>6179</v>
      </c>
      <c r="O987" s="3" t="str">
        <f>IF(Table2[[#This Row],[MonthlyIncome]]&lt;=5000, "$1001 - $5000", IF(Table2[[#This Row],[MonthlyIncome]]&lt;=9000, "$5001 - $9000", IF(Table2[[#This Row],[MonthlyIncome]]&lt;=13000, "$9001 - $13000", IF(Table2[[#This Row],[MonthlyIncome]]&lt;=17000, "$13001 - $17000", IF(Table2[[#This Row],[MonthlyIncome]]&lt;=21000, "$17001 - $21000")))))</f>
        <v>$5001 - $9000</v>
      </c>
      <c r="P987">
        <v>1</v>
      </c>
      <c r="Q987">
        <v>2</v>
      </c>
      <c r="R987">
        <v>10</v>
      </c>
      <c r="S9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988" spans="1:19" ht="14.25" x14ac:dyDescent="0.2">
      <c r="A988">
        <v>80881861</v>
      </c>
      <c r="B988">
        <v>39</v>
      </c>
      <c r="C988" t="s">
        <v>25</v>
      </c>
      <c r="D988" t="s">
        <v>24</v>
      </c>
      <c r="E988" t="s">
        <v>22</v>
      </c>
      <c r="F988">
        <f>IF(Table2[[#This Row],[Attrition]]="Yes", 1, 0)</f>
        <v>0</v>
      </c>
      <c r="G988" t="s">
        <v>21</v>
      </c>
      <c r="H988" t="s">
        <v>17</v>
      </c>
      <c r="I988">
        <v>21</v>
      </c>
      <c r="J988">
        <v>4</v>
      </c>
      <c r="K988" t="s">
        <v>18</v>
      </c>
      <c r="L988">
        <v>1</v>
      </c>
      <c r="M988">
        <v>4</v>
      </c>
      <c r="N988" s="3">
        <v>6120</v>
      </c>
      <c r="O988" s="3" t="str">
        <f>IF(Table2[[#This Row],[MonthlyIncome]]&lt;=5000, "$1001 - $5000", IF(Table2[[#This Row],[MonthlyIncome]]&lt;=9000, "$5001 - $9000", IF(Table2[[#This Row],[MonthlyIncome]]&lt;=13000, "$9001 - $13000", IF(Table2[[#This Row],[MonthlyIncome]]&lt;=17000, "$13001 - $17000", IF(Table2[[#This Row],[MonthlyIncome]]&lt;=21000, "$17001 - $21000")))))</f>
        <v>$5001 - $9000</v>
      </c>
      <c r="P988">
        <v>3</v>
      </c>
      <c r="Q988">
        <v>4</v>
      </c>
      <c r="R988">
        <v>5</v>
      </c>
      <c r="S9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89" spans="1:19" ht="14.25" x14ac:dyDescent="0.2">
      <c r="A989">
        <v>67773068</v>
      </c>
      <c r="B989">
        <v>51</v>
      </c>
      <c r="C989" t="s">
        <v>25</v>
      </c>
      <c r="D989" t="s">
        <v>24</v>
      </c>
      <c r="E989" t="s">
        <v>22</v>
      </c>
      <c r="F989">
        <f>IF(Table2[[#This Row],[Attrition]]="Yes", 1, 0)</f>
        <v>0</v>
      </c>
      <c r="G989" t="s">
        <v>21</v>
      </c>
      <c r="H989" t="s">
        <v>17</v>
      </c>
      <c r="I989">
        <v>2</v>
      </c>
      <c r="J989">
        <v>3</v>
      </c>
      <c r="K989" t="s">
        <v>36</v>
      </c>
      <c r="L989">
        <v>2</v>
      </c>
      <c r="M989">
        <v>2</v>
      </c>
      <c r="N989" s="3">
        <v>10596</v>
      </c>
      <c r="O989" s="3" t="str">
        <f>IF(Table2[[#This Row],[MonthlyIncome]]&lt;=5000, "$1001 - $5000", IF(Table2[[#This Row],[MonthlyIncome]]&lt;=9000, "$5001 - $9000", IF(Table2[[#This Row],[MonthlyIncome]]&lt;=13000, "$9001 - $13000", IF(Table2[[#This Row],[MonthlyIncome]]&lt;=17000, "$13001 - $17000", IF(Table2[[#This Row],[MonthlyIncome]]&lt;=21000, "$17001 - $21000")))))</f>
        <v>$9001 - $13000</v>
      </c>
      <c r="P989">
        <v>2</v>
      </c>
      <c r="Q989">
        <v>3</v>
      </c>
      <c r="R989">
        <v>4</v>
      </c>
      <c r="S9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90" spans="1:19" ht="14.25" x14ac:dyDescent="0.2">
      <c r="A990">
        <v>11264601</v>
      </c>
      <c r="B990">
        <v>41</v>
      </c>
      <c r="C990" t="s">
        <v>20</v>
      </c>
      <c r="D990" t="s">
        <v>30</v>
      </c>
      <c r="E990" t="s">
        <v>22</v>
      </c>
      <c r="F990">
        <f>IF(Table2[[#This Row],[Attrition]]="Yes", 1, 0)</f>
        <v>0</v>
      </c>
      <c r="G990" t="s">
        <v>26</v>
      </c>
      <c r="H990" t="s">
        <v>23</v>
      </c>
      <c r="I990">
        <v>22</v>
      </c>
      <c r="J990">
        <v>3</v>
      </c>
      <c r="K990" t="s">
        <v>18</v>
      </c>
      <c r="L990">
        <v>4</v>
      </c>
      <c r="M990">
        <v>4</v>
      </c>
      <c r="N990" s="3">
        <v>5467</v>
      </c>
      <c r="O990" s="3" t="str">
        <f>IF(Table2[[#This Row],[MonthlyIncome]]&lt;=5000, "$1001 - $5000", IF(Table2[[#This Row],[MonthlyIncome]]&lt;=9000, "$5001 - $9000", IF(Table2[[#This Row],[MonthlyIncome]]&lt;=13000, "$9001 - $13000", IF(Table2[[#This Row],[MonthlyIncome]]&lt;=17000, "$13001 - $17000", IF(Table2[[#This Row],[MonthlyIncome]]&lt;=21000, "$17001 - $21000")))))</f>
        <v>$5001 - $9000</v>
      </c>
      <c r="P990">
        <v>3</v>
      </c>
      <c r="Q990">
        <v>2</v>
      </c>
      <c r="R990">
        <v>6</v>
      </c>
      <c r="S9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91" spans="1:19" ht="14.25" x14ac:dyDescent="0.2">
      <c r="A991">
        <v>63141399</v>
      </c>
      <c r="B991">
        <v>37</v>
      </c>
      <c r="C991" t="s">
        <v>25</v>
      </c>
      <c r="D991" t="s">
        <v>24</v>
      </c>
      <c r="E991" t="s">
        <v>22</v>
      </c>
      <c r="F991">
        <f>IF(Table2[[#This Row],[Attrition]]="Yes", 1, 0)</f>
        <v>0</v>
      </c>
      <c r="G991" t="s">
        <v>26</v>
      </c>
      <c r="H991" t="s">
        <v>23</v>
      </c>
      <c r="I991">
        <v>4</v>
      </c>
      <c r="J991">
        <v>1</v>
      </c>
      <c r="K991" t="s">
        <v>18</v>
      </c>
      <c r="L991">
        <v>3</v>
      </c>
      <c r="M991">
        <v>3</v>
      </c>
      <c r="N991" s="3">
        <v>2996</v>
      </c>
      <c r="O991" s="3" t="str">
        <f>IF(Table2[[#This Row],[MonthlyIncome]]&lt;=5000, "$1001 - $5000", IF(Table2[[#This Row],[MonthlyIncome]]&lt;=9000, "$5001 - $9000", IF(Table2[[#This Row],[MonthlyIncome]]&lt;=13000, "$9001 - $13000", IF(Table2[[#This Row],[MonthlyIncome]]&lt;=17000, "$13001 - $17000", IF(Table2[[#This Row],[MonthlyIncome]]&lt;=21000, "$17001 - $21000")))))</f>
        <v>$1001 - $5000</v>
      </c>
      <c r="P991">
        <v>7</v>
      </c>
      <c r="Q991">
        <v>3</v>
      </c>
      <c r="R991">
        <v>6</v>
      </c>
      <c r="S9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92" spans="1:19" ht="14.25" x14ac:dyDescent="0.2">
      <c r="A992">
        <v>18007102</v>
      </c>
      <c r="B992">
        <v>33</v>
      </c>
      <c r="C992" t="s">
        <v>25</v>
      </c>
      <c r="D992" t="s">
        <v>24</v>
      </c>
      <c r="E992" t="s">
        <v>22</v>
      </c>
      <c r="F992">
        <f>IF(Table2[[#This Row],[Attrition]]="Yes", 1, 0)</f>
        <v>0</v>
      </c>
      <c r="G992" t="s">
        <v>21</v>
      </c>
      <c r="H992" t="s">
        <v>17</v>
      </c>
      <c r="I992">
        <v>5</v>
      </c>
      <c r="J992">
        <v>1</v>
      </c>
      <c r="K992" t="s">
        <v>18</v>
      </c>
      <c r="L992">
        <v>2</v>
      </c>
      <c r="M992">
        <v>4</v>
      </c>
      <c r="N992" s="3">
        <v>9998</v>
      </c>
      <c r="O992" s="3" t="str">
        <f>IF(Table2[[#This Row],[MonthlyIncome]]&lt;=5000, "$1001 - $5000", IF(Table2[[#This Row],[MonthlyIncome]]&lt;=9000, "$5001 - $9000", IF(Table2[[#This Row],[MonthlyIncome]]&lt;=13000, "$9001 - $13000", IF(Table2[[#This Row],[MonthlyIncome]]&lt;=17000, "$13001 - $17000", IF(Table2[[#This Row],[MonthlyIncome]]&lt;=21000, "$17001 - $21000")))))</f>
        <v>$9001 - $13000</v>
      </c>
      <c r="P992">
        <v>6</v>
      </c>
      <c r="Q992">
        <v>4</v>
      </c>
      <c r="R992">
        <v>5</v>
      </c>
      <c r="S9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93" spans="1:19" ht="14.25" x14ac:dyDescent="0.2">
      <c r="A993">
        <v>82939190</v>
      </c>
      <c r="B993">
        <v>32</v>
      </c>
      <c r="C993" t="s">
        <v>25</v>
      </c>
      <c r="D993" t="s">
        <v>24</v>
      </c>
      <c r="E993" t="s">
        <v>22</v>
      </c>
      <c r="F993">
        <f>IF(Table2[[#This Row],[Attrition]]="Yes", 1, 0)</f>
        <v>0</v>
      </c>
      <c r="G993" t="s">
        <v>21</v>
      </c>
      <c r="H993" t="s">
        <v>17</v>
      </c>
      <c r="I993">
        <v>2</v>
      </c>
      <c r="J993">
        <v>1</v>
      </c>
      <c r="K993" t="s">
        <v>36</v>
      </c>
      <c r="L993">
        <v>3</v>
      </c>
      <c r="M993">
        <v>2</v>
      </c>
      <c r="N993" s="3">
        <v>4078</v>
      </c>
      <c r="O993" s="3" t="str">
        <f>IF(Table2[[#This Row],[MonthlyIncome]]&lt;=5000, "$1001 - $5000", IF(Table2[[#This Row],[MonthlyIncome]]&lt;=9000, "$5001 - $9000", IF(Table2[[#This Row],[MonthlyIncome]]&lt;=13000, "$9001 - $13000", IF(Table2[[#This Row],[MonthlyIncome]]&lt;=17000, "$13001 - $17000", IF(Table2[[#This Row],[MonthlyIncome]]&lt;=21000, "$17001 - $21000")))))</f>
        <v>$1001 - $5000</v>
      </c>
      <c r="P993">
        <v>0</v>
      </c>
      <c r="Q993">
        <v>2</v>
      </c>
      <c r="R993">
        <v>3</v>
      </c>
      <c r="S9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94" spans="1:19" ht="14.25" x14ac:dyDescent="0.2">
      <c r="A994">
        <v>72118805</v>
      </c>
      <c r="B994">
        <v>39</v>
      </c>
      <c r="C994" t="s">
        <v>25</v>
      </c>
      <c r="D994" t="s">
        <v>24</v>
      </c>
      <c r="E994" t="s">
        <v>22</v>
      </c>
      <c r="F994">
        <f>IF(Table2[[#This Row],[Attrition]]="Yes", 1, 0)</f>
        <v>0</v>
      </c>
      <c r="G994" t="s">
        <v>32</v>
      </c>
      <c r="H994" t="s">
        <v>23</v>
      </c>
      <c r="I994">
        <v>25</v>
      </c>
      <c r="J994">
        <v>2</v>
      </c>
      <c r="K994" t="s">
        <v>18</v>
      </c>
      <c r="L994">
        <v>3</v>
      </c>
      <c r="M994">
        <v>3</v>
      </c>
      <c r="N994" s="3">
        <v>10920</v>
      </c>
      <c r="O994" s="3" t="str">
        <f>IF(Table2[[#This Row],[MonthlyIncome]]&lt;=5000, "$1001 - $5000", IF(Table2[[#This Row],[MonthlyIncome]]&lt;=9000, "$5001 - $9000", IF(Table2[[#This Row],[MonthlyIncome]]&lt;=13000, "$9001 - $13000", IF(Table2[[#This Row],[MonthlyIncome]]&lt;=17000, "$13001 - $17000", IF(Table2[[#This Row],[MonthlyIncome]]&lt;=21000, "$17001 - $21000")))))</f>
        <v>$9001 - $13000</v>
      </c>
      <c r="P994">
        <v>3</v>
      </c>
      <c r="Q994">
        <v>3</v>
      </c>
      <c r="R994">
        <v>6</v>
      </c>
      <c r="S9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95" spans="1:19" ht="14.25" x14ac:dyDescent="0.2">
      <c r="A995">
        <v>35713507</v>
      </c>
      <c r="B995">
        <v>25</v>
      </c>
      <c r="C995" t="s">
        <v>25</v>
      </c>
      <c r="D995" t="s">
        <v>24</v>
      </c>
      <c r="E995" t="s">
        <v>22</v>
      </c>
      <c r="F995">
        <f>IF(Table2[[#This Row],[Attrition]]="Yes", 1, 0)</f>
        <v>0</v>
      </c>
      <c r="G995" t="s">
        <v>21</v>
      </c>
      <c r="H995" t="s">
        <v>17</v>
      </c>
      <c r="I995">
        <v>18</v>
      </c>
      <c r="J995">
        <v>1</v>
      </c>
      <c r="K995" t="s">
        <v>18</v>
      </c>
      <c r="L995">
        <v>1</v>
      </c>
      <c r="M995">
        <v>3</v>
      </c>
      <c r="N995" s="3">
        <v>6232</v>
      </c>
      <c r="O995" s="3" t="str">
        <f>IF(Table2[[#This Row],[MonthlyIncome]]&lt;=5000, "$1001 - $5000", IF(Table2[[#This Row],[MonthlyIncome]]&lt;=9000, "$5001 - $9000", IF(Table2[[#This Row],[MonthlyIncome]]&lt;=13000, "$9001 - $13000", IF(Table2[[#This Row],[MonthlyIncome]]&lt;=17000, "$13001 - $17000", IF(Table2[[#This Row],[MonthlyIncome]]&lt;=21000, "$17001 - $21000")))))</f>
        <v>$5001 - $9000</v>
      </c>
      <c r="P995">
        <v>2</v>
      </c>
      <c r="Q995">
        <v>2</v>
      </c>
      <c r="R995">
        <v>3</v>
      </c>
      <c r="S9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996" spans="1:19" ht="14.25" x14ac:dyDescent="0.2">
      <c r="A996">
        <v>34022312</v>
      </c>
      <c r="B996">
        <v>52</v>
      </c>
      <c r="C996" t="s">
        <v>20</v>
      </c>
      <c r="D996" t="s">
        <v>24</v>
      </c>
      <c r="E996" t="s">
        <v>22</v>
      </c>
      <c r="F996">
        <f>IF(Table2[[#This Row],[Attrition]]="Yes", 1, 0)</f>
        <v>0</v>
      </c>
      <c r="G996" t="s">
        <v>31</v>
      </c>
      <c r="H996" t="s">
        <v>23</v>
      </c>
      <c r="I996">
        <v>28</v>
      </c>
      <c r="J996">
        <v>2</v>
      </c>
      <c r="K996" t="s">
        <v>29</v>
      </c>
      <c r="L996">
        <v>4</v>
      </c>
      <c r="M996">
        <v>3</v>
      </c>
      <c r="N996" s="3">
        <v>13247</v>
      </c>
      <c r="O996" s="3" t="str">
        <f>IF(Table2[[#This Row],[MonthlyIncome]]&lt;=5000, "$1001 - $5000", IF(Table2[[#This Row],[MonthlyIncome]]&lt;=9000, "$5001 - $9000", IF(Table2[[#This Row],[MonthlyIncome]]&lt;=13000, "$9001 - $13000", IF(Table2[[#This Row],[MonthlyIncome]]&lt;=17000, "$13001 - $17000", IF(Table2[[#This Row],[MonthlyIncome]]&lt;=21000, "$17001 - $21000")))))</f>
        <v>$13001 - $17000</v>
      </c>
      <c r="P996">
        <v>2</v>
      </c>
      <c r="Q996">
        <v>2</v>
      </c>
      <c r="R996">
        <v>5</v>
      </c>
      <c r="S9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97" spans="1:19" ht="14.25" x14ac:dyDescent="0.2">
      <c r="A997">
        <v>13918289</v>
      </c>
      <c r="B997">
        <v>43</v>
      </c>
      <c r="C997" t="s">
        <v>20</v>
      </c>
      <c r="D997" t="s">
        <v>19</v>
      </c>
      <c r="E997" t="s">
        <v>22</v>
      </c>
      <c r="F997">
        <f>IF(Table2[[#This Row],[Attrition]]="Yes", 1, 0)</f>
        <v>0</v>
      </c>
      <c r="G997" t="s">
        <v>26</v>
      </c>
      <c r="H997" t="s">
        <v>23</v>
      </c>
      <c r="I997">
        <v>6</v>
      </c>
      <c r="J997">
        <v>3</v>
      </c>
      <c r="K997" t="s">
        <v>29</v>
      </c>
      <c r="L997">
        <v>1</v>
      </c>
      <c r="M997">
        <v>3</v>
      </c>
      <c r="N997" s="3">
        <v>4081</v>
      </c>
      <c r="O997" s="3" t="str">
        <f>IF(Table2[[#This Row],[MonthlyIncome]]&lt;=5000, "$1001 - $5000", IF(Table2[[#This Row],[MonthlyIncome]]&lt;=9000, "$5001 - $9000", IF(Table2[[#This Row],[MonthlyIncome]]&lt;=13000, "$9001 - $13000", IF(Table2[[#This Row],[MonthlyIncome]]&lt;=17000, "$13001 - $17000", IF(Table2[[#This Row],[MonthlyIncome]]&lt;=21000, "$17001 - $21000")))))</f>
        <v>$1001 - $5000</v>
      </c>
      <c r="P997">
        <v>1</v>
      </c>
      <c r="Q997">
        <v>1</v>
      </c>
      <c r="R997">
        <v>20</v>
      </c>
      <c r="S9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998" spans="1:19" ht="14.25" x14ac:dyDescent="0.2">
      <c r="A998">
        <v>58328855</v>
      </c>
      <c r="B998">
        <v>27</v>
      </c>
      <c r="C998" t="s">
        <v>20</v>
      </c>
      <c r="D998" t="s">
        <v>24</v>
      </c>
      <c r="E998" t="s">
        <v>22</v>
      </c>
      <c r="F998">
        <f>IF(Table2[[#This Row],[Attrition]]="Yes", 1, 0)</f>
        <v>0</v>
      </c>
      <c r="G998" t="s">
        <v>21</v>
      </c>
      <c r="H998" t="s">
        <v>17</v>
      </c>
      <c r="I998">
        <v>10</v>
      </c>
      <c r="J998">
        <v>3</v>
      </c>
      <c r="K998" t="s">
        <v>36</v>
      </c>
      <c r="L998">
        <v>4</v>
      </c>
      <c r="M998">
        <v>4</v>
      </c>
      <c r="N998" s="3">
        <v>5769</v>
      </c>
      <c r="O998" s="3" t="str">
        <f>IF(Table2[[#This Row],[MonthlyIncome]]&lt;=5000, "$1001 - $5000", IF(Table2[[#This Row],[MonthlyIncome]]&lt;=9000, "$5001 - $9000", IF(Table2[[#This Row],[MonthlyIncome]]&lt;=13000, "$9001 - $13000", IF(Table2[[#This Row],[MonthlyIncome]]&lt;=17000, "$13001 - $17000", IF(Table2[[#This Row],[MonthlyIncome]]&lt;=21000, "$17001 - $21000")))))</f>
        <v>$5001 - $9000</v>
      </c>
      <c r="P998">
        <v>1</v>
      </c>
      <c r="Q998">
        <v>3</v>
      </c>
      <c r="R998">
        <v>6</v>
      </c>
      <c r="S9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999" spans="1:19" ht="14.25" x14ac:dyDescent="0.2">
      <c r="A999">
        <v>70823455</v>
      </c>
      <c r="B999">
        <v>27</v>
      </c>
      <c r="C999" t="s">
        <v>20</v>
      </c>
      <c r="D999" t="s">
        <v>19</v>
      </c>
      <c r="E999" t="s">
        <v>16</v>
      </c>
      <c r="F999">
        <f>IF(Table2[[#This Row],[Attrition]]="Yes", 1, 0)</f>
        <v>1</v>
      </c>
      <c r="G999" t="s">
        <v>26</v>
      </c>
      <c r="H999" t="s">
        <v>23</v>
      </c>
      <c r="I999">
        <v>17</v>
      </c>
      <c r="J999">
        <v>4</v>
      </c>
      <c r="K999" t="s">
        <v>18</v>
      </c>
      <c r="L999">
        <v>4</v>
      </c>
      <c r="M999">
        <v>3</v>
      </c>
      <c r="N999" s="3">
        <v>2394</v>
      </c>
      <c r="O999" s="3" t="str">
        <f>IF(Table2[[#This Row],[MonthlyIncome]]&lt;=5000, "$1001 - $5000", IF(Table2[[#This Row],[MonthlyIncome]]&lt;=9000, "$5001 - $9000", IF(Table2[[#This Row],[MonthlyIncome]]&lt;=13000, "$9001 - $13000", IF(Table2[[#This Row],[MonthlyIncome]]&lt;=17000, "$13001 - $17000", IF(Table2[[#This Row],[MonthlyIncome]]&lt;=21000, "$17001 - $21000")))))</f>
        <v>$1001 - $5000</v>
      </c>
      <c r="P999">
        <v>1</v>
      </c>
      <c r="Q999">
        <v>3</v>
      </c>
      <c r="R999">
        <v>8</v>
      </c>
      <c r="S9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00" spans="1:19" ht="14.25" x14ac:dyDescent="0.2">
      <c r="A1000">
        <v>15211137</v>
      </c>
      <c r="B1000">
        <v>26</v>
      </c>
      <c r="C1000" t="s">
        <v>25</v>
      </c>
      <c r="D1000" t="s">
        <v>19</v>
      </c>
      <c r="E1000" t="s">
        <v>22</v>
      </c>
      <c r="F1000">
        <f>IF(Table2[[#This Row],[Attrition]]="Yes", 1, 0)</f>
        <v>0</v>
      </c>
      <c r="G1000" t="s">
        <v>26</v>
      </c>
      <c r="H1000" t="s">
        <v>23</v>
      </c>
      <c r="I1000">
        <v>2</v>
      </c>
      <c r="J1000">
        <v>1</v>
      </c>
      <c r="K1000" t="s">
        <v>29</v>
      </c>
      <c r="L1000">
        <v>1</v>
      </c>
      <c r="M1000">
        <v>4</v>
      </c>
      <c r="N1000" s="3">
        <v>3904</v>
      </c>
      <c r="O1000" s="3" t="str">
        <f>IF(Table2[[#This Row],[MonthlyIncome]]&lt;=5000, "$1001 - $5000", IF(Table2[[#This Row],[MonthlyIncome]]&lt;=9000, "$5001 - $9000", IF(Table2[[#This Row],[MonthlyIncome]]&lt;=13000, "$9001 - $13000", IF(Table2[[#This Row],[MonthlyIncome]]&lt;=17000, "$13001 - $17000", IF(Table2[[#This Row],[MonthlyIncome]]&lt;=21000, "$17001 - $21000")))))</f>
        <v>$1001 - $5000</v>
      </c>
      <c r="P1000">
        <v>0</v>
      </c>
      <c r="Q1000">
        <v>3</v>
      </c>
      <c r="R1000">
        <v>4</v>
      </c>
      <c r="S10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01" spans="1:19" ht="14.25" x14ac:dyDescent="0.2">
      <c r="A1001">
        <v>33871590</v>
      </c>
      <c r="B1001">
        <v>42</v>
      </c>
      <c r="C1001" t="s">
        <v>20</v>
      </c>
      <c r="D1001" t="s">
        <v>24</v>
      </c>
      <c r="E1001" t="s">
        <v>22</v>
      </c>
      <c r="F1001">
        <f>IF(Table2[[#This Row],[Attrition]]="Yes", 1, 0)</f>
        <v>0</v>
      </c>
      <c r="G1001" t="s">
        <v>33</v>
      </c>
      <c r="H1001" t="s">
        <v>38</v>
      </c>
      <c r="I1001">
        <v>10</v>
      </c>
      <c r="J1001">
        <v>3</v>
      </c>
      <c r="K1001" t="s">
        <v>38</v>
      </c>
      <c r="L1001">
        <v>3</v>
      </c>
      <c r="M1001">
        <v>1</v>
      </c>
      <c r="N1001" s="3">
        <v>16799</v>
      </c>
      <c r="O1001" s="3" t="str">
        <f>IF(Table2[[#This Row],[MonthlyIncome]]&lt;=5000, "$1001 - $5000", IF(Table2[[#This Row],[MonthlyIncome]]&lt;=9000, "$5001 - $9000", IF(Table2[[#This Row],[MonthlyIncome]]&lt;=13000, "$9001 - $13000", IF(Table2[[#This Row],[MonthlyIncome]]&lt;=17000, "$13001 - $17000", IF(Table2[[#This Row],[MonthlyIncome]]&lt;=21000, "$17001 - $21000")))))</f>
        <v>$13001 - $17000</v>
      </c>
      <c r="P1001">
        <v>0</v>
      </c>
      <c r="Q1001">
        <v>3</v>
      </c>
      <c r="R1001">
        <v>20</v>
      </c>
      <c r="S10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002" spans="1:19" ht="14.25" x14ac:dyDescent="0.2">
      <c r="A1002">
        <v>50982244</v>
      </c>
      <c r="B1002">
        <v>52</v>
      </c>
      <c r="C1002" t="s">
        <v>20</v>
      </c>
      <c r="D1002" t="s">
        <v>24</v>
      </c>
      <c r="E1002" t="s">
        <v>22</v>
      </c>
      <c r="F1002">
        <f>IF(Table2[[#This Row],[Attrition]]="Yes", 1, 0)</f>
        <v>0</v>
      </c>
      <c r="G1002" t="s">
        <v>28</v>
      </c>
      <c r="H1002" t="s">
        <v>23</v>
      </c>
      <c r="I1002">
        <v>8</v>
      </c>
      <c r="J1002">
        <v>4</v>
      </c>
      <c r="K1002" t="s">
        <v>27</v>
      </c>
      <c r="L1002">
        <v>3</v>
      </c>
      <c r="M1002">
        <v>1</v>
      </c>
      <c r="N1002" s="3">
        <v>2950</v>
      </c>
      <c r="O1002" s="3" t="str">
        <f>IF(Table2[[#This Row],[MonthlyIncome]]&lt;=5000, "$1001 - $5000", IF(Table2[[#This Row],[MonthlyIncome]]&lt;=9000, "$5001 - $9000", IF(Table2[[#This Row],[MonthlyIncome]]&lt;=13000, "$9001 - $13000", IF(Table2[[#This Row],[MonthlyIncome]]&lt;=17000, "$13001 - $17000", IF(Table2[[#This Row],[MonthlyIncome]]&lt;=21000, "$17001 - $21000")))))</f>
        <v>$1001 - $5000</v>
      </c>
      <c r="P1002">
        <v>9</v>
      </c>
      <c r="Q1002">
        <v>1</v>
      </c>
      <c r="R1002">
        <v>5</v>
      </c>
      <c r="S10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03" spans="1:19" ht="14.25" x14ac:dyDescent="0.2">
      <c r="A1003">
        <v>85260102</v>
      </c>
      <c r="B1003">
        <v>37</v>
      </c>
      <c r="C1003" t="s">
        <v>20</v>
      </c>
      <c r="D1003" t="s">
        <v>19</v>
      </c>
      <c r="E1003" t="s">
        <v>22</v>
      </c>
      <c r="F1003">
        <f>IF(Table2[[#This Row],[Attrition]]="Yes", 1, 0)</f>
        <v>0</v>
      </c>
      <c r="G1003" t="s">
        <v>28</v>
      </c>
      <c r="H1003" t="s">
        <v>23</v>
      </c>
      <c r="I1003">
        <v>11</v>
      </c>
      <c r="J1003">
        <v>3</v>
      </c>
      <c r="K1003" t="s">
        <v>29</v>
      </c>
      <c r="L1003">
        <v>1</v>
      </c>
      <c r="M1003">
        <v>3</v>
      </c>
      <c r="N1003" s="3">
        <v>3629</v>
      </c>
      <c r="O1003" s="3" t="str">
        <f>IF(Table2[[#This Row],[MonthlyIncome]]&lt;=5000, "$1001 - $5000", IF(Table2[[#This Row],[MonthlyIncome]]&lt;=9000, "$5001 - $9000", IF(Table2[[#This Row],[MonthlyIncome]]&lt;=13000, "$9001 - $13000", IF(Table2[[#This Row],[MonthlyIncome]]&lt;=17000, "$13001 - $17000", IF(Table2[[#This Row],[MonthlyIncome]]&lt;=21000, "$17001 - $21000")))))</f>
        <v>$1001 - $5000</v>
      </c>
      <c r="P1003">
        <v>4</v>
      </c>
      <c r="Q1003">
        <v>3</v>
      </c>
      <c r="R1003">
        <v>3</v>
      </c>
      <c r="S10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04" spans="1:19" ht="14.25" x14ac:dyDescent="0.2">
      <c r="A1004">
        <v>57821024</v>
      </c>
      <c r="B1004">
        <v>35</v>
      </c>
      <c r="C1004" t="s">
        <v>25</v>
      </c>
      <c r="D1004" t="s">
        <v>19</v>
      </c>
      <c r="E1004" t="s">
        <v>22</v>
      </c>
      <c r="F1004">
        <f>IF(Table2[[#This Row],[Attrition]]="Yes", 1, 0)</f>
        <v>0</v>
      </c>
      <c r="G1004" t="s">
        <v>31</v>
      </c>
      <c r="H1004" t="s">
        <v>23</v>
      </c>
      <c r="I1004">
        <v>18</v>
      </c>
      <c r="J1004">
        <v>2</v>
      </c>
      <c r="K1004" t="s">
        <v>18</v>
      </c>
      <c r="L1004">
        <v>3</v>
      </c>
      <c r="M1004">
        <v>4</v>
      </c>
      <c r="N1004" s="3">
        <v>9362</v>
      </c>
      <c r="O1004" s="3" t="str">
        <f>IF(Table2[[#This Row],[MonthlyIncome]]&lt;=5000, "$1001 - $5000", IF(Table2[[#This Row],[MonthlyIncome]]&lt;=9000, "$5001 - $9000", IF(Table2[[#This Row],[MonthlyIncome]]&lt;=13000, "$9001 - $13000", IF(Table2[[#This Row],[MonthlyIncome]]&lt;=17000, "$13001 - $17000", IF(Table2[[#This Row],[MonthlyIncome]]&lt;=21000, "$17001 - $21000")))))</f>
        <v>$9001 - $13000</v>
      </c>
      <c r="P1004">
        <v>2</v>
      </c>
      <c r="Q1004">
        <v>3</v>
      </c>
      <c r="R1004">
        <v>2</v>
      </c>
      <c r="S10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05" spans="1:19" ht="14.25" x14ac:dyDescent="0.2">
      <c r="A1005">
        <v>41744636</v>
      </c>
      <c r="B1005">
        <v>25</v>
      </c>
      <c r="C1005" t="s">
        <v>25</v>
      </c>
      <c r="D1005" t="s">
        <v>24</v>
      </c>
      <c r="E1005" t="s">
        <v>22</v>
      </c>
      <c r="F1005">
        <f>IF(Table2[[#This Row],[Attrition]]="Yes", 1, 0)</f>
        <v>0</v>
      </c>
      <c r="G1005" t="s">
        <v>28</v>
      </c>
      <c r="H1005" t="s">
        <v>23</v>
      </c>
      <c r="I1005">
        <v>1</v>
      </c>
      <c r="J1005">
        <v>3</v>
      </c>
      <c r="K1005" t="s">
        <v>37</v>
      </c>
      <c r="L1005">
        <v>1</v>
      </c>
      <c r="M1005">
        <v>4</v>
      </c>
      <c r="N1005" s="3">
        <v>3229</v>
      </c>
      <c r="O1005" s="3" t="str">
        <f>IF(Table2[[#This Row],[MonthlyIncome]]&lt;=5000, "$1001 - $5000", IF(Table2[[#This Row],[MonthlyIncome]]&lt;=9000, "$5001 - $9000", IF(Table2[[#This Row],[MonthlyIncome]]&lt;=13000, "$9001 - $13000", IF(Table2[[#This Row],[MonthlyIncome]]&lt;=17000, "$13001 - $17000", IF(Table2[[#This Row],[MonthlyIncome]]&lt;=21000, "$17001 - $21000")))))</f>
        <v>$1001 - $5000</v>
      </c>
      <c r="P1005">
        <v>4</v>
      </c>
      <c r="Q1005">
        <v>2</v>
      </c>
      <c r="R1005">
        <v>3</v>
      </c>
      <c r="S10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06" spans="1:19" ht="14.25" x14ac:dyDescent="0.2">
      <c r="A1006">
        <v>86845558</v>
      </c>
      <c r="B1006">
        <v>26</v>
      </c>
      <c r="C1006" t="s">
        <v>25</v>
      </c>
      <c r="D1006" t="s">
        <v>19</v>
      </c>
      <c r="E1006" t="s">
        <v>22</v>
      </c>
      <c r="F1006">
        <f>IF(Table2[[#This Row],[Attrition]]="Yes", 1, 0)</f>
        <v>0</v>
      </c>
      <c r="G1006" t="s">
        <v>28</v>
      </c>
      <c r="H1006" t="s">
        <v>23</v>
      </c>
      <c r="I1006">
        <v>7</v>
      </c>
      <c r="J1006">
        <v>3</v>
      </c>
      <c r="K1006" t="s">
        <v>27</v>
      </c>
      <c r="L1006">
        <v>3</v>
      </c>
      <c r="M1006">
        <v>1</v>
      </c>
      <c r="N1006" s="3">
        <v>3578</v>
      </c>
      <c r="O1006" s="3" t="str">
        <f>IF(Table2[[#This Row],[MonthlyIncome]]&lt;=5000, "$1001 - $5000", IF(Table2[[#This Row],[MonthlyIncome]]&lt;=9000, "$5001 - $9000", IF(Table2[[#This Row],[MonthlyIncome]]&lt;=13000, "$9001 - $13000", IF(Table2[[#This Row],[MonthlyIncome]]&lt;=17000, "$13001 - $17000", IF(Table2[[#This Row],[MonthlyIncome]]&lt;=21000, "$17001 - $21000")))))</f>
        <v>$1001 - $5000</v>
      </c>
      <c r="P1006">
        <v>0</v>
      </c>
      <c r="Q1006">
        <v>3</v>
      </c>
      <c r="R1006">
        <v>7</v>
      </c>
      <c r="S10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07" spans="1:19" ht="14.25" x14ac:dyDescent="0.2">
      <c r="A1007">
        <v>81314211</v>
      </c>
      <c r="B1007">
        <v>29</v>
      </c>
      <c r="C1007" t="s">
        <v>25</v>
      </c>
      <c r="D1007" t="s">
        <v>19</v>
      </c>
      <c r="E1007" t="s">
        <v>22</v>
      </c>
      <c r="F1007">
        <f>IF(Table2[[#This Row],[Attrition]]="Yes", 1, 0)</f>
        <v>0</v>
      </c>
      <c r="G1007" t="s">
        <v>38</v>
      </c>
      <c r="H1007" t="s">
        <v>38</v>
      </c>
      <c r="I1007">
        <v>17</v>
      </c>
      <c r="J1007">
        <v>3</v>
      </c>
      <c r="K1007" t="s">
        <v>27</v>
      </c>
      <c r="L1007">
        <v>2</v>
      </c>
      <c r="M1007">
        <v>1</v>
      </c>
      <c r="N1007" s="3">
        <v>7988</v>
      </c>
      <c r="O1007" s="3" t="str">
        <f>IF(Table2[[#This Row],[MonthlyIncome]]&lt;=5000, "$1001 - $5000", IF(Table2[[#This Row],[MonthlyIncome]]&lt;=9000, "$5001 - $9000", IF(Table2[[#This Row],[MonthlyIncome]]&lt;=13000, "$9001 - $13000", IF(Table2[[#This Row],[MonthlyIncome]]&lt;=17000, "$13001 - $17000", IF(Table2[[#This Row],[MonthlyIncome]]&lt;=21000, "$17001 - $21000")))))</f>
        <v>$5001 - $9000</v>
      </c>
      <c r="P1007">
        <v>1</v>
      </c>
      <c r="Q1007">
        <v>2</v>
      </c>
      <c r="R1007">
        <v>10</v>
      </c>
      <c r="S10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08" spans="1:19" ht="14.25" x14ac:dyDescent="0.2">
      <c r="A1008">
        <v>36149534</v>
      </c>
      <c r="B1008">
        <v>49</v>
      </c>
      <c r="C1008" t="s">
        <v>25</v>
      </c>
      <c r="D1008" t="s">
        <v>19</v>
      </c>
      <c r="E1008" t="s">
        <v>16</v>
      </c>
      <c r="F1008">
        <f>IF(Table2[[#This Row],[Attrition]]="Yes", 1, 0)</f>
        <v>1</v>
      </c>
      <c r="G1008" t="s">
        <v>28</v>
      </c>
      <c r="H1008" t="s">
        <v>23</v>
      </c>
      <c r="I1008">
        <v>28</v>
      </c>
      <c r="J1008">
        <v>2</v>
      </c>
      <c r="K1008" t="s">
        <v>18</v>
      </c>
      <c r="L1008">
        <v>1</v>
      </c>
      <c r="M1008">
        <v>1</v>
      </c>
      <c r="N1008" s="3">
        <v>4284</v>
      </c>
      <c r="O1008" s="3" t="str">
        <f>IF(Table2[[#This Row],[MonthlyIncome]]&lt;=5000, "$1001 - $5000", IF(Table2[[#This Row],[MonthlyIncome]]&lt;=9000, "$5001 - $9000", IF(Table2[[#This Row],[MonthlyIncome]]&lt;=13000, "$9001 - $13000", IF(Table2[[#This Row],[MonthlyIncome]]&lt;=17000, "$13001 - $17000", IF(Table2[[#This Row],[MonthlyIncome]]&lt;=21000, "$17001 - $21000")))))</f>
        <v>$1001 - $5000</v>
      </c>
      <c r="P1008">
        <v>3</v>
      </c>
      <c r="Q1008">
        <v>3</v>
      </c>
      <c r="R1008">
        <v>4</v>
      </c>
      <c r="S10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09" spans="1:19" ht="14.25" x14ac:dyDescent="0.2">
      <c r="A1009">
        <v>32801256</v>
      </c>
      <c r="B1009">
        <v>29</v>
      </c>
      <c r="C1009" t="s">
        <v>20</v>
      </c>
      <c r="D1009" t="s">
        <v>19</v>
      </c>
      <c r="E1009" t="s">
        <v>16</v>
      </c>
      <c r="F1009">
        <f>IF(Table2[[#This Row],[Attrition]]="Yes", 1, 0)</f>
        <v>1</v>
      </c>
      <c r="G1009" t="s">
        <v>32</v>
      </c>
      <c r="H1009" t="s">
        <v>23</v>
      </c>
      <c r="I1009">
        <v>14</v>
      </c>
      <c r="J1009">
        <v>1</v>
      </c>
      <c r="K1009" t="s">
        <v>27</v>
      </c>
      <c r="L1009">
        <v>3</v>
      </c>
      <c r="M1009">
        <v>4</v>
      </c>
      <c r="N1009" s="3">
        <v>7553</v>
      </c>
      <c r="O1009" s="3" t="str">
        <f>IF(Table2[[#This Row],[MonthlyIncome]]&lt;=5000, "$1001 - $5000", IF(Table2[[#This Row],[MonthlyIncome]]&lt;=9000, "$5001 - $9000", IF(Table2[[#This Row],[MonthlyIncome]]&lt;=13000, "$9001 - $13000", IF(Table2[[#This Row],[MonthlyIncome]]&lt;=17000, "$13001 - $17000", IF(Table2[[#This Row],[MonthlyIncome]]&lt;=21000, "$17001 - $21000")))))</f>
        <v>$5001 - $9000</v>
      </c>
      <c r="P1009">
        <v>0</v>
      </c>
      <c r="Q1009">
        <v>3</v>
      </c>
      <c r="R1009">
        <v>8</v>
      </c>
      <c r="S10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10" spans="1:19" ht="14.25" x14ac:dyDescent="0.2">
      <c r="A1010">
        <v>53999023</v>
      </c>
      <c r="B1010">
        <v>54</v>
      </c>
      <c r="C1010" t="s">
        <v>20</v>
      </c>
      <c r="D1010" t="s">
        <v>19</v>
      </c>
      <c r="E1010" t="s">
        <v>22</v>
      </c>
      <c r="F1010">
        <f>IF(Table2[[#This Row],[Attrition]]="Yes", 1, 0)</f>
        <v>0</v>
      </c>
      <c r="G1010" t="s">
        <v>35</v>
      </c>
      <c r="H1010" t="s">
        <v>23</v>
      </c>
      <c r="I1010">
        <v>1</v>
      </c>
      <c r="J1010">
        <v>3</v>
      </c>
      <c r="K1010" t="s">
        <v>29</v>
      </c>
      <c r="L1010">
        <v>4</v>
      </c>
      <c r="M1010">
        <v>4</v>
      </c>
      <c r="N1010" s="3">
        <v>17328</v>
      </c>
      <c r="O1010" s="3" t="str">
        <f>IF(Table2[[#This Row],[MonthlyIncome]]&lt;=5000, "$1001 - $5000", IF(Table2[[#This Row],[MonthlyIncome]]&lt;=9000, "$5001 - $9000", IF(Table2[[#This Row],[MonthlyIncome]]&lt;=13000, "$9001 - $13000", IF(Table2[[#This Row],[MonthlyIncome]]&lt;=17000, "$13001 - $17000", IF(Table2[[#This Row],[MonthlyIncome]]&lt;=21000, "$17001 - $21000")))))</f>
        <v>$17001 - $21000</v>
      </c>
      <c r="P1010">
        <v>6</v>
      </c>
      <c r="Q1010">
        <v>2</v>
      </c>
      <c r="R1010">
        <v>20</v>
      </c>
      <c r="S10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011" spans="1:19" ht="14.25" x14ac:dyDescent="0.2">
      <c r="A1011">
        <v>79582046</v>
      </c>
      <c r="B1011">
        <v>58</v>
      </c>
      <c r="C1011" t="s">
        <v>20</v>
      </c>
      <c r="D1011" t="s">
        <v>24</v>
      </c>
      <c r="E1011" t="s">
        <v>22</v>
      </c>
      <c r="F1011">
        <f>IF(Table2[[#This Row],[Attrition]]="Yes", 1, 0)</f>
        <v>0</v>
      </c>
      <c r="G1011" t="s">
        <v>35</v>
      </c>
      <c r="H1011" t="s">
        <v>23</v>
      </c>
      <c r="I1011">
        <v>1</v>
      </c>
      <c r="J1011">
        <v>3</v>
      </c>
      <c r="K1011" t="s">
        <v>29</v>
      </c>
      <c r="L1011">
        <v>4</v>
      </c>
      <c r="M1011">
        <v>1</v>
      </c>
      <c r="N1011" s="3">
        <v>19701</v>
      </c>
      <c r="O1011" s="3" t="str">
        <f>IF(Table2[[#This Row],[MonthlyIncome]]&lt;=5000, "$1001 - $5000", IF(Table2[[#This Row],[MonthlyIncome]]&lt;=9000, "$5001 - $9000", IF(Table2[[#This Row],[MonthlyIncome]]&lt;=13000, "$9001 - $13000", IF(Table2[[#This Row],[MonthlyIncome]]&lt;=17000, "$13001 - $17000", IF(Table2[[#This Row],[MonthlyIncome]]&lt;=21000, "$17001 - $21000")))))</f>
        <v>$17001 - $21000</v>
      </c>
      <c r="P1011">
        <v>3</v>
      </c>
      <c r="Q1011">
        <v>3</v>
      </c>
      <c r="R1011">
        <v>9</v>
      </c>
      <c r="S10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12" spans="1:19" ht="14.25" x14ac:dyDescent="0.2">
      <c r="A1012">
        <v>26104340</v>
      </c>
      <c r="B1012">
        <v>55</v>
      </c>
      <c r="C1012" t="s">
        <v>25</v>
      </c>
      <c r="D1012" t="s">
        <v>30</v>
      </c>
      <c r="E1012" t="s">
        <v>22</v>
      </c>
      <c r="F1012">
        <f>IF(Table2[[#This Row],[Attrition]]="Yes", 1, 0)</f>
        <v>0</v>
      </c>
      <c r="G1012" t="s">
        <v>35</v>
      </c>
      <c r="H1012" t="s">
        <v>23</v>
      </c>
      <c r="I1012">
        <v>1</v>
      </c>
      <c r="J1012">
        <v>4</v>
      </c>
      <c r="K1012" t="s">
        <v>29</v>
      </c>
      <c r="L1012">
        <v>2</v>
      </c>
      <c r="M1012">
        <v>4</v>
      </c>
      <c r="N1012" s="3">
        <v>14732</v>
      </c>
      <c r="O1012" s="3" t="str">
        <f>IF(Table2[[#This Row],[MonthlyIncome]]&lt;=5000, "$1001 - $5000", IF(Table2[[#This Row],[MonthlyIncome]]&lt;=9000, "$5001 - $9000", IF(Table2[[#This Row],[MonthlyIncome]]&lt;=13000, "$9001 - $13000", IF(Table2[[#This Row],[MonthlyIncome]]&lt;=17000, "$13001 - $17000", IF(Table2[[#This Row],[MonthlyIncome]]&lt;=21000, "$17001 - $21000")))))</f>
        <v>$13001 - $17000</v>
      </c>
      <c r="P1012">
        <v>2</v>
      </c>
      <c r="Q1012">
        <v>4</v>
      </c>
      <c r="R1012">
        <v>7</v>
      </c>
      <c r="S10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13" spans="1:19" ht="14.25" x14ac:dyDescent="0.2">
      <c r="A1013">
        <v>79812422</v>
      </c>
      <c r="B1013">
        <v>36</v>
      </c>
      <c r="C1013" t="s">
        <v>20</v>
      </c>
      <c r="D1013" t="s">
        <v>19</v>
      </c>
      <c r="E1013" t="s">
        <v>22</v>
      </c>
      <c r="F1013">
        <f>IF(Table2[[#This Row],[Attrition]]="Yes", 1, 0)</f>
        <v>0</v>
      </c>
      <c r="G1013" t="s">
        <v>21</v>
      </c>
      <c r="H1013" t="s">
        <v>17</v>
      </c>
      <c r="I1013">
        <v>3</v>
      </c>
      <c r="J1013">
        <v>4</v>
      </c>
      <c r="K1013" t="s">
        <v>36</v>
      </c>
      <c r="L1013">
        <v>1</v>
      </c>
      <c r="M1013">
        <v>2</v>
      </c>
      <c r="N1013" s="3">
        <v>9278</v>
      </c>
      <c r="O1013" s="3" t="str">
        <f>IF(Table2[[#This Row],[MonthlyIncome]]&lt;=5000, "$1001 - $5000", IF(Table2[[#This Row],[MonthlyIncome]]&lt;=9000, "$5001 - $9000", IF(Table2[[#This Row],[MonthlyIncome]]&lt;=13000, "$9001 - $13000", IF(Table2[[#This Row],[MonthlyIncome]]&lt;=17000, "$13001 - $17000", IF(Table2[[#This Row],[MonthlyIncome]]&lt;=21000, "$17001 - $21000")))))</f>
        <v>$9001 - $13000</v>
      </c>
      <c r="P1013">
        <v>3</v>
      </c>
      <c r="Q1013">
        <v>3</v>
      </c>
      <c r="R1013">
        <v>5</v>
      </c>
      <c r="S10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14" spans="1:19" ht="14.25" x14ac:dyDescent="0.2">
      <c r="A1014">
        <v>65091586</v>
      </c>
      <c r="B1014">
        <v>31</v>
      </c>
      <c r="C1014" t="s">
        <v>20</v>
      </c>
      <c r="D1014" t="s">
        <v>19</v>
      </c>
      <c r="E1014" t="s">
        <v>16</v>
      </c>
      <c r="F1014">
        <f>IF(Table2[[#This Row],[Attrition]]="Yes", 1, 0)</f>
        <v>1</v>
      </c>
      <c r="G1014" t="s">
        <v>34</v>
      </c>
      <c r="H1014" t="s">
        <v>17</v>
      </c>
      <c r="I1014">
        <v>1</v>
      </c>
      <c r="J1014">
        <v>4</v>
      </c>
      <c r="K1014" t="s">
        <v>18</v>
      </c>
      <c r="L1014">
        <v>2</v>
      </c>
      <c r="M1014">
        <v>3</v>
      </c>
      <c r="N1014" s="3">
        <v>1359</v>
      </c>
      <c r="O1014" s="3" t="str">
        <f>IF(Table2[[#This Row],[MonthlyIncome]]&lt;=5000, "$1001 - $5000", IF(Table2[[#This Row],[MonthlyIncome]]&lt;=9000, "$5001 - $9000", IF(Table2[[#This Row],[MonthlyIncome]]&lt;=13000, "$9001 - $13000", IF(Table2[[#This Row],[MonthlyIncome]]&lt;=17000, "$13001 - $17000", IF(Table2[[#This Row],[MonthlyIncome]]&lt;=21000, "$17001 - $21000")))))</f>
        <v>$1001 - $5000</v>
      </c>
      <c r="P1014">
        <v>1</v>
      </c>
      <c r="Q1014">
        <v>3</v>
      </c>
      <c r="R1014">
        <v>1</v>
      </c>
      <c r="S10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15" spans="1:19" ht="14.25" x14ac:dyDescent="0.2">
      <c r="A1015">
        <v>42008627</v>
      </c>
      <c r="B1015">
        <v>30</v>
      </c>
      <c r="C1015" t="s">
        <v>20</v>
      </c>
      <c r="D1015" t="s">
        <v>30</v>
      </c>
      <c r="E1015" t="s">
        <v>22</v>
      </c>
      <c r="F1015">
        <f>IF(Table2[[#This Row],[Attrition]]="Yes", 1, 0)</f>
        <v>0</v>
      </c>
      <c r="G1015" t="s">
        <v>21</v>
      </c>
      <c r="H1015" t="s">
        <v>17</v>
      </c>
      <c r="I1015">
        <v>7</v>
      </c>
      <c r="J1015">
        <v>4</v>
      </c>
      <c r="K1015" t="s">
        <v>36</v>
      </c>
      <c r="L1015">
        <v>4</v>
      </c>
      <c r="M1015">
        <v>1</v>
      </c>
      <c r="N1015" s="3">
        <v>4779</v>
      </c>
      <c r="O1015" s="3" t="str">
        <f>IF(Table2[[#This Row],[MonthlyIncome]]&lt;=5000, "$1001 - $5000", IF(Table2[[#This Row],[MonthlyIncome]]&lt;=9000, "$5001 - $9000", IF(Table2[[#This Row],[MonthlyIncome]]&lt;=13000, "$9001 - $13000", IF(Table2[[#This Row],[MonthlyIncome]]&lt;=17000, "$13001 - $17000", IF(Table2[[#This Row],[MonthlyIncome]]&lt;=21000, "$17001 - $21000")))))</f>
        <v>$1001 - $5000</v>
      </c>
      <c r="P1015">
        <v>7</v>
      </c>
      <c r="Q1015">
        <v>3</v>
      </c>
      <c r="R1015">
        <v>3</v>
      </c>
      <c r="S10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16" spans="1:19" ht="14.25" x14ac:dyDescent="0.2">
      <c r="A1016">
        <v>60814943</v>
      </c>
      <c r="B1016">
        <v>31</v>
      </c>
      <c r="C1016" t="s">
        <v>20</v>
      </c>
      <c r="D1016" t="s">
        <v>19</v>
      </c>
      <c r="E1016" t="s">
        <v>22</v>
      </c>
      <c r="F1016">
        <f>IF(Table2[[#This Row],[Attrition]]="Yes", 1, 0)</f>
        <v>0</v>
      </c>
      <c r="G1016" t="s">
        <v>35</v>
      </c>
      <c r="H1016" t="s">
        <v>23</v>
      </c>
      <c r="I1016">
        <v>8</v>
      </c>
      <c r="J1016">
        <v>5</v>
      </c>
      <c r="K1016" t="s">
        <v>18</v>
      </c>
      <c r="L1016">
        <v>1</v>
      </c>
      <c r="M1016">
        <v>2</v>
      </c>
      <c r="N1016" s="3">
        <v>16422</v>
      </c>
      <c r="O1016" s="3" t="str">
        <f>IF(Table2[[#This Row],[MonthlyIncome]]&lt;=5000, "$1001 - $5000", IF(Table2[[#This Row],[MonthlyIncome]]&lt;=9000, "$5001 - $9000", IF(Table2[[#This Row],[MonthlyIncome]]&lt;=13000, "$9001 - $13000", IF(Table2[[#This Row],[MonthlyIncome]]&lt;=17000, "$13001 - $17000", IF(Table2[[#This Row],[MonthlyIncome]]&lt;=21000, "$17001 - $21000")))))</f>
        <v>$13001 - $17000</v>
      </c>
      <c r="P1016">
        <v>3</v>
      </c>
      <c r="Q1016">
        <v>4</v>
      </c>
      <c r="R1016">
        <v>3</v>
      </c>
      <c r="S10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17" spans="1:19" ht="14.25" x14ac:dyDescent="0.2">
      <c r="A1017">
        <v>58905659</v>
      </c>
      <c r="B1017">
        <v>34</v>
      </c>
      <c r="C1017" t="s">
        <v>25</v>
      </c>
      <c r="D1017" t="s">
        <v>30</v>
      </c>
      <c r="E1017" t="s">
        <v>22</v>
      </c>
      <c r="F1017">
        <f>IF(Table2[[#This Row],[Attrition]]="Yes", 1, 0)</f>
        <v>0</v>
      </c>
      <c r="G1017" t="s">
        <v>26</v>
      </c>
      <c r="H1017" t="s">
        <v>23</v>
      </c>
      <c r="I1017">
        <v>1</v>
      </c>
      <c r="J1017">
        <v>4</v>
      </c>
      <c r="K1017" t="s">
        <v>27</v>
      </c>
      <c r="L1017">
        <v>4</v>
      </c>
      <c r="M1017">
        <v>1</v>
      </c>
      <c r="N1017" s="3">
        <v>2996</v>
      </c>
      <c r="O1017" s="3" t="str">
        <f>IF(Table2[[#This Row],[MonthlyIncome]]&lt;=5000, "$1001 - $5000", IF(Table2[[#This Row],[MonthlyIncome]]&lt;=9000, "$5001 - $9000", IF(Table2[[#This Row],[MonthlyIncome]]&lt;=13000, "$9001 - $13000", IF(Table2[[#This Row],[MonthlyIncome]]&lt;=17000, "$13001 - $17000", IF(Table2[[#This Row],[MonthlyIncome]]&lt;=21000, "$17001 - $21000")))))</f>
        <v>$1001 - $5000</v>
      </c>
      <c r="P1017">
        <v>5</v>
      </c>
      <c r="Q1017">
        <v>3</v>
      </c>
      <c r="R1017">
        <v>4</v>
      </c>
      <c r="S10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18" spans="1:19" ht="14.25" x14ac:dyDescent="0.2">
      <c r="A1018">
        <v>75617102</v>
      </c>
      <c r="B1018">
        <v>31</v>
      </c>
      <c r="C1018" t="s">
        <v>20</v>
      </c>
      <c r="D1018" t="s">
        <v>19</v>
      </c>
      <c r="E1018" t="s">
        <v>16</v>
      </c>
      <c r="F1018">
        <f>IF(Table2[[#This Row],[Attrition]]="Yes", 1, 0)</f>
        <v>1</v>
      </c>
      <c r="G1018" t="s">
        <v>26</v>
      </c>
      <c r="H1018" t="s">
        <v>23</v>
      </c>
      <c r="I1018">
        <v>8</v>
      </c>
      <c r="J1018">
        <v>3</v>
      </c>
      <c r="K1018" t="s">
        <v>18</v>
      </c>
      <c r="L1018">
        <v>1</v>
      </c>
      <c r="M1018">
        <v>2</v>
      </c>
      <c r="N1018" s="3">
        <v>1261</v>
      </c>
      <c r="O1018" s="3" t="str">
        <f>IF(Table2[[#This Row],[MonthlyIncome]]&lt;=5000, "$1001 - $5000", IF(Table2[[#This Row],[MonthlyIncome]]&lt;=9000, "$5001 - $9000", IF(Table2[[#This Row],[MonthlyIncome]]&lt;=13000, "$9001 - $13000", IF(Table2[[#This Row],[MonthlyIncome]]&lt;=17000, "$13001 - $17000", IF(Table2[[#This Row],[MonthlyIncome]]&lt;=21000, "$17001 - $21000")))))</f>
        <v>$1001 - $5000</v>
      </c>
      <c r="P1018">
        <v>1</v>
      </c>
      <c r="Q1018">
        <v>4</v>
      </c>
      <c r="R1018">
        <v>1</v>
      </c>
      <c r="S10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19" spans="1:19" ht="14.25" x14ac:dyDescent="0.2">
      <c r="A1019">
        <v>63859381</v>
      </c>
      <c r="B1019">
        <v>27</v>
      </c>
      <c r="C1019" t="s">
        <v>25</v>
      </c>
      <c r="D1019" t="s">
        <v>24</v>
      </c>
      <c r="E1019" t="s">
        <v>22</v>
      </c>
      <c r="F1019">
        <f>IF(Table2[[#This Row],[Attrition]]="Yes", 1, 0)</f>
        <v>0</v>
      </c>
      <c r="G1019" t="s">
        <v>28</v>
      </c>
      <c r="H1019" t="s">
        <v>23</v>
      </c>
      <c r="I1019">
        <v>11</v>
      </c>
      <c r="J1019">
        <v>1</v>
      </c>
      <c r="K1019" t="s">
        <v>18</v>
      </c>
      <c r="L1019">
        <v>2</v>
      </c>
      <c r="M1019">
        <v>1</v>
      </c>
      <c r="N1019" s="3">
        <v>2099</v>
      </c>
      <c r="O1019" s="3" t="str">
        <f>IF(Table2[[#This Row],[MonthlyIncome]]&lt;=5000, "$1001 - $5000", IF(Table2[[#This Row],[MonthlyIncome]]&lt;=9000, "$5001 - $9000", IF(Table2[[#This Row],[MonthlyIncome]]&lt;=13000, "$9001 - $13000", IF(Table2[[#This Row],[MonthlyIncome]]&lt;=17000, "$13001 - $17000", IF(Table2[[#This Row],[MonthlyIncome]]&lt;=21000, "$17001 - $21000")))))</f>
        <v>$1001 - $5000</v>
      </c>
      <c r="P1019">
        <v>0</v>
      </c>
      <c r="Q1019">
        <v>4</v>
      </c>
      <c r="R1019">
        <v>5</v>
      </c>
      <c r="S10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20" spans="1:19" ht="14.25" x14ac:dyDescent="0.2">
      <c r="A1020">
        <v>87955687</v>
      </c>
      <c r="B1020">
        <v>36</v>
      </c>
      <c r="C1020" t="s">
        <v>25</v>
      </c>
      <c r="D1020" t="s">
        <v>19</v>
      </c>
      <c r="E1020" t="s">
        <v>22</v>
      </c>
      <c r="F1020">
        <f>IF(Table2[[#This Row],[Attrition]]="Yes", 1, 0)</f>
        <v>0</v>
      </c>
      <c r="G1020" t="s">
        <v>28</v>
      </c>
      <c r="H1020" t="s">
        <v>23</v>
      </c>
      <c r="I1020">
        <v>4</v>
      </c>
      <c r="J1020">
        <v>4</v>
      </c>
      <c r="K1020" t="s">
        <v>18</v>
      </c>
      <c r="L1020">
        <v>1</v>
      </c>
      <c r="M1020">
        <v>4</v>
      </c>
      <c r="N1020" s="3">
        <v>5810</v>
      </c>
      <c r="O1020" s="3" t="str">
        <f>IF(Table2[[#This Row],[MonthlyIncome]]&lt;=5000, "$1001 - $5000", IF(Table2[[#This Row],[MonthlyIncome]]&lt;=9000, "$5001 - $9000", IF(Table2[[#This Row],[MonthlyIncome]]&lt;=13000, "$9001 - $13000", IF(Table2[[#This Row],[MonthlyIncome]]&lt;=17000, "$13001 - $17000", IF(Table2[[#This Row],[MonthlyIncome]]&lt;=21000, "$17001 - $21000")))))</f>
        <v>$5001 - $9000</v>
      </c>
      <c r="P1020">
        <v>1</v>
      </c>
      <c r="Q1020">
        <v>2</v>
      </c>
      <c r="R1020">
        <v>10</v>
      </c>
      <c r="S10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21" spans="1:19" ht="14.25" x14ac:dyDescent="0.2">
      <c r="A1021">
        <v>50528148</v>
      </c>
      <c r="B1021">
        <v>36</v>
      </c>
      <c r="C1021" t="s">
        <v>20</v>
      </c>
      <c r="D1021" t="s">
        <v>24</v>
      </c>
      <c r="E1021" t="s">
        <v>22</v>
      </c>
      <c r="F1021">
        <f>IF(Table2[[#This Row],[Attrition]]="Yes", 1, 0)</f>
        <v>0</v>
      </c>
      <c r="G1021" t="s">
        <v>21</v>
      </c>
      <c r="H1021" t="s">
        <v>17</v>
      </c>
      <c r="I1021">
        <v>16</v>
      </c>
      <c r="J1021">
        <v>4</v>
      </c>
      <c r="K1021" t="s">
        <v>36</v>
      </c>
      <c r="L1021">
        <v>3</v>
      </c>
      <c r="M1021">
        <v>1</v>
      </c>
      <c r="N1021" s="3">
        <v>5647</v>
      </c>
      <c r="O1021" s="3" t="str">
        <f>IF(Table2[[#This Row],[MonthlyIncome]]&lt;=5000, "$1001 - $5000", IF(Table2[[#This Row],[MonthlyIncome]]&lt;=9000, "$5001 - $9000", IF(Table2[[#This Row],[MonthlyIncome]]&lt;=13000, "$9001 - $13000", IF(Table2[[#This Row],[MonthlyIncome]]&lt;=17000, "$13001 - $17000", IF(Table2[[#This Row],[MonthlyIncome]]&lt;=21000, "$17001 - $21000")))))</f>
        <v>$5001 - $9000</v>
      </c>
      <c r="P1021">
        <v>4</v>
      </c>
      <c r="Q1021">
        <v>2</v>
      </c>
      <c r="R1021">
        <v>3</v>
      </c>
      <c r="S10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22" spans="1:19" ht="14.25" x14ac:dyDescent="0.2">
      <c r="A1022">
        <v>45401323</v>
      </c>
      <c r="B1022">
        <v>47</v>
      </c>
      <c r="C1022" t="s">
        <v>25</v>
      </c>
      <c r="D1022" t="s">
        <v>24</v>
      </c>
      <c r="E1022" t="s">
        <v>22</v>
      </c>
      <c r="F1022">
        <f>IF(Table2[[#This Row],[Attrition]]="Yes", 1, 0)</f>
        <v>0</v>
      </c>
      <c r="G1022" t="s">
        <v>26</v>
      </c>
      <c r="H1022" t="s">
        <v>23</v>
      </c>
      <c r="I1022">
        <v>1</v>
      </c>
      <c r="J1022">
        <v>3</v>
      </c>
      <c r="K1022" t="s">
        <v>37</v>
      </c>
      <c r="L1022">
        <v>1</v>
      </c>
      <c r="M1022">
        <v>4</v>
      </c>
      <c r="N1022" s="3">
        <v>3420</v>
      </c>
      <c r="O1022" s="3" t="str">
        <f>IF(Table2[[#This Row],[MonthlyIncome]]&lt;=5000, "$1001 - $5000", IF(Table2[[#This Row],[MonthlyIncome]]&lt;=9000, "$5001 - $9000", IF(Table2[[#This Row],[MonthlyIncome]]&lt;=13000, "$9001 - $13000", IF(Table2[[#This Row],[MonthlyIncome]]&lt;=17000, "$13001 - $17000", IF(Table2[[#This Row],[MonthlyIncome]]&lt;=21000, "$17001 - $21000")))))</f>
        <v>$1001 - $5000</v>
      </c>
      <c r="P1022">
        <v>7</v>
      </c>
      <c r="Q1022">
        <v>2</v>
      </c>
      <c r="R1022">
        <v>6</v>
      </c>
      <c r="S10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23" spans="1:19" ht="14.25" x14ac:dyDescent="0.2">
      <c r="A1023">
        <v>57466576</v>
      </c>
      <c r="B1023">
        <v>25</v>
      </c>
      <c r="C1023" t="s">
        <v>25</v>
      </c>
      <c r="D1023" t="s">
        <v>24</v>
      </c>
      <c r="E1023" t="s">
        <v>16</v>
      </c>
      <c r="F1023">
        <f>IF(Table2[[#This Row],[Attrition]]="Yes", 1, 0)</f>
        <v>1</v>
      </c>
      <c r="G1023" t="s">
        <v>34</v>
      </c>
      <c r="H1023" t="s">
        <v>17</v>
      </c>
      <c r="I1023">
        <v>9</v>
      </c>
      <c r="J1023">
        <v>2</v>
      </c>
      <c r="K1023" t="s">
        <v>18</v>
      </c>
      <c r="L1023">
        <v>1</v>
      </c>
      <c r="M1023">
        <v>1</v>
      </c>
      <c r="N1023" s="3">
        <v>4400</v>
      </c>
      <c r="O1023" s="3" t="str">
        <f>IF(Table2[[#This Row],[MonthlyIncome]]&lt;=5000, "$1001 - $5000", IF(Table2[[#This Row],[MonthlyIncome]]&lt;=9000, "$5001 - $9000", IF(Table2[[#This Row],[MonthlyIncome]]&lt;=13000, "$9001 - $13000", IF(Table2[[#This Row],[MonthlyIncome]]&lt;=17000, "$13001 - $17000", IF(Table2[[#This Row],[MonthlyIncome]]&lt;=21000, "$17001 - $21000")))))</f>
        <v>$1001 - $5000</v>
      </c>
      <c r="P1023">
        <v>3</v>
      </c>
      <c r="Q1023">
        <v>3</v>
      </c>
      <c r="R1023">
        <v>3</v>
      </c>
      <c r="S10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24" spans="1:19" ht="14.25" x14ac:dyDescent="0.2">
      <c r="A1024">
        <v>30507815</v>
      </c>
      <c r="B1024">
        <v>37</v>
      </c>
      <c r="C1024" t="s">
        <v>25</v>
      </c>
      <c r="D1024" t="s">
        <v>19</v>
      </c>
      <c r="E1024" t="s">
        <v>22</v>
      </c>
      <c r="F1024">
        <f>IF(Table2[[#This Row],[Attrition]]="Yes", 1, 0)</f>
        <v>0</v>
      </c>
      <c r="G1024" t="s">
        <v>28</v>
      </c>
      <c r="H1024" t="s">
        <v>23</v>
      </c>
      <c r="I1024">
        <v>5</v>
      </c>
      <c r="J1024">
        <v>2</v>
      </c>
      <c r="K1024" t="s">
        <v>37</v>
      </c>
      <c r="L1024">
        <v>3</v>
      </c>
      <c r="M1024">
        <v>3</v>
      </c>
      <c r="N1024" s="3">
        <v>3500</v>
      </c>
      <c r="O1024" s="3" t="str">
        <f>IF(Table2[[#This Row],[MonthlyIncome]]&lt;=5000, "$1001 - $5000", IF(Table2[[#This Row],[MonthlyIncome]]&lt;=9000, "$5001 - $9000", IF(Table2[[#This Row],[MonthlyIncome]]&lt;=13000, "$9001 - $13000", IF(Table2[[#This Row],[MonthlyIncome]]&lt;=17000, "$13001 - $17000", IF(Table2[[#This Row],[MonthlyIncome]]&lt;=21000, "$17001 - $21000")))))</f>
        <v>$1001 - $5000</v>
      </c>
      <c r="P1024">
        <v>0</v>
      </c>
      <c r="Q1024">
        <v>1</v>
      </c>
      <c r="R1024">
        <v>6</v>
      </c>
      <c r="S10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25" spans="1:19" ht="14.25" x14ac:dyDescent="0.2">
      <c r="A1025">
        <v>80715264</v>
      </c>
      <c r="B1025">
        <v>56</v>
      </c>
      <c r="C1025" t="s">
        <v>20</v>
      </c>
      <c r="D1025" t="s">
        <v>24</v>
      </c>
      <c r="E1025" t="s">
        <v>22</v>
      </c>
      <c r="F1025">
        <f>IF(Table2[[#This Row],[Attrition]]="Yes", 1, 0)</f>
        <v>0</v>
      </c>
      <c r="G1025" t="s">
        <v>26</v>
      </c>
      <c r="H1025" t="s">
        <v>23</v>
      </c>
      <c r="I1025">
        <v>1</v>
      </c>
      <c r="J1025">
        <v>2</v>
      </c>
      <c r="K1025" t="s">
        <v>18</v>
      </c>
      <c r="L1025">
        <v>1</v>
      </c>
      <c r="M1025">
        <v>1</v>
      </c>
      <c r="N1025" s="3">
        <v>2066</v>
      </c>
      <c r="O1025" s="3" t="str">
        <f>IF(Table2[[#This Row],[MonthlyIncome]]&lt;=5000, "$1001 - $5000", IF(Table2[[#This Row],[MonthlyIncome]]&lt;=9000, "$5001 - $9000", IF(Table2[[#This Row],[MonthlyIncome]]&lt;=13000, "$9001 - $13000", IF(Table2[[#This Row],[MonthlyIncome]]&lt;=17000, "$13001 - $17000", IF(Table2[[#This Row],[MonthlyIncome]]&lt;=21000, "$17001 - $21000")))))</f>
        <v>$1001 - $5000</v>
      </c>
      <c r="P1025">
        <v>2</v>
      </c>
      <c r="Q1025">
        <v>4</v>
      </c>
      <c r="R1025">
        <v>3</v>
      </c>
      <c r="S10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26" spans="1:19" ht="14.25" x14ac:dyDescent="0.2">
      <c r="A1026">
        <v>39910831</v>
      </c>
      <c r="B1026">
        <v>47</v>
      </c>
      <c r="C1026" t="s">
        <v>20</v>
      </c>
      <c r="D1026" t="s">
        <v>24</v>
      </c>
      <c r="E1026" t="s">
        <v>22</v>
      </c>
      <c r="F1026">
        <f>IF(Table2[[#This Row],[Attrition]]="Yes", 1, 0)</f>
        <v>0</v>
      </c>
      <c r="G1026" t="s">
        <v>35</v>
      </c>
      <c r="H1026" t="s">
        <v>23</v>
      </c>
      <c r="I1026">
        <v>2</v>
      </c>
      <c r="J1026">
        <v>4</v>
      </c>
      <c r="K1026" t="s">
        <v>29</v>
      </c>
      <c r="L1026">
        <v>1</v>
      </c>
      <c r="M1026">
        <v>3</v>
      </c>
      <c r="N1026" s="3">
        <v>17169</v>
      </c>
      <c r="O1026" s="3" t="str">
        <f>IF(Table2[[#This Row],[MonthlyIncome]]&lt;=5000, "$1001 - $5000", IF(Table2[[#This Row],[MonthlyIncome]]&lt;=9000, "$5001 - $9000", IF(Table2[[#This Row],[MonthlyIncome]]&lt;=13000, "$9001 - $13000", IF(Table2[[#This Row],[MonthlyIncome]]&lt;=17000, "$13001 - $17000", IF(Table2[[#This Row],[MonthlyIncome]]&lt;=21000, "$17001 - $21000")))))</f>
        <v>$17001 - $21000</v>
      </c>
      <c r="P1026">
        <v>3</v>
      </c>
      <c r="Q1026">
        <v>4</v>
      </c>
      <c r="R1026">
        <v>20</v>
      </c>
      <c r="S10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027" spans="1:19" ht="14.25" x14ac:dyDescent="0.2">
      <c r="A1027">
        <v>49805977</v>
      </c>
      <c r="B1027">
        <v>24</v>
      </c>
      <c r="C1027" t="s">
        <v>20</v>
      </c>
      <c r="D1027" t="s">
        <v>24</v>
      </c>
      <c r="E1027" t="s">
        <v>22</v>
      </c>
      <c r="F1027">
        <f>IF(Table2[[#This Row],[Attrition]]="Yes", 1, 0)</f>
        <v>0</v>
      </c>
      <c r="G1027" t="s">
        <v>21</v>
      </c>
      <c r="H1027" t="s">
        <v>17</v>
      </c>
      <c r="I1027">
        <v>4</v>
      </c>
      <c r="J1027">
        <v>1</v>
      </c>
      <c r="K1027" t="s">
        <v>29</v>
      </c>
      <c r="L1027">
        <v>4</v>
      </c>
      <c r="M1027">
        <v>3</v>
      </c>
      <c r="N1027" s="3">
        <v>4162</v>
      </c>
      <c r="O1027" s="3" t="str">
        <f>IF(Table2[[#This Row],[MonthlyIncome]]&lt;=5000, "$1001 - $5000", IF(Table2[[#This Row],[MonthlyIncome]]&lt;=9000, "$5001 - $9000", IF(Table2[[#This Row],[MonthlyIncome]]&lt;=13000, "$9001 - $13000", IF(Table2[[#This Row],[MonthlyIncome]]&lt;=17000, "$13001 - $17000", IF(Table2[[#This Row],[MonthlyIncome]]&lt;=21000, "$17001 - $21000")))))</f>
        <v>$1001 - $5000</v>
      </c>
      <c r="P1027">
        <v>1</v>
      </c>
      <c r="Q1027">
        <v>3</v>
      </c>
      <c r="R1027">
        <v>5</v>
      </c>
      <c r="S10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28" spans="1:19" ht="14.25" x14ac:dyDescent="0.2">
      <c r="A1028">
        <v>25563708</v>
      </c>
      <c r="B1028">
        <v>32</v>
      </c>
      <c r="C1028" t="s">
        <v>25</v>
      </c>
      <c r="D1028" t="s">
        <v>24</v>
      </c>
      <c r="E1028" t="s">
        <v>22</v>
      </c>
      <c r="F1028">
        <f>IF(Table2[[#This Row],[Attrition]]="Yes", 1, 0)</f>
        <v>0</v>
      </c>
      <c r="G1028" t="s">
        <v>21</v>
      </c>
      <c r="H1028" t="s">
        <v>17</v>
      </c>
      <c r="I1028">
        <v>7</v>
      </c>
      <c r="J1028">
        <v>5</v>
      </c>
      <c r="K1028" t="s">
        <v>36</v>
      </c>
      <c r="L1028">
        <v>4</v>
      </c>
      <c r="M1028">
        <v>4</v>
      </c>
      <c r="N1028" s="3">
        <v>9204</v>
      </c>
      <c r="O1028" s="3" t="str">
        <f>IF(Table2[[#This Row],[MonthlyIncome]]&lt;=5000, "$1001 - $5000", IF(Table2[[#This Row],[MonthlyIncome]]&lt;=9000, "$5001 - $9000", IF(Table2[[#This Row],[MonthlyIncome]]&lt;=13000, "$9001 - $13000", IF(Table2[[#This Row],[MonthlyIncome]]&lt;=17000, "$13001 - $17000", IF(Table2[[#This Row],[MonthlyIncome]]&lt;=21000, "$17001 - $21000")))))</f>
        <v>$9001 - $13000</v>
      </c>
      <c r="P1028">
        <v>4</v>
      </c>
      <c r="Q1028">
        <v>2</v>
      </c>
      <c r="R1028">
        <v>4</v>
      </c>
      <c r="S10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29" spans="1:19" ht="14.25" x14ac:dyDescent="0.2">
      <c r="A1029">
        <v>85573950</v>
      </c>
      <c r="B1029">
        <v>34</v>
      </c>
      <c r="C1029" t="s">
        <v>20</v>
      </c>
      <c r="D1029" t="s">
        <v>24</v>
      </c>
      <c r="E1029" t="s">
        <v>22</v>
      </c>
      <c r="F1029">
        <f>IF(Table2[[#This Row],[Attrition]]="Yes", 1, 0)</f>
        <v>0</v>
      </c>
      <c r="G1029" t="s">
        <v>28</v>
      </c>
      <c r="H1029" t="s">
        <v>23</v>
      </c>
      <c r="I1029">
        <v>1</v>
      </c>
      <c r="J1029">
        <v>3</v>
      </c>
      <c r="K1029" t="s">
        <v>18</v>
      </c>
      <c r="L1029">
        <v>4</v>
      </c>
      <c r="M1029">
        <v>2</v>
      </c>
      <c r="N1029" s="3">
        <v>3294</v>
      </c>
      <c r="O1029" s="3" t="str">
        <f>IF(Table2[[#This Row],[MonthlyIncome]]&lt;=5000, "$1001 - $5000", IF(Table2[[#This Row],[MonthlyIncome]]&lt;=9000, "$5001 - $9000", IF(Table2[[#This Row],[MonthlyIncome]]&lt;=13000, "$9001 - $13000", IF(Table2[[#This Row],[MonthlyIncome]]&lt;=17000, "$13001 - $17000", IF(Table2[[#This Row],[MonthlyIncome]]&lt;=21000, "$17001 - $21000")))))</f>
        <v>$1001 - $5000</v>
      </c>
      <c r="P1029">
        <v>5</v>
      </c>
      <c r="Q1029">
        <v>2</v>
      </c>
      <c r="R1029">
        <v>5</v>
      </c>
      <c r="S10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30" spans="1:19" ht="14.25" x14ac:dyDescent="0.2">
      <c r="A1030">
        <v>55401968</v>
      </c>
      <c r="B1030">
        <v>41</v>
      </c>
      <c r="C1030" t="s">
        <v>25</v>
      </c>
      <c r="D1030" t="s">
        <v>24</v>
      </c>
      <c r="E1030" t="s">
        <v>22</v>
      </c>
      <c r="F1030">
        <f>IF(Table2[[#This Row],[Attrition]]="Yes", 1, 0)</f>
        <v>0</v>
      </c>
      <c r="G1030" t="s">
        <v>26</v>
      </c>
      <c r="H1030" t="s">
        <v>23</v>
      </c>
      <c r="I1030">
        <v>5</v>
      </c>
      <c r="J1030">
        <v>5</v>
      </c>
      <c r="K1030" t="s">
        <v>29</v>
      </c>
      <c r="L1030">
        <v>2</v>
      </c>
      <c r="M1030">
        <v>3</v>
      </c>
      <c r="N1030" s="3">
        <v>2127</v>
      </c>
      <c r="O1030" s="3" t="str">
        <f>IF(Table2[[#This Row],[MonthlyIncome]]&lt;=5000, "$1001 - $5000", IF(Table2[[#This Row],[MonthlyIncome]]&lt;=9000, "$5001 - $9000", IF(Table2[[#This Row],[MonthlyIncome]]&lt;=13000, "$9001 - $13000", IF(Table2[[#This Row],[MonthlyIncome]]&lt;=17000, "$13001 - $17000", IF(Table2[[#This Row],[MonthlyIncome]]&lt;=21000, "$17001 - $21000")))))</f>
        <v>$1001 - $5000</v>
      </c>
      <c r="P1030">
        <v>2</v>
      </c>
      <c r="Q1030">
        <v>2</v>
      </c>
      <c r="R1030">
        <v>4</v>
      </c>
      <c r="S10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31" spans="1:19" ht="14.25" x14ac:dyDescent="0.2">
      <c r="A1031">
        <v>80793122</v>
      </c>
      <c r="B1031">
        <v>40</v>
      </c>
      <c r="C1031" t="s">
        <v>25</v>
      </c>
      <c r="D1031" t="s">
        <v>30</v>
      </c>
      <c r="E1031" t="s">
        <v>22</v>
      </c>
      <c r="F1031">
        <f>IF(Table2[[#This Row],[Attrition]]="Yes", 1, 0)</f>
        <v>0</v>
      </c>
      <c r="G1031" t="s">
        <v>28</v>
      </c>
      <c r="H1031" t="s">
        <v>23</v>
      </c>
      <c r="I1031">
        <v>9</v>
      </c>
      <c r="J1031">
        <v>4</v>
      </c>
      <c r="K1031" t="s">
        <v>27</v>
      </c>
      <c r="L1031">
        <v>3</v>
      </c>
      <c r="M1031">
        <v>3</v>
      </c>
      <c r="N1031" s="3">
        <v>3975</v>
      </c>
      <c r="O1031" s="3" t="str">
        <f>IF(Table2[[#This Row],[MonthlyIncome]]&lt;=5000, "$1001 - $5000", IF(Table2[[#This Row],[MonthlyIncome]]&lt;=9000, "$5001 - $9000", IF(Table2[[#This Row],[MonthlyIncome]]&lt;=13000, "$9001 - $13000", IF(Table2[[#This Row],[MonthlyIncome]]&lt;=17000, "$13001 - $17000", IF(Table2[[#This Row],[MonthlyIncome]]&lt;=21000, "$17001 - $21000")))))</f>
        <v>$1001 - $5000</v>
      </c>
      <c r="P1031">
        <v>3</v>
      </c>
      <c r="Q1031">
        <v>4</v>
      </c>
      <c r="R1031">
        <v>8</v>
      </c>
      <c r="S10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32" spans="1:19" ht="14.25" x14ac:dyDescent="0.2">
      <c r="A1032">
        <v>50917065</v>
      </c>
      <c r="B1032">
        <v>31</v>
      </c>
      <c r="C1032" t="s">
        <v>25</v>
      </c>
      <c r="D1032" t="s">
        <v>30</v>
      </c>
      <c r="E1032" t="s">
        <v>22</v>
      </c>
      <c r="F1032">
        <f>IF(Table2[[#This Row],[Attrition]]="Yes", 1, 0)</f>
        <v>0</v>
      </c>
      <c r="G1032" t="s">
        <v>21</v>
      </c>
      <c r="H1032" t="s">
        <v>17</v>
      </c>
      <c r="I1032">
        <v>8</v>
      </c>
      <c r="J1032">
        <v>2</v>
      </c>
      <c r="K1032" t="s">
        <v>18</v>
      </c>
      <c r="L1032">
        <v>1</v>
      </c>
      <c r="M1032">
        <v>4</v>
      </c>
      <c r="N1032" s="3">
        <v>10793</v>
      </c>
      <c r="O1032" s="3" t="str">
        <f>IF(Table2[[#This Row],[MonthlyIncome]]&lt;=5000, "$1001 - $5000", IF(Table2[[#This Row],[MonthlyIncome]]&lt;=9000, "$5001 - $9000", IF(Table2[[#This Row],[MonthlyIncome]]&lt;=13000, "$9001 - $13000", IF(Table2[[#This Row],[MonthlyIncome]]&lt;=17000, "$13001 - $17000", IF(Table2[[#This Row],[MonthlyIncome]]&lt;=21000, "$17001 - $21000")))))</f>
        <v>$9001 - $13000</v>
      </c>
      <c r="P1032">
        <v>1</v>
      </c>
      <c r="Q1032">
        <v>3</v>
      </c>
      <c r="R1032">
        <v>13</v>
      </c>
      <c r="S10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33" spans="1:19" ht="14.25" x14ac:dyDescent="0.2">
      <c r="A1033">
        <v>36506988</v>
      </c>
      <c r="B1033">
        <v>46</v>
      </c>
      <c r="C1033" t="s">
        <v>25</v>
      </c>
      <c r="D1033" t="s">
        <v>30</v>
      </c>
      <c r="E1033" t="s">
        <v>16</v>
      </c>
      <c r="F1033">
        <f>IF(Table2[[#This Row],[Attrition]]="Yes", 1, 0)</f>
        <v>1</v>
      </c>
      <c r="G1033" t="s">
        <v>21</v>
      </c>
      <c r="H1033" t="s">
        <v>17</v>
      </c>
      <c r="I1033">
        <v>9</v>
      </c>
      <c r="J1033">
        <v>3</v>
      </c>
      <c r="K1033" t="s">
        <v>36</v>
      </c>
      <c r="L1033">
        <v>1</v>
      </c>
      <c r="M1033">
        <v>4</v>
      </c>
      <c r="N1033" s="3">
        <v>10096</v>
      </c>
      <c r="O1033" s="3" t="str">
        <f>IF(Table2[[#This Row],[MonthlyIncome]]&lt;=5000, "$1001 - $5000", IF(Table2[[#This Row],[MonthlyIncome]]&lt;=9000, "$5001 - $9000", IF(Table2[[#This Row],[MonthlyIncome]]&lt;=13000, "$9001 - $13000", IF(Table2[[#This Row],[MonthlyIncome]]&lt;=17000, "$13001 - $17000", IF(Table2[[#This Row],[MonthlyIncome]]&lt;=21000, "$17001 - $21000")))))</f>
        <v>$9001 - $13000</v>
      </c>
      <c r="P1033">
        <v>4</v>
      </c>
      <c r="Q1033">
        <v>4</v>
      </c>
      <c r="R1033">
        <v>7</v>
      </c>
      <c r="S10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34" spans="1:19" ht="14.25" x14ac:dyDescent="0.2">
      <c r="A1034">
        <v>15165061</v>
      </c>
      <c r="B1034">
        <v>39</v>
      </c>
      <c r="C1034" t="s">
        <v>20</v>
      </c>
      <c r="D1034" t="s">
        <v>19</v>
      </c>
      <c r="E1034" t="s">
        <v>16</v>
      </c>
      <c r="F1034">
        <f>IF(Table2[[#This Row],[Attrition]]="Yes", 1, 0)</f>
        <v>1</v>
      </c>
      <c r="G1034" t="s">
        <v>28</v>
      </c>
      <c r="H1034" t="s">
        <v>23</v>
      </c>
      <c r="I1034">
        <v>2</v>
      </c>
      <c r="J1034">
        <v>3</v>
      </c>
      <c r="K1034" t="s">
        <v>18</v>
      </c>
      <c r="L1034">
        <v>1</v>
      </c>
      <c r="M1034">
        <v>1</v>
      </c>
      <c r="N1034" s="3">
        <v>3646</v>
      </c>
      <c r="O1034" s="3" t="str">
        <f>IF(Table2[[#This Row],[MonthlyIncome]]&lt;=5000, "$1001 - $5000", IF(Table2[[#This Row],[MonthlyIncome]]&lt;=9000, "$5001 - $9000", IF(Table2[[#This Row],[MonthlyIncome]]&lt;=13000, "$9001 - $13000", IF(Table2[[#This Row],[MonthlyIncome]]&lt;=17000, "$13001 - $17000", IF(Table2[[#This Row],[MonthlyIncome]]&lt;=21000, "$17001 - $21000")))))</f>
        <v>$1001 - $5000</v>
      </c>
      <c r="P1034">
        <v>2</v>
      </c>
      <c r="Q1034">
        <v>4</v>
      </c>
      <c r="R1034">
        <v>1</v>
      </c>
      <c r="S10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35" spans="1:19" ht="14.25" x14ac:dyDescent="0.2">
      <c r="A1035">
        <v>70002709</v>
      </c>
      <c r="B1035">
        <v>31</v>
      </c>
      <c r="C1035" t="s">
        <v>20</v>
      </c>
      <c r="D1035" t="s">
        <v>19</v>
      </c>
      <c r="E1035" t="s">
        <v>16</v>
      </c>
      <c r="F1035">
        <f>IF(Table2[[#This Row],[Attrition]]="Yes", 1, 0)</f>
        <v>1</v>
      </c>
      <c r="G1035" t="s">
        <v>31</v>
      </c>
      <c r="H1035" t="s">
        <v>23</v>
      </c>
      <c r="I1035">
        <v>1</v>
      </c>
      <c r="J1035">
        <v>5</v>
      </c>
      <c r="K1035" t="s">
        <v>18</v>
      </c>
      <c r="L1035">
        <v>3</v>
      </c>
      <c r="M1035">
        <v>2</v>
      </c>
      <c r="N1035" s="3">
        <v>7446</v>
      </c>
      <c r="O1035" s="3" t="str">
        <f>IF(Table2[[#This Row],[MonthlyIncome]]&lt;=5000, "$1001 - $5000", IF(Table2[[#This Row],[MonthlyIncome]]&lt;=9000, "$5001 - $9000", IF(Table2[[#This Row],[MonthlyIncome]]&lt;=13000, "$9001 - $13000", IF(Table2[[#This Row],[MonthlyIncome]]&lt;=17000, "$13001 - $17000", IF(Table2[[#This Row],[MonthlyIncome]]&lt;=21000, "$17001 - $21000")))))</f>
        <v>$5001 - $9000</v>
      </c>
      <c r="P1035">
        <v>1</v>
      </c>
      <c r="Q1035">
        <v>3</v>
      </c>
      <c r="R1035">
        <v>10</v>
      </c>
      <c r="S10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36" spans="1:19" ht="14.25" x14ac:dyDescent="0.2">
      <c r="A1036">
        <v>84707186</v>
      </c>
      <c r="B1036">
        <v>45</v>
      </c>
      <c r="C1036" t="s">
        <v>25</v>
      </c>
      <c r="D1036" t="s">
        <v>30</v>
      </c>
      <c r="E1036" t="s">
        <v>22</v>
      </c>
      <c r="F1036">
        <f>IF(Table2[[#This Row],[Attrition]]="Yes", 1, 0)</f>
        <v>0</v>
      </c>
      <c r="G1036" t="s">
        <v>32</v>
      </c>
      <c r="H1036" t="s">
        <v>23</v>
      </c>
      <c r="I1036">
        <v>20</v>
      </c>
      <c r="J1036">
        <v>3</v>
      </c>
      <c r="K1036" t="s">
        <v>29</v>
      </c>
      <c r="L1036">
        <v>2</v>
      </c>
      <c r="M1036">
        <v>1</v>
      </c>
      <c r="N1036" s="3">
        <v>10851</v>
      </c>
      <c r="O1036" s="3" t="str">
        <f>IF(Table2[[#This Row],[MonthlyIncome]]&lt;=5000, "$1001 - $5000", IF(Table2[[#This Row],[MonthlyIncome]]&lt;=9000, "$5001 - $9000", IF(Table2[[#This Row],[MonthlyIncome]]&lt;=13000, "$9001 - $13000", IF(Table2[[#This Row],[MonthlyIncome]]&lt;=17000, "$13001 - $17000", IF(Table2[[#This Row],[MonthlyIncome]]&lt;=21000, "$17001 - $21000")))))</f>
        <v>$9001 - $13000</v>
      </c>
      <c r="P1036">
        <v>2</v>
      </c>
      <c r="Q1036">
        <v>3</v>
      </c>
      <c r="R1036">
        <v>7</v>
      </c>
      <c r="S10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37" spans="1:19" ht="14.25" x14ac:dyDescent="0.2">
      <c r="A1037">
        <v>29913706</v>
      </c>
      <c r="B1037">
        <v>31</v>
      </c>
      <c r="C1037" t="s">
        <v>20</v>
      </c>
      <c r="D1037" t="s">
        <v>19</v>
      </c>
      <c r="E1037" t="s">
        <v>22</v>
      </c>
      <c r="F1037">
        <f>IF(Table2[[#This Row],[Attrition]]="Yes", 1, 0)</f>
        <v>0</v>
      </c>
      <c r="G1037" t="s">
        <v>38</v>
      </c>
      <c r="H1037" t="s">
        <v>38</v>
      </c>
      <c r="I1037">
        <v>8</v>
      </c>
      <c r="J1037">
        <v>2</v>
      </c>
      <c r="K1037" t="s">
        <v>29</v>
      </c>
      <c r="L1037">
        <v>4</v>
      </c>
      <c r="M1037">
        <v>2</v>
      </c>
      <c r="N1037" s="3">
        <v>2109</v>
      </c>
      <c r="O1037" s="3" t="str">
        <f>IF(Table2[[#This Row],[MonthlyIncome]]&lt;=5000, "$1001 - $5000", IF(Table2[[#This Row],[MonthlyIncome]]&lt;=9000, "$5001 - $9000", IF(Table2[[#This Row],[MonthlyIncome]]&lt;=13000, "$9001 - $13000", IF(Table2[[#This Row],[MonthlyIncome]]&lt;=17000, "$13001 - $17000", IF(Table2[[#This Row],[MonthlyIncome]]&lt;=21000, "$17001 - $21000")))))</f>
        <v>$1001 - $5000</v>
      </c>
      <c r="P1037">
        <v>9</v>
      </c>
      <c r="Q1037">
        <v>3</v>
      </c>
      <c r="R1037">
        <v>3</v>
      </c>
      <c r="S10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38" spans="1:19" ht="14.25" x14ac:dyDescent="0.2">
      <c r="A1038">
        <v>45129504</v>
      </c>
      <c r="B1038">
        <v>31</v>
      </c>
      <c r="C1038" t="s">
        <v>25</v>
      </c>
      <c r="D1038" t="s">
        <v>24</v>
      </c>
      <c r="E1038" t="s">
        <v>16</v>
      </c>
      <c r="F1038">
        <f>IF(Table2[[#This Row],[Attrition]]="Yes", 1, 0)</f>
        <v>1</v>
      </c>
      <c r="G1038" t="s">
        <v>28</v>
      </c>
      <c r="H1038" t="s">
        <v>23</v>
      </c>
      <c r="I1038">
        <v>2</v>
      </c>
      <c r="J1038">
        <v>3</v>
      </c>
      <c r="K1038" t="s">
        <v>18</v>
      </c>
      <c r="L1038">
        <v>2</v>
      </c>
      <c r="M1038">
        <v>4</v>
      </c>
      <c r="N1038" s="3">
        <v>3722</v>
      </c>
      <c r="O1038" s="3" t="str">
        <f>IF(Table2[[#This Row],[MonthlyIncome]]&lt;=5000, "$1001 - $5000", IF(Table2[[#This Row],[MonthlyIncome]]&lt;=9000, "$5001 - $9000", IF(Table2[[#This Row],[MonthlyIncome]]&lt;=13000, "$9001 - $13000", IF(Table2[[#This Row],[MonthlyIncome]]&lt;=17000, "$13001 - $17000", IF(Table2[[#This Row],[MonthlyIncome]]&lt;=21000, "$17001 - $21000")))))</f>
        <v>$1001 - $5000</v>
      </c>
      <c r="P1038">
        <v>6</v>
      </c>
      <c r="Q1038">
        <v>1</v>
      </c>
      <c r="R1038">
        <v>2</v>
      </c>
      <c r="S10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39" spans="1:19" ht="14.25" x14ac:dyDescent="0.2">
      <c r="A1039">
        <v>74868300</v>
      </c>
      <c r="B1039">
        <v>45</v>
      </c>
      <c r="C1039" t="s">
        <v>25</v>
      </c>
      <c r="D1039" t="s">
        <v>24</v>
      </c>
      <c r="E1039" t="s">
        <v>22</v>
      </c>
      <c r="F1039">
        <f>IF(Table2[[#This Row],[Attrition]]="Yes", 1, 0)</f>
        <v>0</v>
      </c>
      <c r="G1039" t="s">
        <v>31</v>
      </c>
      <c r="H1039" t="s">
        <v>23</v>
      </c>
      <c r="I1039">
        <v>29</v>
      </c>
      <c r="J1039">
        <v>3</v>
      </c>
      <c r="K1039" t="s">
        <v>37</v>
      </c>
      <c r="L1039">
        <v>2</v>
      </c>
      <c r="M1039">
        <v>4</v>
      </c>
      <c r="N1039" s="3">
        <v>9380</v>
      </c>
      <c r="O1039" s="3" t="str">
        <f>IF(Table2[[#This Row],[MonthlyIncome]]&lt;=5000, "$1001 - $5000", IF(Table2[[#This Row],[MonthlyIncome]]&lt;=9000, "$5001 - $9000", IF(Table2[[#This Row],[MonthlyIncome]]&lt;=13000, "$9001 - $13000", IF(Table2[[#This Row],[MonthlyIncome]]&lt;=17000, "$13001 - $17000", IF(Table2[[#This Row],[MonthlyIncome]]&lt;=21000, "$17001 - $21000")))))</f>
        <v>$9001 - $13000</v>
      </c>
      <c r="P1039">
        <v>4</v>
      </c>
      <c r="Q1039">
        <v>4</v>
      </c>
      <c r="R1039">
        <v>3</v>
      </c>
      <c r="S10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40" spans="1:19" ht="14.25" x14ac:dyDescent="0.2">
      <c r="A1040">
        <v>58272662</v>
      </c>
      <c r="B1040">
        <v>48</v>
      </c>
      <c r="C1040" t="s">
        <v>25</v>
      </c>
      <c r="D1040" t="s">
        <v>30</v>
      </c>
      <c r="E1040" t="s">
        <v>22</v>
      </c>
      <c r="F1040">
        <f>IF(Table2[[#This Row],[Attrition]]="Yes", 1, 0)</f>
        <v>0</v>
      </c>
      <c r="G1040" t="s">
        <v>21</v>
      </c>
      <c r="H1040" t="s">
        <v>17</v>
      </c>
      <c r="I1040">
        <v>7</v>
      </c>
      <c r="J1040">
        <v>3</v>
      </c>
      <c r="K1040" t="s">
        <v>36</v>
      </c>
      <c r="L1040">
        <v>3</v>
      </c>
      <c r="M1040">
        <v>1</v>
      </c>
      <c r="N1040" s="3">
        <v>5486</v>
      </c>
      <c r="O1040" s="3" t="str">
        <f>IF(Table2[[#This Row],[MonthlyIncome]]&lt;=5000, "$1001 - $5000", IF(Table2[[#This Row],[MonthlyIncome]]&lt;=9000, "$5001 - $9000", IF(Table2[[#This Row],[MonthlyIncome]]&lt;=13000, "$9001 - $13000", IF(Table2[[#This Row],[MonthlyIncome]]&lt;=17000, "$13001 - $17000", IF(Table2[[#This Row],[MonthlyIncome]]&lt;=21000, "$17001 - $21000")))))</f>
        <v>$5001 - $9000</v>
      </c>
      <c r="P1040">
        <v>4</v>
      </c>
      <c r="Q1040">
        <v>3</v>
      </c>
      <c r="R1040">
        <v>2</v>
      </c>
      <c r="S10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41" spans="1:19" ht="14.25" x14ac:dyDescent="0.2">
      <c r="A1041">
        <v>87416536</v>
      </c>
      <c r="B1041">
        <v>34</v>
      </c>
      <c r="C1041" t="s">
        <v>20</v>
      </c>
      <c r="D1041" t="s">
        <v>24</v>
      </c>
      <c r="E1041" t="s">
        <v>16</v>
      </c>
      <c r="F1041">
        <f>IF(Table2[[#This Row],[Attrition]]="Yes", 1, 0)</f>
        <v>1</v>
      </c>
      <c r="G1041" t="s">
        <v>38</v>
      </c>
      <c r="H1041" t="s">
        <v>38</v>
      </c>
      <c r="I1041">
        <v>9</v>
      </c>
      <c r="J1041">
        <v>4</v>
      </c>
      <c r="K1041" t="s">
        <v>37</v>
      </c>
      <c r="L1041">
        <v>1</v>
      </c>
      <c r="M1041">
        <v>3</v>
      </c>
      <c r="N1041" s="3">
        <v>2742</v>
      </c>
      <c r="O1041" s="3" t="str">
        <f>IF(Table2[[#This Row],[MonthlyIncome]]&lt;=5000, "$1001 - $5000", IF(Table2[[#This Row],[MonthlyIncome]]&lt;=9000, "$5001 - $9000", IF(Table2[[#This Row],[MonthlyIncome]]&lt;=13000, "$9001 - $13000", IF(Table2[[#This Row],[MonthlyIncome]]&lt;=17000, "$13001 - $17000", IF(Table2[[#This Row],[MonthlyIncome]]&lt;=21000, "$17001 - $21000")))))</f>
        <v>$1001 - $5000</v>
      </c>
      <c r="P1041">
        <v>1</v>
      </c>
      <c r="Q1041">
        <v>3</v>
      </c>
      <c r="R1041">
        <v>2</v>
      </c>
      <c r="S10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42" spans="1:19" ht="14.25" x14ac:dyDescent="0.2">
      <c r="A1042">
        <v>53484219</v>
      </c>
      <c r="B1042">
        <v>40</v>
      </c>
      <c r="C1042" t="s">
        <v>25</v>
      </c>
      <c r="D1042" t="s">
        <v>30</v>
      </c>
      <c r="E1042" t="s">
        <v>22</v>
      </c>
      <c r="F1042">
        <f>IF(Table2[[#This Row],[Attrition]]="Yes", 1, 0)</f>
        <v>0</v>
      </c>
      <c r="G1042" t="s">
        <v>35</v>
      </c>
      <c r="H1042" t="s">
        <v>23</v>
      </c>
      <c r="I1042">
        <v>8</v>
      </c>
      <c r="J1042">
        <v>1</v>
      </c>
      <c r="K1042" t="s">
        <v>29</v>
      </c>
      <c r="L1042">
        <v>4</v>
      </c>
      <c r="M1042">
        <v>2</v>
      </c>
      <c r="N1042" s="3">
        <v>13757</v>
      </c>
      <c r="O1042" s="3" t="str">
        <f>IF(Table2[[#This Row],[MonthlyIncome]]&lt;=5000, "$1001 - $5000", IF(Table2[[#This Row],[MonthlyIncome]]&lt;=9000, "$5001 - $9000", IF(Table2[[#This Row],[MonthlyIncome]]&lt;=13000, "$9001 - $13000", IF(Table2[[#This Row],[MonthlyIncome]]&lt;=17000, "$13001 - $17000", IF(Table2[[#This Row],[MonthlyIncome]]&lt;=21000, "$17001 - $21000")))))</f>
        <v>$13001 - $17000</v>
      </c>
      <c r="P1042">
        <v>2</v>
      </c>
      <c r="Q1042">
        <v>3</v>
      </c>
      <c r="R1042">
        <v>9</v>
      </c>
      <c r="S10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43" spans="1:19" ht="14.25" x14ac:dyDescent="0.2">
      <c r="A1043">
        <v>66731420</v>
      </c>
      <c r="B1043">
        <v>28</v>
      </c>
      <c r="C1043" t="s">
        <v>25</v>
      </c>
      <c r="D1043" t="s">
        <v>19</v>
      </c>
      <c r="E1043" t="s">
        <v>22</v>
      </c>
      <c r="F1043">
        <f>IF(Table2[[#This Row],[Attrition]]="Yes", 1, 0)</f>
        <v>0</v>
      </c>
      <c r="G1043" t="s">
        <v>21</v>
      </c>
      <c r="H1043" t="s">
        <v>17</v>
      </c>
      <c r="I1043">
        <v>5</v>
      </c>
      <c r="J1043">
        <v>3</v>
      </c>
      <c r="K1043" t="s">
        <v>29</v>
      </c>
      <c r="L1043">
        <v>4</v>
      </c>
      <c r="M1043">
        <v>1</v>
      </c>
      <c r="N1043" s="3">
        <v>8463</v>
      </c>
      <c r="O1043" s="3" t="str">
        <f>IF(Table2[[#This Row],[MonthlyIncome]]&lt;=5000, "$1001 - $5000", IF(Table2[[#This Row],[MonthlyIncome]]&lt;=9000, "$5001 - $9000", IF(Table2[[#This Row],[MonthlyIncome]]&lt;=13000, "$9001 - $13000", IF(Table2[[#This Row],[MonthlyIncome]]&lt;=17000, "$13001 - $17000", IF(Table2[[#This Row],[MonthlyIncome]]&lt;=21000, "$17001 - $21000")))))</f>
        <v>$5001 - $9000</v>
      </c>
      <c r="P1043">
        <v>0</v>
      </c>
      <c r="Q1043">
        <v>3</v>
      </c>
      <c r="R1043">
        <v>5</v>
      </c>
      <c r="S10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44" spans="1:19" ht="14.25" x14ac:dyDescent="0.2">
      <c r="A1044">
        <v>45714828</v>
      </c>
      <c r="B1044">
        <v>44</v>
      </c>
      <c r="C1044" t="s">
        <v>25</v>
      </c>
      <c r="D1044" t="s">
        <v>19</v>
      </c>
      <c r="E1044" t="s">
        <v>22</v>
      </c>
      <c r="F1044">
        <f>IF(Table2[[#This Row],[Attrition]]="Yes", 1, 0)</f>
        <v>0</v>
      </c>
      <c r="G1044" t="s">
        <v>28</v>
      </c>
      <c r="H1044" t="s">
        <v>23</v>
      </c>
      <c r="I1044">
        <v>5</v>
      </c>
      <c r="J1044">
        <v>3</v>
      </c>
      <c r="K1044" t="s">
        <v>18</v>
      </c>
      <c r="L1044">
        <v>3</v>
      </c>
      <c r="M1044">
        <v>3</v>
      </c>
      <c r="N1044" s="3">
        <v>3162</v>
      </c>
      <c r="O1044" s="3" t="str">
        <f>IF(Table2[[#This Row],[MonthlyIncome]]&lt;=5000, "$1001 - $5000", IF(Table2[[#This Row],[MonthlyIncome]]&lt;=9000, "$5001 - $9000", IF(Table2[[#This Row],[MonthlyIncome]]&lt;=13000, "$9001 - $13000", IF(Table2[[#This Row],[MonthlyIncome]]&lt;=17000, "$13001 - $17000", IF(Table2[[#This Row],[MonthlyIncome]]&lt;=21000, "$17001 - $21000")))))</f>
        <v>$1001 - $5000</v>
      </c>
      <c r="P1044">
        <v>3</v>
      </c>
      <c r="Q1044">
        <v>3</v>
      </c>
      <c r="R1044">
        <v>5</v>
      </c>
      <c r="S10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45" spans="1:19" ht="14.25" x14ac:dyDescent="0.2">
      <c r="A1045">
        <v>31316152</v>
      </c>
      <c r="B1045">
        <v>53</v>
      </c>
      <c r="C1045" t="s">
        <v>25</v>
      </c>
      <c r="D1045" t="s">
        <v>19</v>
      </c>
      <c r="E1045" t="s">
        <v>22</v>
      </c>
      <c r="F1045">
        <f>IF(Table2[[#This Row],[Attrition]]="Yes", 1, 0)</f>
        <v>0</v>
      </c>
      <c r="G1045" t="s">
        <v>35</v>
      </c>
      <c r="H1045" t="s">
        <v>23</v>
      </c>
      <c r="I1045">
        <v>2</v>
      </c>
      <c r="J1045">
        <v>3</v>
      </c>
      <c r="K1045" t="s">
        <v>29</v>
      </c>
      <c r="L1045">
        <v>4</v>
      </c>
      <c r="M1045">
        <v>2</v>
      </c>
      <c r="N1045" s="3">
        <v>16598</v>
      </c>
      <c r="O1045" s="3" t="str">
        <f>IF(Table2[[#This Row],[MonthlyIncome]]&lt;=5000, "$1001 - $5000", IF(Table2[[#This Row],[MonthlyIncome]]&lt;=9000, "$5001 - $9000", IF(Table2[[#This Row],[MonthlyIncome]]&lt;=13000, "$9001 - $13000", IF(Table2[[#This Row],[MonthlyIncome]]&lt;=17000, "$13001 - $17000", IF(Table2[[#This Row],[MonthlyIncome]]&lt;=21000, "$17001 - $21000")))))</f>
        <v>$13001 - $17000</v>
      </c>
      <c r="P1045">
        <v>4</v>
      </c>
      <c r="Q1045">
        <v>2</v>
      </c>
      <c r="R1045">
        <v>9</v>
      </c>
      <c r="S10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46" spans="1:19" ht="14.25" x14ac:dyDescent="0.2">
      <c r="A1046">
        <v>86971918</v>
      </c>
      <c r="B1046">
        <v>49</v>
      </c>
      <c r="C1046" t="s">
        <v>25</v>
      </c>
      <c r="D1046" t="s">
        <v>24</v>
      </c>
      <c r="E1046" t="s">
        <v>22</v>
      </c>
      <c r="F1046">
        <f>IF(Table2[[#This Row],[Attrition]]="Yes", 1, 0)</f>
        <v>0</v>
      </c>
      <c r="G1046" t="s">
        <v>32</v>
      </c>
      <c r="H1046" t="s">
        <v>23</v>
      </c>
      <c r="I1046">
        <v>5</v>
      </c>
      <c r="J1046">
        <v>4</v>
      </c>
      <c r="K1046" t="s">
        <v>37</v>
      </c>
      <c r="L1046">
        <v>1</v>
      </c>
      <c r="M1046">
        <v>3</v>
      </c>
      <c r="N1046" s="3">
        <v>6651</v>
      </c>
      <c r="O1046" s="3" t="str">
        <f>IF(Table2[[#This Row],[MonthlyIncome]]&lt;=5000, "$1001 - $5000", IF(Table2[[#This Row],[MonthlyIncome]]&lt;=9000, "$5001 - $9000", IF(Table2[[#This Row],[MonthlyIncome]]&lt;=13000, "$9001 - $13000", IF(Table2[[#This Row],[MonthlyIncome]]&lt;=17000, "$13001 - $17000", IF(Table2[[#This Row],[MonthlyIncome]]&lt;=21000, "$17001 - $21000")))))</f>
        <v>$5001 - $9000</v>
      </c>
      <c r="P1046">
        <v>2</v>
      </c>
      <c r="Q1046">
        <v>2</v>
      </c>
      <c r="R1046">
        <v>3</v>
      </c>
      <c r="S10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47" spans="1:19" ht="14.25" x14ac:dyDescent="0.2">
      <c r="A1047">
        <v>19934768</v>
      </c>
      <c r="B1047">
        <v>40</v>
      </c>
      <c r="C1047" t="s">
        <v>25</v>
      </c>
      <c r="D1047" t="s">
        <v>30</v>
      </c>
      <c r="E1047" t="s">
        <v>22</v>
      </c>
      <c r="F1047">
        <f>IF(Table2[[#This Row],[Attrition]]="Yes", 1, 0)</f>
        <v>0</v>
      </c>
      <c r="G1047" t="s">
        <v>26</v>
      </c>
      <c r="H1047" t="s">
        <v>23</v>
      </c>
      <c r="I1047">
        <v>2</v>
      </c>
      <c r="J1047">
        <v>3</v>
      </c>
      <c r="K1047" t="s">
        <v>29</v>
      </c>
      <c r="L1047">
        <v>3</v>
      </c>
      <c r="M1047">
        <v>3</v>
      </c>
      <c r="N1047" s="3">
        <v>2345</v>
      </c>
      <c r="O1047" s="3" t="str">
        <f>IF(Table2[[#This Row],[MonthlyIncome]]&lt;=5000, "$1001 - $5000", IF(Table2[[#This Row],[MonthlyIncome]]&lt;=9000, "$5001 - $9000", IF(Table2[[#This Row],[MonthlyIncome]]&lt;=13000, "$9001 - $13000", IF(Table2[[#This Row],[MonthlyIncome]]&lt;=17000, "$13001 - $17000", IF(Table2[[#This Row],[MonthlyIncome]]&lt;=21000, "$17001 - $21000")))))</f>
        <v>$1001 - $5000</v>
      </c>
      <c r="P1047">
        <v>2</v>
      </c>
      <c r="Q1047">
        <v>4</v>
      </c>
      <c r="R1047">
        <v>3</v>
      </c>
      <c r="S10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48" spans="1:19" ht="14.25" x14ac:dyDescent="0.2">
      <c r="A1048">
        <v>34714944</v>
      </c>
      <c r="B1048">
        <v>44</v>
      </c>
      <c r="C1048" t="s">
        <v>25</v>
      </c>
      <c r="D1048" t="s">
        <v>19</v>
      </c>
      <c r="E1048" t="s">
        <v>22</v>
      </c>
      <c r="F1048">
        <f>IF(Table2[[#This Row],[Attrition]]="Yes", 1, 0)</f>
        <v>0</v>
      </c>
      <c r="G1048" t="s">
        <v>26</v>
      </c>
      <c r="H1048" t="s">
        <v>23</v>
      </c>
      <c r="I1048">
        <v>20</v>
      </c>
      <c r="J1048">
        <v>3</v>
      </c>
      <c r="K1048" t="s">
        <v>18</v>
      </c>
      <c r="L1048">
        <v>4</v>
      </c>
      <c r="M1048">
        <v>2</v>
      </c>
      <c r="N1048" s="3">
        <v>3420</v>
      </c>
      <c r="O1048" s="3" t="str">
        <f>IF(Table2[[#This Row],[MonthlyIncome]]&lt;=5000, "$1001 - $5000", IF(Table2[[#This Row],[MonthlyIncome]]&lt;=9000, "$5001 - $9000", IF(Table2[[#This Row],[MonthlyIncome]]&lt;=13000, "$9001 - $13000", IF(Table2[[#This Row],[MonthlyIncome]]&lt;=17000, "$13001 - $17000", IF(Table2[[#This Row],[MonthlyIncome]]&lt;=21000, "$17001 - $21000")))))</f>
        <v>$1001 - $5000</v>
      </c>
      <c r="P1048">
        <v>1</v>
      </c>
      <c r="Q1048">
        <v>2</v>
      </c>
      <c r="R1048">
        <v>5</v>
      </c>
      <c r="S10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49" spans="1:19" ht="14.25" x14ac:dyDescent="0.2">
      <c r="A1049">
        <v>51449380</v>
      </c>
      <c r="B1049">
        <v>33</v>
      </c>
      <c r="C1049" t="s">
        <v>25</v>
      </c>
      <c r="D1049" t="s">
        <v>24</v>
      </c>
      <c r="E1049" t="s">
        <v>22</v>
      </c>
      <c r="F1049">
        <f>IF(Table2[[#This Row],[Attrition]]="Yes", 1, 0)</f>
        <v>0</v>
      </c>
      <c r="G1049" t="s">
        <v>21</v>
      </c>
      <c r="H1049" t="s">
        <v>17</v>
      </c>
      <c r="I1049">
        <v>7</v>
      </c>
      <c r="J1049">
        <v>3</v>
      </c>
      <c r="K1049" t="s">
        <v>29</v>
      </c>
      <c r="L1049">
        <v>4</v>
      </c>
      <c r="M1049">
        <v>1</v>
      </c>
      <c r="N1049" s="3">
        <v>4373</v>
      </c>
      <c r="O1049" s="3" t="str">
        <f>IF(Table2[[#This Row],[MonthlyIncome]]&lt;=5000, "$1001 - $5000", IF(Table2[[#This Row],[MonthlyIncome]]&lt;=9000, "$5001 - $9000", IF(Table2[[#This Row],[MonthlyIncome]]&lt;=13000, "$9001 - $13000", IF(Table2[[#This Row],[MonthlyIncome]]&lt;=17000, "$13001 - $17000", IF(Table2[[#This Row],[MonthlyIncome]]&lt;=21000, "$17001 - $21000")))))</f>
        <v>$1001 - $5000</v>
      </c>
      <c r="P1049">
        <v>0</v>
      </c>
      <c r="Q1049">
        <v>3</v>
      </c>
      <c r="R1049">
        <v>4</v>
      </c>
      <c r="S10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50" spans="1:19" ht="14.25" x14ac:dyDescent="0.2">
      <c r="A1050">
        <v>70329590</v>
      </c>
      <c r="B1050">
        <v>34</v>
      </c>
      <c r="C1050" t="s">
        <v>25</v>
      </c>
      <c r="D1050" t="s">
        <v>19</v>
      </c>
      <c r="E1050" t="s">
        <v>22</v>
      </c>
      <c r="F1050">
        <f>IF(Table2[[#This Row],[Attrition]]="Yes", 1, 0)</f>
        <v>0</v>
      </c>
      <c r="G1050" t="s">
        <v>21</v>
      </c>
      <c r="H1050" t="s">
        <v>17</v>
      </c>
      <c r="I1050">
        <v>3</v>
      </c>
      <c r="J1050">
        <v>3</v>
      </c>
      <c r="K1050" t="s">
        <v>27</v>
      </c>
      <c r="L1050">
        <v>4</v>
      </c>
      <c r="M1050">
        <v>1</v>
      </c>
      <c r="N1050" s="3">
        <v>4759</v>
      </c>
      <c r="O1050" s="3" t="str">
        <f>IF(Table2[[#This Row],[MonthlyIncome]]&lt;=5000, "$1001 - $5000", IF(Table2[[#This Row],[MonthlyIncome]]&lt;=9000, "$5001 - $9000", IF(Table2[[#This Row],[MonthlyIncome]]&lt;=13000, "$9001 - $13000", IF(Table2[[#This Row],[MonthlyIncome]]&lt;=17000, "$13001 - $17000", IF(Table2[[#This Row],[MonthlyIncome]]&lt;=21000, "$17001 - $21000")))))</f>
        <v>$1001 - $5000</v>
      </c>
      <c r="P1050">
        <v>3</v>
      </c>
      <c r="Q1050">
        <v>3</v>
      </c>
      <c r="R1050">
        <v>13</v>
      </c>
      <c r="S10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51" spans="1:19" ht="14.25" x14ac:dyDescent="0.2">
      <c r="A1051">
        <v>87788806</v>
      </c>
      <c r="B1051">
        <v>30</v>
      </c>
      <c r="C1051" t="s">
        <v>25</v>
      </c>
      <c r="D1051" t="s">
        <v>24</v>
      </c>
      <c r="E1051" t="s">
        <v>22</v>
      </c>
      <c r="F1051">
        <f>IF(Table2[[#This Row],[Attrition]]="Yes", 1, 0)</f>
        <v>0</v>
      </c>
      <c r="G1051" t="s">
        <v>21</v>
      </c>
      <c r="H1051" t="s">
        <v>17</v>
      </c>
      <c r="I1051">
        <v>16</v>
      </c>
      <c r="J1051">
        <v>1</v>
      </c>
      <c r="K1051" t="s">
        <v>18</v>
      </c>
      <c r="L1051">
        <v>4</v>
      </c>
      <c r="M1051">
        <v>3</v>
      </c>
      <c r="N1051" s="3">
        <v>5301</v>
      </c>
      <c r="O1051" s="3" t="str">
        <f>IF(Table2[[#This Row],[MonthlyIncome]]&lt;=5000, "$1001 - $5000", IF(Table2[[#This Row],[MonthlyIncome]]&lt;=9000, "$5001 - $9000", IF(Table2[[#This Row],[MonthlyIncome]]&lt;=13000, "$9001 - $13000", IF(Table2[[#This Row],[MonthlyIncome]]&lt;=17000, "$13001 - $17000", IF(Table2[[#This Row],[MonthlyIncome]]&lt;=21000, "$17001 - $21000")))))</f>
        <v>$5001 - $9000</v>
      </c>
      <c r="P1051">
        <v>8</v>
      </c>
      <c r="Q1051">
        <v>2</v>
      </c>
      <c r="R1051">
        <v>2</v>
      </c>
      <c r="S10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52" spans="1:19" ht="14.25" x14ac:dyDescent="0.2">
      <c r="A1052">
        <v>69191324</v>
      </c>
      <c r="B1052">
        <v>42</v>
      </c>
      <c r="C1052" t="s">
        <v>20</v>
      </c>
      <c r="D1052" t="s">
        <v>19</v>
      </c>
      <c r="E1052" t="s">
        <v>22</v>
      </c>
      <c r="F1052">
        <f>IF(Table2[[#This Row],[Attrition]]="Yes", 1, 0)</f>
        <v>0</v>
      </c>
      <c r="G1052" t="s">
        <v>28</v>
      </c>
      <c r="H1052" t="s">
        <v>23</v>
      </c>
      <c r="I1052">
        <v>9</v>
      </c>
      <c r="J1052">
        <v>2</v>
      </c>
      <c r="K1052" t="s">
        <v>29</v>
      </c>
      <c r="L1052">
        <v>1</v>
      </c>
      <c r="M1052">
        <v>4</v>
      </c>
      <c r="N1052" s="3">
        <v>3673</v>
      </c>
      <c r="O1052" s="3" t="str">
        <f>IF(Table2[[#This Row],[MonthlyIncome]]&lt;=5000, "$1001 - $5000", IF(Table2[[#This Row],[MonthlyIncome]]&lt;=9000, "$5001 - $9000", IF(Table2[[#This Row],[MonthlyIncome]]&lt;=13000, "$9001 - $13000", IF(Table2[[#This Row],[MonthlyIncome]]&lt;=17000, "$13001 - $17000", IF(Table2[[#This Row],[MonthlyIncome]]&lt;=21000, "$17001 - $21000")))))</f>
        <v>$1001 - $5000</v>
      </c>
      <c r="P1052">
        <v>1</v>
      </c>
      <c r="Q1052">
        <v>3</v>
      </c>
      <c r="R1052">
        <v>12</v>
      </c>
      <c r="S10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53" spans="1:19" ht="14.25" x14ac:dyDescent="0.2">
      <c r="A1053">
        <v>33570801</v>
      </c>
      <c r="B1053">
        <v>44</v>
      </c>
      <c r="C1053" t="s">
        <v>20</v>
      </c>
      <c r="D1053" t="s">
        <v>24</v>
      </c>
      <c r="E1053" t="s">
        <v>22</v>
      </c>
      <c r="F1053">
        <f>IF(Table2[[#This Row],[Attrition]]="Yes", 1, 0)</f>
        <v>0</v>
      </c>
      <c r="G1053" t="s">
        <v>21</v>
      </c>
      <c r="H1053" t="s">
        <v>17</v>
      </c>
      <c r="I1053">
        <v>1</v>
      </c>
      <c r="J1053">
        <v>5</v>
      </c>
      <c r="K1053" t="s">
        <v>36</v>
      </c>
      <c r="L1053">
        <v>1</v>
      </c>
      <c r="M1053">
        <v>3</v>
      </c>
      <c r="N1053" s="3">
        <v>4768</v>
      </c>
      <c r="O1053" s="3" t="str">
        <f>IF(Table2[[#This Row],[MonthlyIncome]]&lt;=5000, "$1001 - $5000", IF(Table2[[#This Row],[MonthlyIncome]]&lt;=9000, "$5001 - $9000", IF(Table2[[#This Row],[MonthlyIncome]]&lt;=13000, "$9001 - $13000", IF(Table2[[#This Row],[MonthlyIncome]]&lt;=17000, "$13001 - $17000", IF(Table2[[#This Row],[MonthlyIncome]]&lt;=21000, "$17001 - $21000")))))</f>
        <v>$1001 - $5000</v>
      </c>
      <c r="P1053">
        <v>7</v>
      </c>
      <c r="Q1053">
        <v>2</v>
      </c>
      <c r="R1053">
        <v>1</v>
      </c>
      <c r="S10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54" spans="1:19" ht="14.25" x14ac:dyDescent="0.2">
      <c r="A1054">
        <v>65934364</v>
      </c>
      <c r="B1054">
        <v>30</v>
      </c>
      <c r="C1054" t="s">
        <v>25</v>
      </c>
      <c r="D1054" t="s">
        <v>30</v>
      </c>
      <c r="E1054" t="s">
        <v>22</v>
      </c>
      <c r="F1054">
        <f>IF(Table2[[#This Row],[Attrition]]="Yes", 1, 0)</f>
        <v>0</v>
      </c>
      <c r="G1054" t="s">
        <v>26</v>
      </c>
      <c r="H1054" t="s">
        <v>23</v>
      </c>
      <c r="I1054">
        <v>7</v>
      </c>
      <c r="J1054">
        <v>3</v>
      </c>
      <c r="K1054" t="s">
        <v>37</v>
      </c>
      <c r="L1054">
        <v>3</v>
      </c>
      <c r="M1054">
        <v>3</v>
      </c>
      <c r="N1054" s="3">
        <v>1274</v>
      </c>
      <c r="O1054" s="3" t="str">
        <f>IF(Table2[[#This Row],[MonthlyIncome]]&lt;=5000, "$1001 - $5000", IF(Table2[[#This Row],[MonthlyIncome]]&lt;=9000, "$5001 - $9000", IF(Table2[[#This Row],[MonthlyIncome]]&lt;=13000, "$9001 - $13000", IF(Table2[[#This Row],[MonthlyIncome]]&lt;=17000, "$13001 - $17000", IF(Table2[[#This Row],[MonthlyIncome]]&lt;=21000, "$17001 - $21000")))))</f>
        <v>$1001 - $5000</v>
      </c>
      <c r="P1054">
        <v>1</v>
      </c>
      <c r="Q1054">
        <v>2</v>
      </c>
      <c r="R1054">
        <v>1</v>
      </c>
      <c r="S10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55" spans="1:19" ht="14.25" x14ac:dyDescent="0.2">
      <c r="A1055">
        <v>62991579</v>
      </c>
      <c r="B1055">
        <v>57</v>
      </c>
      <c r="C1055" t="s">
        <v>25</v>
      </c>
      <c r="D1055" t="s">
        <v>24</v>
      </c>
      <c r="E1055" t="s">
        <v>22</v>
      </c>
      <c r="F1055">
        <f>IF(Table2[[#This Row],[Attrition]]="Yes", 1, 0)</f>
        <v>0</v>
      </c>
      <c r="G1055" t="s">
        <v>26</v>
      </c>
      <c r="H1055" t="s">
        <v>23</v>
      </c>
      <c r="I1055">
        <v>1</v>
      </c>
      <c r="J1055">
        <v>2</v>
      </c>
      <c r="K1055" t="s">
        <v>18</v>
      </c>
      <c r="L1055">
        <v>2</v>
      </c>
      <c r="M1055">
        <v>3</v>
      </c>
      <c r="N1055" s="3">
        <v>4900</v>
      </c>
      <c r="O1055" s="3" t="str">
        <f>IF(Table2[[#This Row],[MonthlyIncome]]&lt;=5000, "$1001 - $5000", IF(Table2[[#This Row],[MonthlyIncome]]&lt;=9000, "$5001 - $9000", IF(Table2[[#This Row],[MonthlyIncome]]&lt;=13000, "$9001 - $13000", IF(Table2[[#This Row],[MonthlyIncome]]&lt;=17000, "$13001 - $17000", IF(Table2[[#This Row],[MonthlyIncome]]&lt;=21000, "$17001 - $21000")))))</f>
        <v>$1001 - $5000</v>
      </c>
      <c r="P1055">
        <v>0</v>
      </c>
      <c r="Q1055">
        <v>2</v>
      </c>
      <c r="R1055">
        <v>12</v>
      </c>
      <c r="S10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56" spans="1:19" ht="14.25" x14ac:dyDescent="0.2">
      <c r="A1056">
        <v>59026845</v>
      </c>
      <c r="B1056">
        <v>49</v>
      </c>
      <c r="C1056" t="s">
        <v>25</v>
      </c>
      <c r="D1056" t="s">
        <v>30</v>
      </c>
      <c r="E1056" t="s">
        <v>22</v>
      </c>
      <c r="F1056">
        <f>IF(Table2[[#This Row],[Attrition]]="Yes", 1, 0)</f>
        <v>0</v>
      </c>
      <c r="G1056" t="s">
        <v>32</v>
      </c>
      <c r="H1056" t="s">
        <v>23</v>
      </c>
      <c r="I1056">
        <v>7</v>
      </c>
      <c r="J1056">
        <v>4</v>
      </c>
      <c r="K1056" t="s">
        <v>18</v>
      </c>
      <c r="L1056">
        <v>3</v>
      </c>
      <c r="M1056">
        <v>2</v>
      </c>
      <c r="N1056" s="3">
        <v>10466</v>
      </c>
      <c r="O1056" s="3" t="str">
        <f>IF(Table2[[#This Row],[MonthlyIncome]]&lt;=5000, "$1001 - $5000", IF(Table2[[#This Row],[MonthlyIncome]]&lt;=9000, "$5001 - $9000", IF(Table2[[#This Row],[MonthlyIncome]]&lt;=13000, "$9001 - $13000", IF(Table2[[#This Row],[MonthlyIncome]]&lt;=17000, "$13001 - $17000", IF(Table2[[#This Row],[MonthlyIncome]]&lt;=21000, "$17001 - $21000")))))</f>
        <v>$9001 - $13000</v>
      </c>
      <c r="P1056">
        <v>3</v>
      </c>
      <c r="Q1056">
        <v>3</v>
      </c>
      <c r="R1056">
        <v>8</v>
      </c>
      <c r="S10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57" spans="1:19" ht="14.25" x14ac:dyDescent="0.2">
      <c r="A1057">
        <v>17980361</v>
      </c>
      <c r="B1057">
        <v>34</v>
      </c>
      <c r="C1057" t="s">
        <v>25</v>
      </c>
      <c r="D1057" t="s">
        <v>30</v>
      </c>
      <c r="E1057" t="s">
        <v>22</v>
      </c>
      <c r="F1057">
        <f>IF(Table2[[#This Row],[Attrition]]="Yes", 1, 0)</f>
        <v>0</v>
      </c>
      <c r="G1057" t="s">
        <v>35</v>
      </c>
      <c r="H1057" t="s">
        <v>23</v>
      </c>
      <c r="I1057">
        <v>15</v>
      </c>
      <c r="J1057">
        <v>3</v>
      </c>
      <c r="K1057" t="s">
        <v>29</v>
      </c>
      <c r="L1057">
        <v>2</v>
      </c>
      <c r="M1057">
        <v>1</v>
      </c>
      <c r="N1057" s="3">
        <v>17007</v>
      </c>
      <c r="O1057" s="3" t="str">
        <f>IF(Table2[[#This Row],[MonthlyIncome]]&lt;=5000, "$1001 - $5000", IF(Table2[[#This Row],[MonthlyIncome]]&lt;=9000, "$5001 - $9000", IF(Table2[[#This Row],[MonthlyIncome]]&lt;=13000, "$9001 - $13000", IF(Table2[[#This Row],[MonthlyIncome]]&lt;=17000, "$13001 - $17000", IF(Table2[[#This Row],[MonthlyIncome]]&lt;=21000, "$17001 - $21000")))))</f>
        <v>$17001 - $21000</v>
      </c>
      <c r="P1057">
        <v>7</v>
      </c>
      <c r="Q1057">
        <v>2</v>
      </c>
      <c r="R1057">
        <v>14</v>
      </c>
      <c r="S10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58" spans="1:19" ht="14.25" x14ac:dyDescent="0.2">
      <c r="A1058">
        <v>36714227</v>
      </c>
      <c r="B1058">
        <v>28</v>
      </c>
      <c r="C1058" t="s">
        <v>25</v>
      </c>
      <c r="D1058" t="s">
        <v>24</v>
      </c>
      <c r="E1058" t="s">
        <v>16</v>
      </c>
      <c r="F1058">
        <f>IF(Table2[[#This Row],[Attrition]]="Yes", 1, 0)</f>
        <v>1</v>
      </c>
      <c r="G1058" t="s">
        <v>34</v>
      </c>
      <c r="H1058" t="s">
        <v>17</v>
      </c>
      <c r="I1058">
        <v>1</v>
      </c>
      <c r="J1058">
        <v>3</v>
      </c>
      <c r="K1058" t="s">
        <v>37</v>
      </c>
      <c r="L1058">
        <v>1</v>
      </c>
      <c r="M1058">
        <v>3</v>
      </c>
      <c r="N1058" s="3">
        <v>2909</v>
      </c>
      <c r="O1058" s="3" t="str">
        <f>IF(Table2[[#This Row],[MonthlyIncome]]&lt;=5000, "$1001 - $5000", IF(Table2[[#This Row],[MonthlyIncome]]&lt;=9000, "$5001 - $9000", IF(Table2[[#This Row],[MonthlyIncome]]&lt;=13000, "$9001 - $13000", IF(Table2[[#This Row],[MonthlyIncome]]&lt;=17000, "$13001 - $17000", IF(Table2[[#This Row],[MonthlyIncome]]&lt;=21000, "$17001 - $21000")))))</f>
        <v>$1001 - $5000</v>
      </c>
      <c r="P1058">
        <v>3</v>
      </c>
      <c r="Q1058">
        <v>4</v>
      </c>
      <c r="R1058">
        <v>3</v>
      </c>
      <c r="S10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59" spans="1:19" ht="14.25" x14ac:dyDescent="0.2">
      <c r="A1059">
        <v>20841530</v>
      </c>
      <c r="B1059">
        <v>29</v>
      </c>
      <c r="C1059" t="s">
        <v>20</v>
      </c>
      <c r="D1059" t="s">
        <v>19</v>
      </c>
      <c r="E1059" t="s">
        <v>16</v>
      </c>
      <c r="F1059">
        <f>IF(Table2[[#This Row],[Attrition]]="Yes", 1, 0)</f>
        <v>1</v>
      </c>
      <c r="G1059" t="s">
        <v>21</v>
      </c>
      <c r="H1059" t="s">
        <v>17</v>
      </c>
      <c r="I1059">
        <v>13</v>
      </c>
      <c r="J1059">
        <v>3</v>
      </c>
      <c r="K1059" t="s">
        <v>37</v>
      </c>
      <c r="L1059">
        <v>1</v>
      </c>
      <c r="M1059">
        <v>2</v>
      </c>
      <c r="N1059" s="3">
        <v>5765</v>
      </c>
      <c r="O1059" s="3" t="str">
        <f>IF(Table2[[#This Row],[MonthlyIncome]]&lt;=5000, "$1001 - $5000", IF(Table2[[#This Row],[MonthlyIncome]]&lt;=9000, "$5001 - $9000", IF(Table2[[#This Row],[MonthlyIncome]]&lt;=13000, "$9001 - $13000", IF(Table2[[#This Row],[MonthlyIncome]]&lt;=17000, "$13001 - $17000", IF(Table2[[#This Row],[MonthlyIncome]]&lt;=21000, "$17001 - $21000")))))</f>
        <v>$5001 - $9000</v>
      </c>
      <c r="P1059">
        <v>5</v>
      </c>
      <c r="Q1059">
        <v>1</v>
      </c>
      <c r="R1059">
        <v>5</v>
      </c>
      <c r="S10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60" spans="1:19" ht="14.25" x14ac:dyDescent="0.2">
      <c r="A1060">
        <v>11727877</v>
      </c>
      <c r="B1060">
        <v>34</v>
      </c>
      <c r="C1060" t="s">
        <v>20</v>
      </c>
      <c r="D1060" t="s">
        <v>19</v>
      </c>
      <c r="E1060" t="s">
        <v>16</v>
      </c>
      <c r="F1060">
        <f>IF(Table2[[#This Row],[Attrition]]="Yes", 1, 0)</f>
        <v>1</v>
      </c>
      <c r="G1060" t="s">
        <v>21</v>
      </c>
      <c r="H1060" t="s">
        <v>17</v>
      </c>
      <c r="I1060">
        <v>24</v>
      </c>
      <c r="J1060">
        <v>4</v>
      </c>
      <c r="K1060" t="s">
        <v>29</v>
      </c>
      <c r="L1060">
        <v>1</v>
      </c>
      <c r="M1060">
        <v>2</v>
      </c>
      <c r="N1060" s="3">
        <v>4599</v>
      </c>
      <c r="O1060" s="3" t="str">
        <f>IF(Table2[[#This Row],[MonthlyIncome]]&lt;=5000, "$1001 - $5000", IF(Table2[[#This Row],[MonthlyIncome]]&lt;=9000, "$5001 - $9000", IF(Table2[[#This Row],[MonthlyIncome]]&lt;=13000, "$9001 - $13000", IF(Table2[[#This Row],[MonthlyIncome]]&lt;=17000, "$13001 - $17000", IF(Table2[[#This Row],[MonthlyIncome]]&lt;=21000, "$17001 - $21000")))))</f>
        <v>$1001 - $5000</v>
      </c>
      <c r="P1060">
        <v>0</v>
      </c>
      <c r="Q1060">
        <v>4</v>
      </c>
      <c r="R1060">
        <v>15</v>
      </c>
      <c r="S10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061" spans="1:19" ht="14.25" x14ac:dyDescent="0.2">
      <c r="A1061">
        <v>17552000</v>
      </c>
      <c r="B1061">
        <v>35</v>
      </c>
      <c r="C1061" t="s">
        <v>25</v>
      </c>
      <c r="D1061" t="s">
        <v>24</v>
      </c>
      <c r="E1061" t="s">
        <v>22</v>
      </c>
      <c r="F1061">
        <f>IF(Table2[[#This Row],[Attrition]]="Yes", 1, 0)</f>
        <v>0</v>
      </c>
      <c r="G1061" t="s">
        <v>34</v>
      </c>
      <c r="H1061" t="s">
        <v>17</v>
      </c>
      <c r="I1061">
        <v>7</v>
      </c>
      <c r="J1061">
        <v>1</v>
      </c>
      <c r="K1061" t="s">
        <v>18</v>
      </c>
      <c r="L1061">
        <v>4</v>
      </c>
      <c r="M1061">
        <v>3</v>
      </c>
      <c r="N1061" s="3">
        <v>2404</v>
      </c>
      <c r="O1061" s="3" t="str">
        <f>IF(Table2[[#This Row],[MonthlyIncome]]&lt;=5000, "$1001 - $5000", IF(Table2[[#This Row],[MonthlyIncome]]&lt;=9000, "$5001 - $9000", IF(Table2[[#This Row],[MonthlyIncome]]&lt;=13000, "$9001 - $13000", IF(Table2[[#This Row],[MonthlyIncome]]&lt;=17000, "$13001 - $17000", IF(Table2[[#This Row],[MonthlyIncome]]&lt;=21000, "$17001 - $21000")))))</f>
        <v>$1001 - $5000</v>
      </c>
      <c r="P1061">
        <v>1</v>
      </c>
      <c r="Q1061">
        <v>3</v>
      </c>
      <c r="R1061">
        <v>1</v>
      </c>
      <c r="S10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62" spans="1:19" ht="14.25" x14ac:dyDescent="0.2">
      <c r="A1062">
        <v>31855884</v>
      </c>
      <c r="B1062">
        <v>24</v>
      </c>
      <c r="C1062" t="s">
        <v>25</v>
      </c>
      <c r="D1062" t="s">
        <v>19</v>
      </c>
      <c r="E1062" t="s">
        <v>16</v>
      </c>
      <c r="F1062">
        <f>IF(Table2[[#This Row],[Attrition]]="Yes", 1, 0)</f>
        <v>1</v>
      </c>
      <c r="G1062" t="s">
        <v>28</v>
      </c>
      <c r="H1062" t="s">
        <v>23</v>
      </c>
      <c r="I1062">
        <v>9</v>
      </c>
      <c r="J1062">
        <v>3</v>
      </c>
      <c r="K1062" t="s">
        <v>29</v>
      </c>
      <c r="L1062">
        <v>2</v>
      </c>
      <c r="M1062">
        <v>1</v>
      </c>
      <c r="N1062" s="3">
        <v>3172</v>
      </c>
      <c r="O1062" s="3" t="str">
        <f>IF(Table2[[#This Row],[MonthlyIncome]]&lt;=5000, "$1001 - $5000", IF(Table2[[#This Row],[MonthlyIncome]]&lt;=9000, "$5001 - $9000", IF(Table2[[#This Row],[MonthlyIncome]]&lt;=13000, "$9001 - $13000", IF(Table2[[#This Row],[MonthlyIncome]]&lt;=17000, "$13001 - $17000", IF(Table2[[#This Row],[MonthlyIncome]]&lt;=21000, "$17001 - $21000")))))</f>
        <v>$1001 - $5000</v>
      </c>
      <c r="P1062">
        <v>2</v>
      </c>
      <c r="Q1062">
        <v>2</v>
      </c>
      <c r="R1062">
        <v>0</v>
      </c>
      <c r="S10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63" spans="1:19" ht="14.25" x14ac:dyDescent="0.2">
      <c r="A1063">
        <v>47145552</v>
      </c>
      <c r="B1063">
        <v>24</v>
      </c>
      <c r="C1063" t="s">
        <v>20</v>
      </c>
      <c r="D1063" t="s">
        <v>24</v>
      </c>
      <c r="E1063" t="s">
        <v>22</v>
      </c>
      <c r="F1063">
        <f>IF(Table2[[#This Row],[Attrition]]="Yes", 1, 0)</f>
        <v>0</v>
      </c>
      <c r="G1063" t="s">
        <v>34</v>
      </c>
      <c r="H1063" t="s">
        <v>17</v>
      </c>
      <c r="I1063">
        <v>13</v>
      </c>
      <c r="J1063">
        <v>2</v>
      </c>
      <c r="K1063" t="s">
        <v>18</v>
      </c>
      <c r="L1063">
        <v>4</v>
      </c>
      <c r="M1063">
        <v>2</v>
      </c>
      <c r="N1063" s="3">
        <v>2033</v>
      </c>
      <c r="O1063" s="3" t="str">
        <f>IF(Table2[[#This Row],[MonthlyIncome]]&lt;=5000, "$1001 - $5000", IF(Table2[[#This Row],[MonthlyIncome]]&lt;=9000, "$5001 - $9000", IF(Table2[[#This Row],[MonthlyIncome]]&lt;=13000, "$9001 - $13000", IF(Table2[[#This Row],[MonthlyIncome]]&lt;=17000, "$13001 - $17000", IF(Table2[[#This Row],[MonthlyIncome]]&lt;=21000, "$17001 - $21000")))))</f>
        <v>$1001 - $5000</v>
      </c>
      <c r="P1063">
        <v>1</v>
      </c>
      <c r="Q1063">
        <v>3</v>
      </c>
      <c r="R1063">
        <v>1</v>
      </c>
      <c r="S10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64" spans="1:19" ht="14.25" x14ac:dyDescent="0.2">
      <c r="A1064">
        <v>34529888</v>
      </c>
      <c r="B1064">
        <v>44</v>
      </c>
      <c r="C1064" t="s">
        <v>25</v>
      </c>
      <c r="D1064" t="s">
        <v>19</v>
      </c>
      <c r="E1064" t="s">
        <v>22</v>
      </c>
      <c r="F1064">
        <f>IF(Table2[[#This Row],[Attrition]]="Yes", 1, 0)</f>
        <v>0</v>
      </c>
      <c r="G1064" t="s">
        <v>31</v>
      </c>
      <c r="H1064" t="s">
        <v>23</v>
      </c>
      <c r="I1064">
        <v>2</v>
      </c>
      <c r="J1064">
        <v>1</v>
      </c>
      <c r="K1064" t="s">
        <v>29</v>
      </c>
      <c r="L1064">
        <v>2</v>
      </c>
      <c r="M1064">
        <v>3</v>
      </c>
      <c r="N1064" s="3">
        <v>10209</v>
      </c>
      <c r="O1064" s="3" t="str">
        <f>IF(Table2[[#This Row],[MonthlyIncome]]&lt;=5000, "$1001 - $5000", IF(Table2[[#This Row],[MonthlyIncome]]&lt;=9000, "$5001 - $9000", IF(Table2[[#This Row],[MonthlyIncome]]&lt;=13000, "$9001 - $13000", IF(Table2[[#This Row],[MonthlyIncome]]&lt;=17000, "$13001 - $17000", IF(Table2[[#This Row],[MonthlyIncome]]&lt;=21000, "$17001 - $21000")))))</f>
        <v>$9001 - $13000</v>
      </c>
      <c r="P1064">
        <v>5</v>
      </c>
      <c r="Q1064">
        <v>2</v>
      </c>
      <c r="R1064">
        <v>2</v>
      </c>
      <c r="S10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65" spans="1:19" ht="14.25" x14ac:dyDescent="0.2">
      <c r="A1065">
        <v>60043064</v>
      </c>
      <c r="B1065">
        <v>29</v>
      </c>
      <c r="C1065" t="s">
        <v>25</v>
      </c>
      <c r="D1065" t="s">
        <v>30</v>
      </c>
      <c r="E1065" t="s">
        <v>22</v>
      </c>
      <c r="F1065">
        <f>IF(Table2[[#This Row],[Attrition]]="Yes", 1, 0)</f>
        <v>0</v>
      </c>
      <c r="G1065" t="s">
        <v>21</v>
      </c>
      <c r="H1065" t="s">
        <v>17</v>
      </c>
      <c r="I1065">
        <v>19</v>
      </c>
      <c r="J1065">
        <v>3</v>
      </c>
      <c r="K1065" t="s">
        <v>18</v>
      </c>
      <c r="L1065">
        <v>3</v>
      </c>
      <c r="M1065">
        <v>3</v>
      </c>
      <c r="N1065" s="3">
        <v>8620</v>
      </c>
      <c r="O1065" s="3" t="str">
        <f>IF(Table2[[#This Row],[MonthlyIncome]]&lt;=5000, "$1001 - $5000", IF(Table2[[#This Row],[MonthlyIncome]]&lt;=9000, "$5001 - $9000", IF(Table2[[#This Row],[MonthlyIncome]]&lt;=13000, "$9001 - $13000", IF(Table2[[#This Row],[MonthlyIncome]]&lt;=17000, "$13001 - $17000", IF(Table2[[#This Row],[MonthlyIncome]]&lt;=21000, "$17001 - $21000")))))</f>
        <v>$5001 - $9000</v>
      </c>
      <c r="P1065">
        <v>1</v>
      </c>
      <c r="Q1065">
        <v>3</v>
      </c>
      <c r="R1065">
        <v>10</v>
      </c>
      <c r="S10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66" spans="1:19" ht="14.25" x14ac:dyDescent="0.2">
      <c r="A1066">
        <v>38725838</v>
      </c>
      <c r="B1066">
        <v>30</v>
      </c>
      <c r="C1066" t="s">
        <v>25</v>
      </c>
      <c r="D1066" t="s">
        <v>30</v>
      </c>
      <c r="E1066" t="s">
        <v>22</v>
      </c>
      <c r="F1066">
        <f>IF(Table2[[#This Row],[Attrition]]="Yes", 1, 0)</f>
        <v>0</v>
      </c>
      <c r="G1066" t="s">
        <v>38</v>
      </c>
      <c r="H1066" t="s">
        <v>38</v>
      </c>
      <c r="I1066">
        <v>1</v>
      </c>
      <c r="J1066">
        <v>3</v>
      </c>
      <c r="K1066" t="s">
        <v>18</v>
      </c>
      <c r="L1066">
        <v>3</v>
      </c>
      <c r="M1066">
        <v>3</v>
      </c>
      <c r="N1066" s="3">
        <v>2064</v>
      </c>
      <c r="O1066" s="3" t="str">
        <f>IF(Table2[[#This Row],[MonthlyIncome]]&lt;=5000, "$1001 - $5000", IF(Table2[[#This Row],[MonthlyIncome]]&lt;=9000, "$5001 - $9000", IF(Table2[[#This Row],[MonthlyIncome]]&lt;=13000, "$9001 - $13000", IF(Table2[[#This Row],[MonthlyIncome]]&lt;=17000, "$13001 - $17000", IF(Table2[[#This Row],[MonthlyIncome]]&lt;=21000, "$17001 - $21000")))))</f>
        <v>$1001 - $5000</v>
      </c>
      <c r="P1066">
        <v>0</v>
      </c>
      <c r="Q1066">
        <v>4</v>
      </c>
      <c r="R1066">
        <v>5</v>
      </c>
      <c r="S10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67" spans="1:19" ht="14.25" x14ac:dyDescent="0.2">
      <c r="A1067">
        <v>10676001</v>
      </c>
      <c r="B1067">
        <v>55</v>
      </c>
      <c r="C1067" t="s">
        <v>25</v>
      </c>
      <c r="D1067" t="s">
        <v>24</v>
      </c>
      <c r="E1067" t="s">
        <v>22</v>
      </c>
      <c r="F1067">
        <f>IF(Table2[[#This Row],[Attrition]]="Yes", 1, 0)</f>
        <v>0</v>
      </c>
      <c r="G1067" t="s">
        <v>32</v>
      </c>
      <c r="H1067" t="s">
        <v>23</v>
      </c>
      <c r="I1067">
        <v>4</v>
      </c>
      <c r="J1067">
        <v>4</v>
      </c>
      <c r="K1067" t="s">
        <v>18</v>
      </c>
      <c r="L1067">
        <v>4</v>
      </c>
      <c r="M1067">
        <v>3</v>
      </c>
      <c r="N1067" s="3">
        <v>4035</v>
      </c>
      <c r="O1067" s="3" t="str">
        <f>IF(Table2[[#This Row],[MonthlyIncome]]&lt;=5000, "$1001 - $5000", IF(Table2[[#This Row],[MonthlyIncome]]&lt;=9000, "$5001 - $9000", IF(Table2[[#This Row],[MonthlyIncome]]&lt;=13000, "$9001 - $13000", IF(Table2[[#This Row],[MonthlyIncome]]&lt;=17000, "$13001 - $17000", IF(Table2[[#This Row],[MonthlyIncome]]&lt;=21000, "$17001 - $21000")))))</f>
        <v>$1001 - $5000</v>
      </c>
      <c r="P1067">
        <v>0</v>
      </c>
      <c r="Q1067">
        <v>3</v>
      </c>
      <c r="R1067">
        <v>3</v>
      </c>
      <c r="S10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68" spans="1:19" ht="14.25" x14ac:dyDescent="0.2">
      <c r="A1068">
        <v>81616232</v>
      </c>
      <c r="B1068">
        <v>33</v>
      </c>
      <c r="C1068" t="s">
        <v>20</v>
      </c>
      <c r="D1068" t="s">
        <v>24</v>
      </c>
      <c r="E1068" t="s">
        <v>22</v>
      </c>
      <c r="F1068">
        <f>IF(Table2[[#This Row],[Attrition]]="Yes", 1, 0)</f>
        <v>0</v>
      </c>
      <c r="G1068" t="s">
        <v>28</v>
      </c>
      <c r="H1068" t="s">
        <v>23</v>
      </c>
      <c r="I1068">
        <v>4</v>
      </c>
      <c r="J1068">
        <v>4</v>
      </c>
      <c r="K1068" t="s">
        <v>29</v>
      </c>
      <c r="L1068">
        <v>1</v>
      </c>
      <c r="M1068">
        <v>2</v>
      </c>
      <c r="N1068" s="3">
        <v>3838</v>
      </c>
      <c r="O1068" s="3" t="str">
        <f>IF(Table2[[#This Row],[MonthlyIncome]]&lt;=5000, "$1001 - $5000", IF(Table2[[#This Row],[MonthlyIncome]]&lt;=9000, "$5001 - $9000", IF(Table2[[#This Row],[MonthlyIncome]]&lt;=13000, "$9001 - $13000", IF(Table2[[#This Row],[MonthlyIncome]]&lt;=17000, "$13001 - $17000", IF(Table2[[#This Row],[MonthlyIncome]]&lt;=21000, "$17001 - $21000")))))</f>
        <v>$1001 - $5000</v>
      </c>
      <c r="P1068">
        <v>8</v>
      </c>
      <c r="Q1068">
        <v>3</v>
      </c>
      <c r="R1068">
        <v>5</v>
      </c>
      <c r="S10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69" spans="1:19" ht="14.25" x14ac:dyDescent="0.2">
      <c r="A1069">
        <v>71198637</v>
      </c>
      <c r="B1069">
        <v>47</v>
      </c>
      <c r="C1069" t="s">
        <v>20</v>
      </c>
      <c r="D1069" t="s">
        <v>24</v>
      </c>
      <c r="E1069" t="s">
        <v>22</v>
      </c>
      <c r="F1069">
        <f>IF(Table2[[#This Row],[Attrition]]="Yes", 1, 0)</f>
        <v>0</v>
      </c>
      <c r="G1069" t="s">
        <v>21</v>
      </c>
      <c r="H1069" t="s">
        <v>17</v>
      </c>
      <c r="I1069">
        <v>14</v>
      </c>
      <c r="J1069">
        <v>3</v>
      </c>
      <c r="K1069" t="s">
        <v>29</v>
      </c>
      <c r="L1069">
        <v>3</v>
      </c>
      <c r="M1069">
        <v>3</v>
      </c>
      <c r="N1069" s="3">
        <v>4591</v>
      </c>
      <c r="O1069" s="3" t="str">
        <f>IF(Table2[[#This Row],[MonthlyIncome]]&lt;=5000, "$1001 - $5000", IF(Table2[[#This Row],[MonthlyIncome]]&lt;=9000, "$5001 - $9000", IF(Table2[[#This Row],[MonthlyIncome]]&lt;=13000, "$9001 - $13000", IF(Table2[[#This Row],[MonthlyIncome]]&lt;=17000, "$13001 - $17000", IF(Table2[[#This Row],[MonthlyIncome]]&lt;=21000, "$17001 - $21000")))))</f>
        <v>$1001 - $5000</v>
      </c>
      <c r="P1069">
        <v>3</v>
      </c>
      <c r="Q1069">
        <v>2</v>
      </c>
      <c r="R1069">
        <v>5</v>
      </c>
      <c r="S10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70" spans="1:19" ht="14.25" x14ac:dyDescent="0.2">
      <c r="A1070">
        <v>84612606</v>
      </c>
      <c r="B1070">
        <v>28</v>
      </c>
      <c r="C1070" t="s">
        <v>25</v>
      </c>
      <c r="D1070" t="s">
        <v>19</v>
      </c>
      <c r="E1070" t="s">
        <v>16</v>
      </c>
      <c r="F1070">
        <f>IF(Table2[[#This Row],[Attrition]]="Yes", 1, 0)</f>
        <v>1</v>
      </c>
      <c r="G1070" t="s">
        <v>28</v>
      </c>
      <c r="H1070" t="s">
        <v>23</v>
      </c>
      <c r="I1070">
        <v>2</v>
      </c>
      <c r="J1070">
        <v>2</v>
      </c>
      <c r="K1070" t="s">
        <v>29</v>
      </c>
      <c r="L1070">
        <v>3</v>
      </c>
      <c r="M1070">
        <v>1</v>
      </c>
      <c r="N1070" s="3">
        <v>2561</v>
      </c>
      <c r="O1070" s="3" t="str">
        <f>IF(Table2[[#This Row],[MonthlyIncome]]&lt;=5000, "$1001 - $5000", IF(Table2[[#This Row],[MonthlyIncome]]&lt;=9000, "$5001 - $9000", IF(Table2[[#This Row],[MonthlyIncome]]&lt;=13000, "$9001 - $13000", IF(Table2[[#This Row],[MonthlyIncome]]&lt;=17000, "$13001 - $17000", IF(Table2[[#This Row],[MonthlyIncome]]&lt;=21000, "$17001 - $21000")))))</f>
        <v>$1001 - $5000</v>
      </c>
      <c r="P1070">
        <v>7</v>
      </c>
      <c r="Q1070">
        <v>2</v>
      </c>
      <c r="R1070">
        <v>0</v>
      </c>
      <c r="S10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71" spans="1:19" ht="14.25" x14ac:dyDescent="0.2">
      <c r="A1071">
        <v>12866120</v>
      </c>
      <c r="B1071">
        <v>28</v>
      </c>
      <c r="C1071" t="s">
        <v>25</v>
      </c>
      <c r="D1071" t="s">
        <v>30</v>
      </c>
      <c r="E1071" t="s">
        <v>22</v>
      </c>
      <c r="F1071">
        <f>IF(Table2[[#This Row],[Attrition]]="Yes", 1, 0)</f>
        <v>0</v>
      </c>
      <c r="G1071" t="s">
        <v>26</v>
      </c>
      <c r="H1071" t="s">
        <v>23</v>
      </c>
      <c r="I1071">
        <v>1</v>
      </c>
      <c r="J1071">
        <v>3</v>
      </c>
      <c r="K1071" t="s">
        <v>18</v>
      </c>
      <c r="L1071">
        <v>1</v>
      </c>
      <c r="M1071">
        <v>3</v>
      </c>
      <c r="N1071" s="3">
        <v>1563</v>
      </c>
      <c r="O1071" s="3" t="str">
        <f>IF(Table2[[#This Row],[MonthlyIncome]]&lt;=5000, "$1001 - $5000", IF(Table2[[#This Row],[MonthlyIncome]]&lt;=9000, "$5001 - $9000", IF(Table2[[#This Row],[MonthlyIncome]]&lt;=13000, "$9001 - $13000", IF(Table2[[#This Row],[MonthlyIncome]]&lt;=17000, "$13001 - $17000", IF(Table2[[#This Row],[MonthlyIncome]]&lt;=21000, "$17001 - $21000")))))</f>
        <v>$1001 - $5000</v>
      </c>
      <c r="P1071">
        <v>1</v>
      </c>
      <c r="Q1071">
        <v>1</v>
      </c>
      <c r="R1071">
        <v>1</v>
      </c>
      <c r="S10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72" spans="1:19" ht="14.25" x14ac:dyDescent="0.2">
      <c r="A1072">
        <v>85936877</v>
      </c>
      <c r="B1072">
        <v>28</v>
      </c>
      <c r="C1072" t="s">
        <v>25</v>
      </c>
      <c r="D1072" t="s">
        <v>19</v>
      </c>
      <c r="E1072" t="s">
        <v>22</v>
      </c>
      <c r="F1072">
        <f>IF(Table2[[#This Row],[Attrition]]="Yes", 1, 0)</f>
        <v>0</v>
      </c>
      <c r="G1072" t="s">
        <v>21</v>
      </c>
      <c r="H1072" t="s">
        <v>17</v>
      </c>
      <c r="I1072">
        <v>7</v>
      </c>
      <c r="J1072">
        <v>3</v>
      </c>
      <c r="K1072" t="s">
        <v>18</v>
      </c>
      <c r="L1072">
        <v>3</v>
      </c>
      <c r="M1072">
        <v>1</v>
      </c>
      <c r="N1072" s="3">
        <v>4898</v>
      </c>
      <c r="O1072" s="3" t="str">
        <f>IF(Table2[[#This Row],[MonthlyIncome]]&lt;=5000, "$1001 - $5000", IF(Table2[[#This Row],[MonthlyIncome]]&lt;=9000, "$5001 - $9000", IF(Table2[[#This Row],[MonthlyIncome]]&lt;=13000, "$9001 - $13000", IF(Table2[[#This Row],[MonthlyIncome]]&lt;=17000, "$13001 - $17000", IF(Table2[[#This Row],[MonthlyIncome]]&lt;=21000, "$17001 - $21000")))))</f>
        <v>$1001 - $5000</v>
      </c>
      <c r="P1072">
        <v>0</v>
      </c>
      <c r="Q1072">
        <v>3</v>
      </c>
      <c r="R1072">
        <v>4</v>
      </c>
      <c r="S10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73" spans="1:19" ht="14.25" x14ac:dyDescent="0.2">
      <c r="A1073">
        <v>57449438</v>
      </c>
      <c r="B1073">
        <v>49</v>
      </c>
      <c r="C1073" t="s">
        <v>20</v>
      </c>
      <c r="D1073" t="s">
        <v>24</v>
      </c>
      <c r="E1073" t="s">
        <v>22</v>
      </c>
      <c r="F1073">
        <f>IF(Table2[[#This Row],[Attrition]]="Yes", 1, 0)</f>
        <v>0</v>
      </c>
      <c r="G1073" t="s">
        <v>28</v>
      </c>
      <c r="H1073" t="s">
        <v>23</v>
      </c>
      <c r="I1073">
        <v>3</v>
      </c>
      <c r="J1073">
        <v>2</v>
      </c>
      <c r="K1073" t="s">
        <v>29</v>
      </c>
      <c r="L1073">
        <v>3</v>
      </c>
      <c r="M1073">
        <v>1</v>
      </c>
      <c r="N1073" s="3">
        <v>4789</v>
      </c>
      <c r="O1073" s="3" t="str">
        <f>IF(Table2[[#This Row],[MonthlyIncome]]&lt;=5000, "$1001 - $5000", IF(Table2[[#This Row],[MonthlyIncome]]&lt;=9000, "$5001 - $9000", IF(Table2[[#This Row],[MonthlyIncome]]&lt;=13000, "$9001 - $13000", IF(Table2[[#This Row],[MonthlyIncome]]&lt;=17000, "$13001 - $17000", IF(Table2[[#This Row],[MonthlyIncome]]&lt;=21000, "$17001 - $21000")))))</f>
        <v>$1001 - $5000</v>
      </c>
      <c r="P1073">
        <v>4</v>
      </c>
      <c r="Q1073">
        <v>3</v>
      </c>
      <c r="R1073">
        <v>3</v>
      </c>
      <c r="S10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74" spans="1:19" ht="14.25" x14ac:dyDescent="0.2">
      <c r="A1074">
        <v>71520571</v>
      </c>
      <c r="B1074">
        <v>29</v>
      </c>
      <c r="C1074" t="s">
        <v>20</v>
      </c>
      <c r="D1074" t="s">
        <v>24</v>
      </c>
      <c r="E1074" t="s">
        <v>22</v>
      </c>
      <c r="F1074">
        <f>IF(Table2[[#This Row],[Attrition]]="Yes", 1, 0)</f>
        <v>0</v>
      </c>
      <c r="G1074" t="s">
        <v>28</v>
      </c>
      <c r="H1074" t="s">
        <v>23</v>
      </c>
      <c r="I1074">
        <v>2</v>
      </c>
      <c r="J1074">
        <v>1</v>
      </c>
      <c r="K1074" t="s">
        <v>18</v>
      </c>
      <c r="L1074">
        <v>4</v>
      </c>
      <c r="M1074">
        <v>2</v>
      </c>
      <c r="N1074" s="3">
        <v>3180</v>
      </c>
      <c r="O1074" s="3" t="str">
        <f>IF(Table2[[#This Row],[MonthlyIncome]]&lt;=5000, "$1001 - $5000", IF(Table2[[#This Row],[MonthlyIncome]]&lt;=9000, "$5001 - $9000", IF(Table2[[#This Row],[MonthlyIncome]]&lt;=13000, "$9001 - $13000", IF(Table2[[#This Row],[MonthlyIncome]]&lt;=17000, "$13001 - $17000", IF(Table2[[#This Row],[MonthlyIncome]]&lt;=21000, "$17001 - $21000")))))</f>
        <v>$1001 - $5000</v>
      </c>
      <c r="P1074">
        <v>0</v>
      </c>
      <c r="Q1074">
        <v>3</v>
      </c>
      <c r="R1074">
        <v>3</v>
      </c>
      <c r="S10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75" spans="1:19" ht="14.25" x14ac:dyDescent="0.2">
      <c r="A1075">
        <v>56335207</v>
      </c>
      <c r="B1075">
        <v>28</v>
      </c>
      <c r="C1075" t="s">
        <v>25</v>
      </c>
      <c r="D1075" t="s">
        <v>24</v>
      </c>
      <c r="E1075" t="s">
        <v>22</v>
      </c>
      <c r="F1075">
        <f>IF(Table2[[#This Row],[Attrition]]="Yes", 1, 0)</f>
        <v>0</v>
      </c>
      <c r="G1075" t="s">
        <v>31</v>
      </c>
      <c r="H1075" t="s">
        <v>23</v>
      </c>
      <c r="I1075">
        <v>29</v>
      </c>
      <c r="J1075">
        <v>1</v>
      </c>
      <c r="K1075" t="s">
        <v>18</v>
      </c>
      <c r="L1075">
        <v>3</v>
      </c>
      <c r="M1075">
        <v>2</v>
      </c>
      <c r="N1075" s="3">
        <v>6549</v>
      </c>
      <c r="O1075" s="3" t="str">
        <f>IF(Table2[[#This Row],[MonthlyIncome]]&lt;=5000, "$1001 - $5000", IF(Table2[[#This Row],[MonthlyIncome]]&lt;=9000, "$5001 - $9000", IF(Table2[[#This Row],[MonthlyIncome]]&lt;=13000, "$9001 - $13000", IF(Table2[[#This Row],[MonthlyIncome]]&lt;=17000, "$13001 - $17000", IF(Table2[[#This Row],[MonthlyIncome]]&lt;=21000, "$17001 - $21000")))))</f>
        <v>$5001 - $9000</v>
      </c>
      <c r="P1075">
        <v>1</v>
      </c>
      <c r="Q1075">
        <v>2</v>
      </c>
      <c r="R1075">
        <v>8</v>
      </c>
      <c r="S10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76" spans="1:19" ht="14.25" x14ac:dyDescent="0.2">
      <c r="A1076">
        <v>31576398</v>
      </c>
      <c r="B1076">
        <v>33</v>
      </c>
      <c r="C1076" t="s">
        <v>25</v>
      </c>
      <c r="D1076" t="s">
        <v>19</v>
      </c>
      <c r="E1076" t="s">
        <v>22</v>
      </c>
      <c r="F1076">
        <f>IF(Table2[[#This Row],[Attrition]]="Yes", 1, 0)</f>
        <v>0</v>
      </c>
      <c r="G1076" t="s">
        <v>32</v>
      </c>
      <c r="H1076" t="s">
        <v>23</v>
      </c>
      <c r="I1076">
        <v>8</v>
      </c>
      <c r="J1076">
        <v>5</v>
      </c>
      <c r="K1076" t="s">
        <v>18</v>
      </c>
      <c r="L1076">
        <v>4</v>
      </c>
      <c r="M1076">
        <v>3</v>
      </c>
      <c r="N1076" s="3">
        <v>6388</v>
      </c>
      <c r="O1076" s="3" t="str">
        <f>IF(Table2[[#This Row],[MonthlyIncome]]&lt;=5000, "$1001 - $5000", IF(Table2[[#This Row],[MonthlyIncome]]&lt;=9000, "$5001 - $9000", IF(Table2[[#This Row],[MonthlyIncome]]&lt;=13000, "$9001 - $13000", IF(Table2[[#This Row],[MonthlyIncome]]&lt;=17000, "$13001 - $17000", IF(Table2[[#This Row],[MonthlyIncome]]&lt;=21000, "$17001 - $21000")))))</f>
        <v>$5001 - $9000</v>
      </c>
      <c r="P1076">
        <v>2</v>
      </c>
      <c r="Q1076">
        <v>3</v>
      </c>
      <c r="R1076">
        <v>0</v>
      </c>
      <c r="S10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77" spans="1:19" ht="14.25" x14ac:dyDescent="0.2">
      <c r="A1077">
        <v>21578483</v>
      </c>
      <c r="B1077">
        <v>32</v>
      </c>
      <c r="C1077" t="s">
        <v>25</v>
      </c>
      <c r="D1077" t="s">
        <v>19</v>
      </c>
      <c r="E1077" t="s">
        <v>22</v>
      </c>
      <c r="F1077">
        <f>IF(Table2[[#This Row],[Attrition]]="Yes", 1, 0)</f>
        <v>0</v>
      </c>
      <c r="G1077" t="s">
        <v>33</v>
      </c>
      <c r="H1077" t="s">
        <v>23</v>
      </c>
      <c r="I1077">
        <v>10</v>
      </c>
      <c r="J1077">
        <v>3</v>
      </c>
      <c r="K1077" t="s">
        <v>29</v>
      </c>
      <c r="L1077">
        <v>3</v>
      </c>
      <c r="M1077">
        <v>4</v>
      </c>
      <c r="N1077" s="3">
        <v>11244</v>
      </c>
      <c r="O1077" s="3" t="str">
        <f>IF(Table2[[#This Row],[MonthlyIncome]]&lt;=5000, "$1001 - $5000", IF(Table2[[#This Row],[MonthlyIncome]]&lt;=9000, "$5001 - $9000", IF(Table2[[#This Row],[MonthlyIncome]]&lt;=13000, "$9001 - $13000", IF(Table2[[#This Row],[MonthlyIncome]]&lt;=17000, "$13001 - $17000", IF(Table2[[#This Row],[MonthlyIncome]]&lt;=21000, "$17001 - $21000")))))</f>
        <v>$9001 - $13000</v>
      </c>
      <c r="P1077">
        <v>2</v>
      </c>
      <c r="Q1077">
        <v>4</v>
      </c>
      <c r="R1077">
        <v>5</v>
      </c>
      <c r="S10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78" spans="1:19" ht="14.25" x14ac:dyDescent="0.2">
      <c r="A1078">
        <v>64531795</v>
      </c>
      <c r="B1078">
        <v>54</v>
      </c>
      <c r="C1078" t="s">
        <v>20</v>
      </c>
      <c r="D1078" t="s">
        <v>30</v>
      </c>
      <c r="E1078" t="s">
        <v>22</v>
      </c>
      <c r="F1078">
        <f>IF(Table2[[#This Row],[Attrition]]="Yes", 1, 0)</f>
        <v>0</v>
      </c>
      <c r="G1078" t="s">
        <v>33</v>
      </c>
      <c r="H1078" t="s">
        <v>23</v>
      </c>
      <c r="I1078">
        <v>11</v>
      </c>
      <c r="J1078">
        <v>4</v>
      </c>
      <c r="K1078" t="s">
        <v>29</v>
      </c>
      <c r="L1078">
        <v>2</v>
      </c>
      <c r="M1078">
        <v>4</v>
      </c>
      <c r="N1078" s="3">
        <v>16032</v>
      </c>
      <c r="O1078" s="3" t="str">
        <f>IF(Table2[[#This Row],[MonthlyIncome]]&lt;=5000, "$1001 - $5000", IF(Table2[[#This Row],[MonthlyIncome]]&lt;=9000, "$5001 - $9000", IF(Table2[[#This Row],[MonthlyIncome]]&lt;=13000, "$9001 - $13000", IF(Table2[[#This Row],[MonthlyIncome]]&lt;=17000, "$13001 - $17000", IF(Table2[[#This Row],[MonthlyIncome]]&lt;=21000, "$17001 - $21000")))))</f>
        <v>$13001 - $17000</v>
      </c>
      <c r="P1078">
        <v>3</v>
      </c>
      <c r="Q1078">
        <v>3</v>
      </c>
      <c r="R1078">
        <v>14</v>
      </c>
      <c r="S10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79" spans="1:19" ht="14.25" x14ac:dyDescent="0.2">
      <c r="A1079">
        <v>12447416</v>
      </c>
      <c r="B1079">
        <v>29</v>
      </c>
      <c r="C1079" t="s">
        <v>25</v>
      </c>
      <c r="D1079" t="s">
        <v>19</v>
      </c>
      <c r="E1079" t="s">
        <v>16</v>
      </c>
      <c r="F1079">
        <f>IF(Table2[[#This Row],[Attrition]]="Yes", 1, 0)</f>
        <v>1</v>
      </c>
      <c r="G1079" t="s">
        <v>26</v>
      </c>
      <c r="H1079" t="s">
        <v>23</v>
      </c>
      <c r="I1079">
        <v>1</v>
      </c>
      <c r="J1079">
        <v>4</v>
      </c>
      <c r="K1079" t="s">
        <v>37</v>
      </c>
      <c r="L1079">
        <v>1</v>
      </c>
      <c r="M1079">
        <v>1</v>
      </c>
      <c r="N1079" s="3">
        <v>2362</v>
      </c>
      <c r="O1079" s="3" t="str">
        <f>IF(Table2[[#This Row],[MonthlyIncome]]&lt;=5000, "$1001 - $5000", IF(Table2[[#This Row],[MonthlyIncome]]&lt;=9000, "$5001 - $9000", IF(Table2[[#This Row],[MonthlyIncome]]&lt;=13000, "$9001 - $13000", IF(Table2[[#This Row],[MonthlyIncome]]&lt;=17000, "$13001 - $17000", IF(Table2[[#This Row],[MonthlyIncome]]&lt;=21000, "$17001 - $21000")))))</f>
        <v>$1001 - $5000</v>
      </c>
      <c r="P1079">
        <v>6</v>
      </c>
      <c r="Q1079">
        <v>1</v>
      </c>
      <c r="R1079">
        <v>9</v>
      </c>
      <c r="S10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80" spans="1:19" ht="14.25" x14ac:dyDescent="0.2">
      <c r="A1080">
        <v>65516694</v>
      </c>
      <c r="B1080">
        <v>44</v>
      </c>
      <c r="C1080" t="s">
        <v>25</v>
      </c>
      <c r="D1080" t="s">
        <v>24</v>
      </c>
      <c r="E1080" t="s">
        <v>22</v>
      </c>
      <c r="F1080">
        <f>IF(Table2[[#This Row],[Attrition]]="Yes", 1, 0)</f>
        <v>0</v>
      </c>
      <c r="G1080" t="s">
        <v>35</v>
      </c>
      <c r="H1080" t="s">
        <v>23</v>
      </c>
      <c r="I1080">
        <v>28</v>
      </c>
      <c r="J1080">
        <v>3</v>
      </c>
      <c r="K1080" t="s">
        <v>18</v>
      </c>
      <c r="L1080">
        <v>4</v>
      </c>
      <c r="M1080">
        <v>1</v>
      </c>
      <c r="N1080" s="3">
        <v>16328</v>
      </c>
      <c r="O1080" s="3" t="str">
        <f>IF(Table2[[#This Row],[MonthlyIncome]]&lt;=5000, "$1001 - $5000", IF(Table2[[#This Row],[MonthlyIncome]]&lt;=9000, "$5001 - $9000", IF(Table2[[#This Row],[MonthlyIncome]]&lt;=13000, "$9001 - $13000", IF(Table2[[#This Row],[MonthlyIncome]]&lt;=17000, "$13001 - $17000", IF(Table2[[#This Row],[MonthlyIncome]]&lt;=21000, "$17001 - $21000")))))</f>
        <v>$13001 - $17000</v>
      </c>
      <c r="P1080">
        <v>3</v>
      </c>
      <c r="Q1080">
        <v>4</v>
      </c>
      <c r="R1080">
        <v>20</v>
      </c>
      <c r="S10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081" spans="1:19" ht="14.25" x14ac:dyDescent="0.2">
      <c r="A1081">
        <v>66235200</v>
      </c>
      <c r="B1081">
        <v>39</v>
      </c>
      <c r="C1081" t="s">
        <v>20</v>
      </c>
      <c r="D1081" t="s">
        <v>19</v>
      </c>
      <c r="E1081" t="s">
        <v>22</v>
      </c>
      <c r="F1081">
        <f>IF(Table2[[#This Row],[Attrition]]="Yes", 1, 0)</f>
        <v>0</v>
      </c>
      <c r="G1081" t="s">
        <v>31</v>
      </c>
      <c r="H1081" t="s">
        <v>23</v>
      </c>
      <c r="I1081">
        <v>6</v>
      </c>
      <c r="J1081">
        <v>3</v>
      </c>
      <c r="K1081" t="s">
        <v>18</v>
      </c>
      <c r="L1081">
        <v>2</v>
      </c>
      <c r="M1081">
        <v>2</v>
      </c>
      <c r="N1081" s="3">
        <v>8376</v>
      </c>
      <c r="O1081" s="3" t="str">
        <f>IF(Table2[[#This Row],[MonthlyIncome]]&lt;=5000, "$1001 - $5000", IF(Table2[[#This Row],[MonthlyIncome]]&lt;=9000, "$5001 - $9000", IF(Table2[[#This Row],[MonthlyIncome]]&lt;=13000, "$9001 - $13000", IF(Table2[[#This Row],[MonthlyIncome]]&lt;=17000, "$13001 - $17000", IF(Table2[[#This Row],[MonthlyIncome]]&lt;=21000, "$17001 - $21000")))))</f>
        <v>$5001 - $9000</v>
      </c>
      <c r="P1081">
        <v>4</v>
      </c>
      <c r="Q1081">
        <v>3</v>
      </c>
      <c r="R1081">
        <v>2</v>
      </c>
      <c r="S10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82" spans="1:19" ht="14.25" x14ac:dyDescent="0.2">
      <c r="A1082">
        <v>62888979</v>
      </c>
      <c r="B1082">
        <v>46</v>
      </c>
      <c r="C1082" t="s">
        <v>20</v>
      </c>
      <c r="D1082" t="s">
        <v>24</v>
      </c>
      <c r="E1082" t="s">
        <v>22</v>
      </c>
      <c r="F1082">
        <f>IF(Table2[[#This Row],[Attrition]]="Yes", 1, 0)</f>
        <v>0</v>
      </c>
      <c r="G1082" t="s">
        <v>33</v>
      </c>
      <c r="H1082" t="s">
        <v>17</v>
      </c>
      <c r="I1082">
        <v>3</v>
      </c>
      <c r="J1082">
        <v>3</v>
      </c>
      <c r="K1082" t="s">
        <v>18</v>
      </c>
      <c r="L1082">
        <v>3</v>
      </c>
      <c r="M1082">
        <v>2</v>
      </c>
      <c r="N1082" s="3">
        <v>16606</v>
      </c>
      <c r="O1082" s="3" t="str">
        <f>IF(Table2[[#This Row],[MonthlyIncome]]&lt;=5000, "$1001 - $5000", IF(Table2[[#This Row],[MonthlyIncome]]&lt;=9000, "$5001 - $9000", IF(Table2[[#This Row],[MonthlyIncome]]&lt;=13000, "$9001 - $13000", IF(Table2[[#This Row],[MonthlyIncome]]&lt;=17000, "$13001 - $17000", IF(Table2[[#This Row],[MonthlyIncome]]&lt;=21000, "$17001 - $21000")))))</f>
        <v>$13001 - $17000</v>
      </c>
      <c r="P1082">
        <v>8</v>
      </c>
      <c r="Q1082">
        <v>4</v>
      </c>
      <c r="R1082">
        <v>13</v>
      </c>
      <c r="S10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83" spans="1:19" ht="14.25" x14ac:dyDescent="0.2">
      <c r="A1083">
        <v>37875008</v>
      </c>
      <c r="B1083">
        <v>35</v>
      </c>
      <c r="C1083" t="s">
        <v>20</v>
      </c>
      <c r="D1083" t="s">
        <v>19</v>
      </c>
      <c r="E1083" t="s">
        <v>22</v>
      </c>
      <c r="F1083">
        <f>IF(Table2[[#This Row],[Attrition]]="Yes", 1, 0)</f>
        <v>0</v>
      </c>
      <c r="G1083" t="s">
        <v>32</v>
      </c>
      <c r="H1083" t="s">
        <v>23</v>
      </c>
      <c r="I1083">
        <v>16</v>
      </c>
      <c r="J1083">
        <v>3</v>
      </c>
      <c r="K1083" t="s">
        <v>18</v>
      </c>
      <c r="L1083">
        <v>4</v>
      </c>
      <c r="M1083">
        <v>2</v>
      </c>
      <c r="N1083" s="3">
        <v>8606</v>
      </c>
      <c r="O1083" s="3" t="str">
        <f>IF(Table2[[#This Row],[MonthlyIncome]]&lt;=5000, "$1001 - $5000", IF(Table2[[#This Row],[MonthlyIncome]]&lt;=9000, "$5001 - $9000", IF(Table2[[#This Row],[MonthlyIncome]]&lt;=13000, "$9001 - $13000", IF(Table2[[#This Row],[MonthlyIncome]]&lt;=17000, "$13001 - $17000", IF(Table2[[#This Row],[MonthlyIncome]]&lt;=21000, "$17001 - $21000")))))</f>
        <v>$5001 - $9000</v>
      </c>
      <c r="P1083">
        <v>1</v>
      </c>
      <c r="Q1083">
        <v>1</v>
      </c>
      <c r="R1083">
        <v>11</v>
      </c>
      <c r="S10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84" spans="1:19" ht="14.25" x14ac:dyDescent="0.2">
      <c r="A1084">
        <v>83388109</v>
      </c>
      <c r="B1084">
        <v>23</v>
      </c>
      <c r="C1084" t="s">
        <v>25</v>
      </c>
      <c r="D1084" t="s">
        <v>19</v>
      </c>
      <c r="E1084" t="s">
        <v>22</v>
      </c>
      <c r="F1084">
        <f>IF(Table2[[#This Row],[Attrition]]="Yes", 1, 0)</f>
        <v>0</v>
      </c>
      <c r="G1084" t="s">
        <v>28</v>
      </c>
      <c r="H1084" t="s">
        <v>23</v>
      </c>
      <c r="I1084">
        <v>20</v>
      </c>
      <c r="J1084">
        <v>1</v>
      </c>
      <c r="K1084" t="s">
        <v>18</v>
      </c>
      <c r="L1084">
        <v>1</v>
      </c>
      <c r="M1084">
        <v>3</v>
      </c>
      <c r="N1084" s="3">
        <v>2272</v>
      </c>
      <c r="O1084" s="3" t="str">
        <f>IF(Table2[[#This Row],[MonthlyIncome]]&lt;=5000, "$1001 - $5000", IF(Table2[[#This Row],[MonthlyIncome]]&lt;=9000, "$5001 - $9000", IF(Table2[[#This Row],[MonthlyIncome]]&lt;=13000, "$9001 - $13000", IF(Table2[[#This Row],[MonthlyIncome]]&lt;=17000, "$13001 - $17000", IF(Table2[[#This Row],[MonthlyIncome]]&lt;=21000, "$17001 - $21000")))))</f>
        <v>$1001 - $5000</v>
      </c>
      <c r="P1084">
        <v>0</v>
      </c>
      <c r="Q1084">
        <v>3</v>
      </c>
      <c r="R1084">
        <v>4</v>
      </c>
      <c r="S10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85" spans="1:19" ht="14.25" x14ac:dyDescent="0.2">
      <c r="A1085">
        <v>11664534</v>
      </c>
      <c r="B1085">
        <v>40</v>
      </c>
      <c r="C1085" t="s">
        <v>25</v>
      </c>
      <c r="D1085" t="s">
        <v>19</v>
      </c>
      <c r="E1085" t="s">
        <v>16</v>
      </c>
      <c r="F1085">
        <f>IF(Table2[[#This Row],[Attrition]]="Yes", 1, 0)</f>
        <v>1</v>
      </c>
      <c r="G1085" t="s">
        <v>28</v>
      </c>
      <c r="H1085" t="s">
        <v>23</v>
      </c>
      <c r="I1085">
        <v>9</v>
      </c>
      <c r="J1085">
        <v>4</v>
      </c>
      <c r="K1085" t="s">
        <v>18</v>
      </c>
      <c r="L1085">
        <v>4</v>
      </c>
      <c r="M1085">
        <v>1</v>
      </c>
      <c r="N1085" s="3">
        <v>2018</v>
      </c>
      <c r="O1085" s="3" t="str">
        <f>IF(Table2[[#This Row],[MonthlyIncome]]&lt;=5000, "$1001 - $5000", IF(Table2[[#This Row],[MonthlyIncome]]&lt;=9000, "$5001 - $9000", IF(Table2[[#This Row],[MonthlyIncome]]&lt;=13000, "$9001 - $13000", IF(Table2[[#This Row],[MonthlyIncome]]&lt;=17000, "$13001 - $17000", IF(Table2[[#This Row],[MonthlyIncome]]&lt;=21000, "$17001 - $21000")))))</f>
        <v>$1001 - $5000</v>
      </c>
      <c r="P1085">
        <v>3</v>
      </c>
      <c r="Q1085">
        <v>1</v>
      </c>
      <c r="R1085">
        <v>5</v>
      </c>
      <c r="S10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86" spans="1:19" ht="14.25" x14ac:dyDescent="0.2">
      <c r="A1086">
        <v>18816095</v>
      </c>
      <c r="B1086">
        <v>34</v>
      </c>
      <c r="C1086" t="s">
        <v>25</v>
      </c>
      <c r="D1086" t="s">
        <v>24</v>
      </c>
      <c r="E1086" t="s">
        <v>22</v>
      </c>
      <c r="F1086">
        <f>IF(Table2[[#This Row],[Attrition]]="Yes", 1, 0)</f>
        <v>0</v>
      </c>
      <c r="G1086" t="s">
        <v>21</v>
      </c>
      <c r="H1086" t="s">
        <v>17</v>
      </c>
      <c r="I1086">
        <v>1</v>
      </c>
      <c r="J1086">
        <v>3</v>
      </c>
      <c r="K1086" t="s">
        <v>37</v>
      </c>
      <c r="L1086">
        <v>4</v>
      </c>
      <c r="M1086">
        <v>3</v>
      </c>
      <c r="N1086" s="3">
        <v>7083</v>
      </c>
      <c r="O1086" s="3" t="str">
        <f>IF(Table2[[#This Row],[MonthlyIncome]]&lt;=5000, "$1001 - $5000", IF(Table2[[#This Row],[MonthlyIncome]]&lt;=9000, "$5001 - $9000", IF(Table2[[#This Row],[MonthlyIncome]]&lt;=13000, "$9001 - $13000", IF(Table2[[#This Row],[MonthlyIncome]]&lt;=17000, "$13001 - $17000", IF(Table2[[#This Row],[MonthlyIncome]]&lt;=21000, "$17001 - $21000")))))</f>
        <v>$5001 - $9000</v>
      </c>
      <c r="P1086">
        <v>1</v>
      </c>
      <c r="Q1086">
        <v>3</v>
      </c>
      <c r="R1086">
        <v>10</v>
      </c>
      <c r="S10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87" spans="1:19" ht="14.25" x14ac:dyDescent="0.2">
      <c r="A1087">
        <v>60175350</v>
      </c>
      <c r="B1087">
        <v>31</v>
      </c>
      <c r="C1087" t="s">
        <v>20</v>
      </c>
      <c r="D1087" t="s">
        <v>19</v>
      </c>
      <c r="E1087" t="s">
        <v>16</v>
      </c>
      <c r="F1087">
        <f>IF(Table2[[#This Row],[Attrition]]="Yes", 1, 0)</f>
        <v>1</v>
      </c>
      <c r="G1087" t="s">
        <v>26</v>
      </c>
      <c r="H1087" t="s">
        <v>23</v>
      </c>
      <c r="I1087">
        <v>3</v>
      </c>
      <c r="J1087">
        <v>3</v>
      </c>
      <c r="K1087" t="s">
        <v>18</v>
      </c>
      <c r="L1087">
        <v>4</v>
      </c>
      <c r="M1087">
        <v>3</v>
      </c>
      <c r="N1087" s="3">
        <v>4084</v>
      </c>
      <c r="O1087" s="3" t="str">
        <f>IF(Table2[[#This Row],[MonthlyIncome]]&lt;=5000, "$1001 - $5000", IF(Table2[[#This Row],[MonthlyIncome]]&lt;=9000, "$5001 - $9000", IF(Table2[[#This Row],[MonthlyIncome]]&lt;=13000, "$9001 - $13000", IF(Table2[[#This Row],[MonthlyIncome]]&lt;=17000, "$13001 - $17000", IF(Table2[[#This Row],[MonthlyIncome]]&lt;=21000, "$17001 - $21000")))))</f>
        <v>$1001 - $5000</v>
      </c>
      <c r="P1087">
        <v>1</v>
      </c>
      <c r="Q1087">
        <v>1</v>
      </c>
      <c r="R1087">
        <v>7</v>
      </c>
      <c r="S10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88" spans="1:19" ht="14.25" x14ac:dyDescent="0.2">
      <c r="A1088">
        <v>72308636</v>
      </c>
      <c r="B1088">
        <v>50</v>
      </c>
      <c r="C1088" t="s">
        <v>25</v>
      </c>
      <c r="D1088" t="s">
        <v>19</v>
      </c>
      <c r="E1088" t="s">
        <v>22</v>
      </c>
      <c r="F1088">
        <f>IF(Table2[[#This Row],[Attrition]]="Yes", 1, 0)</f>
        <v>0</v>
      </c>
      <c r="G1088" t="s">
        <v>35</v>
      </c>
      <c r="H1088" t="s">
        <v>23</v>
      </c>
      <c r="I1088">
        <v>22</v>
      </c>
      <c r="J1088">
        <v>5</v>
      </c>
      <c r="K1088" t="s">
        <v>29</v>
      </c>
      <c r="L1088">
        <v>3</v>
      </c>
      <c r="M1088">
        <v>4</v>
      </c>
      <c r="N1088" s="3">
        <v>14411</v>
      </c>
      <c r="O1088" s="3" t="str">
        <f>IF(Table2[[#This Row],[MonthlyIncome]]&lt;=5000, "$1001 - $5000", IF(Table2[[#This Row],[MonthlyIncome]]&lt;=9000, "$5001 - $9000", IF(Table2[[#This Row],[MonthlyIncome]]&lt;=13000, "$9001 - $13000", IF(Table2[[#This Row],[MonthlyIncome]]&lt;=17000, "$13001 - $17000", IF(Table2[[#This Row],[MonthlyIncome]]&lt;=21000, "$17001 - $21000")))))</f>
        <v>$13001 - $17000</v>
      </c>
      <c r="P1088">
        <v>1</v>
      </c>
      <c r="Q1088">
        <v>3</v>
      </c>
      <c r="R1088">
        <v>32</v>
      </c>
      <c r="S10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30 - 35 Years</v>
      </c>
    </row>
    <row r="1089" spans="1:19" ht="14.25" x14ac:dyDescent="0.2">
      <c r="A1089">
        <v>14516472</v>
      </c>
      <c r="B1089">
        <v>34</v>
      </c>
      <c r="C1089" t="s">
        <v>25</v>
      </c>
      <c r="D1089" t="s">
        <v>24</v>
      </c>
      <c r="E1089" t="s">
        <v>22</v>
      </c>
      <c r="F1089">
        <f>IF(Table2[[#This Row],[Attrition]]="Yes", 1, 0)</f>
        <v>0</v>
      </c>
      <c r="G1089" t="s">
        <v>34</v>
      </c>
      <c r="H1089" t="s">
        <v>17</v>
      </c>
      <c r="I1089">
        <v>7</v>
      </c>
      <c r="J1089">
        <v>2</v>
      </c>
      <c r="K1089" t="s">
        <v>37</v>
      </c>
      <c r="L1089">
        <v>2</v>
      </c>
      <c r="M1089">
        <v>3</v>
      </c>
      <c r="N1089" s="3">
        <v>2308</v>
      </c>
      <c r="O1089" s="3" t="str">
        <f>IF(Table2[[#This Row],[MonthlyIncome]]&lt;=5000, "$1001 - $5000", IF(Table2[[#This Row],[MonthlyIncome]]&lt;=9000, "$5001 - $9000", IF(Table2[[#This Row],[MonthlyIncome]]&lt;=13000, "$9001 - $13000", IF(Table2[[#This Row],[MonthlyIncome]]&lt;=17000, "$13001 - $17000", IF(Table2[[#This Row],[MonthlyIncome]]&lt;=21000, "$17001 - $21000")))))</f>
        <v>$1001 - $5000</v>
      </c>
      <c r="P1089">
        <v>0</v>
      </c>
      <c r="Q1089">
        <v>3</v>
      </c>
      <c r="R1089">
        <v>11</v>
      </c>
      <c r="S10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90" spans="1:19" ht="14.25" x14ac:dyDescent="0.2">
      <c r="A1090">
        <v>10133221</v>
      </c>
      <c r="B1090">
        <v>42</v>
      </c>
      <c r="C1090" t="s">
        <v>25</v>
      </c>
      <c r="D1090" t="s">
        <v>24</v>
      </c>
      <c r="E1090" t="s">
        <v>22</v>
      </c>
      <c r="F1090">
        <f>IF(Table2[[#This Row],[Attrition]]="Yes", 1, 0)</f>
        <v>0</v>
      </c>
      <c r="G1090" t="s">
        <v>28</v>
      </c>
      <c r="H1090" t="s">
        <v>23</v>
      </c>
      <c r="I1090">
        <v>2</v>
      </c>
      <c r="J1090">
        <v>3</v>
      </c>
      <c r="K1090" t="s">
        <v>29</v>
      </c>
      <c r="L1090">
        <v>3</v>
      </c>
      <c r="M1090">
        <v>2</v>
      </c>
      <c r="N1090" s="3">
        <v>4841</v>
      </c>
      <c r="O1090" s="3" t="str">
        <f>IF(Table2[[#This Row],[MonthlyIncome]]&lt;=5000, "$1001 - $5000", IF(Table2[[#This Row],[MonthlyIncome]]&lt;=9000, "$5001 - $9000", IF(Table2[[#This Row],[MonthlyIncome]]&lt;=13000, "$9001 - $13000", IF(Table2[[#This Row],[MonthlyIncome]]&lt;=17000, "$13001 - $17000", IF(Table2[[#This Row],[MonthlyIncome]]&lt;=21000, "$17001 - $21000")))))</f>
        <v>$1001 - $5000</v>
      </c>
      <c r="P1090">
        <v>4</v>
      </c>
      <c r="Q1090">
        <v>3</v>
      </c>
      <c r="R1090">
        <v>1</v>
      </c>
      <c r="S10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091" spans="1:19" ht="14.25" x14ac:dyDescent="0.2">
      <c r="A1091">
        <v>15665164</v>
      </c>
      <c r="B1091">
        <v>37</v>
      </c>
      <c r="C1091" t="s">
        <v>25</v>
      </c>
      <c r="D1091" t="s">
        <v>24</v>
      </c>
      <c r="E1091" t="s">
        <v>22</v>
      </c>
      <c r="F1091">
        <f>IF(Table2[[#This Row],[Attrition]]="Yes", 1, 0)</f>
        <v>0</v>
      </c>
      <c r="G1091" t="s">
        <v>26</v>
      </c>
      <c r="H1091" t="s">
        <v>23</v>
      </c>
      <c r="I1091">
        <v>13</v>
      </c>
      <c r="J1091">
        <v>3</v>
      </c>
      <c r="K1091" t="s">
        <v>29</v>
      </c>
      <c r="L1091">
        <v>1</v>
      </c>
      <c r="M1091">
        <v>4</v>
      </c>
      <c r="N1091" s="3">
        <v>4285</v>
      </c>
      <c r="O1091" s="3" t="str">
        <f>IF(Table2[[#This Row],[MonthlyIncome]]&lt;=5000, "$1001 - $5000", IF(Table2[[#This Row],[MonthlyIncome]]&lt;=9000, "$5001 - $9000", IF(Table2[[#This Row],[MonthlyIncome]]&lt;=13000, "$9001 - $13000", IF(Table2[[#This Row],[MonthlyIncome]]&lt;=17000, "$13001 - $17000", IF(Table2[[#This Row],[MonthlyIncome]]&lt;=21000, "$17001 - $21000")))))</f>
        <v>$1001 - $5000</v>
      </c>
      <c r="P1091">
        <v>1</v>
      </c>
      <c r="Q1091">
        <v>3</v>
      </c>
      <c r="R1091">
        <v>10</v>
      </c>
      <c r="S10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092" spans="1:19" ht="14.25" x14ac:dyDescent="0.2">
      <c r="A1092">
        <v>72272332</v>
      </c>
      <c r="B1092">
        <v>29</v>
      </c>
      <c r="C1092" t="s">
        <v>20</v>
      </c>
      <c r="D1092" t="s">
        <v>24</v>
      </c>
      <c r="E1092" t="s">
        <v>22</v>
      </c>
      <c r="F1092">
        <f>IF(Table2[[#This Row],[Attrition]]="Yes", 1, 0)</f>
        <v>0</v>
      </c>
      <c r="G1092" t="s">
        <v>32</v>
      </c>
      <c r="H1092" t="s">
        <v>23</v>
      </c>
      <c r="I1092">
        <v>8</v>
      </c>
      <c r="J1092">
        <v>1</v>
      </c>
      <c r="K1092" t="s">
        <v>27</v>
      </c>
      <c r="L1092">
        <v>3</v>
      </c>
      <c r="M1092">
        <v>1</v>
      </c>
      <c r="N1092" s="3">
        <v>9715</v>
      </c>
      <c r="O1092" s="3" t="str">
        <f>IF(Table2[[#This Row],[MonthlyIncome]]&lt;=5000, "$1001 - $5000", IF(Table2[[#This Row],[MonthlyIncome]]&lt;=9000, "$5001 - $9000", IF(Table2[[#This Row],[MonthlyIncome]]&lt;=13000, "$9001 - $13000", IF(Table2[[#This Row],[MonthlyIncome]]&lt;=17000, "$13001 - $17000", IF(Table2[[#This Row],[MonthlyIncome]]&lt;=21000, "$17001 - $21000")))))</f>
        <v>$9001 - $13000</v>
      </c>
      <c r="P1092">
        <v>3</v>
      </c>
      <c r="Q1092">
        <v>3</v>
      </c>
      <c r="R1092">
        <v>7</v>
      </c>
      <c r="S10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93" spans="1:19" ht="14.25" x14ac:dyDescent="0.2">
      <c r="A1093">
        <v>83000815</v>
      </c>
      <c r="B1093">
        <v>33</v>
      </c>
      <c r="C1093" t="s">
        <v>25</v>
      </c>
      <c r="D1093" t="s">
        <v>19</v>
      </c>
      <c r="E1093" t="s">
        <v>22</v>
      </c>
      <c r="F1093">
        <f>IF(Table2[[#This Row],[Attrition]]="Yes", 1, 0)</f>
        <v>0</v>
      </c>
      <c r="G1093" t="s">
        <v>31</v>
      </c>
      <c r="H1093" t="s">
        <v>23</v>
      </c>
      <c r="I1093">
        <v>25</v>
      </c>
      <c r="J1093">
        <v>3</v>
      </c>
      <c r="K1093" t="s">
        <v>18</v>
      </c>
      <c r="L1093">
        <v>4</v>
      </c>
      <c r="M1093">
        <v>2</v>
      </c>
      <c r="N1093" s="3">
        <v>4320</v>
      </c>
      <c r="O1093" s="3" t="str">
        <f>IF(Table2[[#This Row],[MonthlyIncome]]&lt;=5000, "$1001 - $5000", IF(Table2[[#This Row],[MonthlyIncome]]&lt;=9000, "$5001 - $9000", IF(Table2[[#This Row],[MonthlyIncome]]&lt;=13000, "$9001 - $13000", IF(Table2[[#This Row],[MonthlyIncome]]&lt;=17000, "$13001 - $17000", IF(Table2[[#This Row],[MonthlyIncome]]&lt;=21000, "$17001 - $21000")))))</f>
        <v>$1001 - $5000</v>
      </c>
      <c r="P1093">
        <v>1</v>
      </c>
      <c r="Q1093">
        <v>3</v>
      </c>
      <c r="R1093">
        <v>5</v>
      </c>
      <c r="S10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94" spans="1:19" ht="14.25" x14ac:dyDescent="0.2">
      <c r="A1094">
        <v>74307632</v>
      </c>
      <c r="B1094">
        <v>45</v>
      </c>
      <c r="C1094" t="s">
        <v>25</v>
      </c>
      <c r="D1094" t="s">
        <v>24</v>
      </c>
      <c r="E1094" t="s">
        <v>22</v>
      </c>
      <c r="F1094">
        <f>IF(Table2[[#This Row],[Attrition]]="Yes", 1, 0)</f>
        <v>0</v>
      </c>
      <c r="G1094" t="s">
        <v>26</v>
      </c>
      <c r="H1094" t="s">
        <v>23</v>
      </c>
      <c r="I1094">
        <v>28</v>
      </c>
      <c r="J1094">
        <v>3</v>
      </c>
      <c r="K1094" t="s">
        <v>37</v>
      </c>
      <c r="L1094">
        <v>4</v>
      </c>
      <c r="M1094">
        <v>4</v>
      </c>
      <c r="N1094" s="3">
        <v>2132</v>
      </c>
      <c r="O1094" s="3" t="str">
        <f>IF(Table2[[#This Row],[MonthlyIncome]]&lt;=5000, "$1001 - $5000", IF(Table2[[#This Row],[MonthlyIncome]]&lt;=9000, "$5001 - $9000", IF(Table2[[#This Row],[MonthlyIncome]]&lt;=13000, "$9001 - $13000", IF(Table2[[#This Row],[MonthlyIncome]]&lt;=17000, "$13001 - $17000", IF(Table2[[#This Row],[MonthlyIncome]]&lt;=21000, "$17001 - $21000")))))</f>
        <v>$1001 - $5000</v>
      </c>
      <c r="P1094">
        <v>4</v>
      </c>
      <c r="Q1094">
        <v>3</v>
      </c>
      <c r="R1094">
        <v>5</v>
      </c>
      <c r="S10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95" spans="1:19" ht="14.25" x14ac:dyDescent="0.2">
      <c r="A1095">
        <v>26972358</v>
      </c>
      <c r="B1095">
        <v>42</v>
      </c>
      <c r="C1095" t="s">
        <v>25</v>
      </c>
      <c r="D1095" t="s">
        <v>24</v>
      </c>
      <c r="E1095" t="s">
        <v>22</v>
      </c>
      <c r="F1095">
        <f>IF(Table2[[#This Row],[Attrition]]="Yes", 1, 0)</f>
        <v>0</v>
      </c>
      <c r="G1095" t="s">
        <v>32</v>
      </c>
      <c r="H1095" t="s">
        <v>23</v>
      </c>
      <c r="I1095">
        <v>2</v>
      </c>
      <c r="J1095">
        <v>3</v>
      </c>
      <c r="K1095" t="s">
        <v>18</v>
      </c>
      <c r="L1095">
        <v>4</v>
      </c>
      <c r="M1095">
        <v>4</v>
      </c>
      <c r="N1095" s="3">
        <v>10124</v>
      </c>
      <c r="O1095" s="3" t="str">
        <f>IF(Table2[[#This Row],[MonthlyIncome]]&lt;=5000, "$1001 - $5000", IF(Table2[[#This Row],[MonthlyIncome]]&lt;=9000, "$5001 - $9000", IF(Table2[[#This Row],[MonthlyIncome]]&lt;=13000, "$9001 - $13000", IF(Table2[[#This Row],[MonthlyIncome]]&lt;=17000, "$13001 - $17000", IF(Table2[[#This Row],[MonthlyIncome]]&lt;=21000, "$17001 - $21000")))))</f>
        <v>$9001 - $13000</v>
      </c>
      <c r="P1095">
        <v>2</v>
      </c>
      <c r="Q1095">
        <v>1</v>
      </c>
      <c r="R1095">
        <v>20</v>
      </c>
      <c r="S10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096" spans="1:19" ht="14.25" x14ac:dyDescent="0.2">
      <c r="A1096">
        <v>21618487</v>
      </c>
      <c r="B1096">
        <v>40</v>
      </c>
      <c r="C1096" t="s">
        <v>25</v>
      </c>
      <c r="D1096" t="s">
        <v>24</v>
      </c>
      <c r="E1096" t="s">
        <v>22</v>
      </c>
      <c r="F1096">
        <f>IF(Table2[[#This Row],[Attrition]]="Yes", 1, 0)</f>
        <v>0</v>
      </c>
      <c r="G1096" t="s">
        <v>21</v>
      </c>
      <c r="H1096" t="s">
        <v>17</v>
      </c>
      <c r="I1096">
        <v>9</v>
      </c>
      <c r="J1096">
        <v>2</v>
      </c>
      <c r="K1096" t="s">
        <v>29</v>
      </c>
      <c r="L1096">
        <v>1</v>
      </c>
      <c r="M1096">
        <v>1</v>
      </c>
      <c r="N1096" s="3">
        <v>5473</v>
      </c>
      <c r="O1096" s="3" t="str">
        <f>IF(Table2[[#This Row],[MonthlyIncome]]&lt;=5000, "$1001 - $5000", IF(Table2[[#This Row],[MonthlyIncome]]&lt;=9000, "$5001 - $9000", IF(Table2[[#This Row],[MonthlyIncome]]&lt;=13000, "$9001 - $13000", IF(Table2[[#This Row],[MonthlyIncome]]&lt;=17000, "$13001 - $17000", IF(Table2[[#This Row],[MonthlyIncome]]&lt;=21000, "$17001 - $21000")))))</f>
        <v>$5001 - $9000</v>
      </c>
      <c r="P1096">
        <v>0</v>
      </c>
      <c r="Q1096">
        <v>4</v>
      </c>
      <c r="R1096">
        <v>8</v>
      </c>
      <c r="S10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097" spans="1:19" ht="14.25" x14ac:dyDescent="0.2">
      <c r="A1097">
        <v>88536482</v>
      </c>
      <c r="B1097">
        <v>33</v>
      </c>
      <c r="C1097" t="s">
        <v>25</v>
      </c>
      <c r="D1097" t="s">
        <v>24</v>
      </c>
      <c r="E1097" t="s">
        <v>22</v>
      </c>
      <c r="F1097">
        <f>IF(Table2[[#This Row],[Attrition]]="Yes", 1, 0)</f>
        <v>0</v>
      </c>
      <c r="G1097" t="s">
        <v>28</v>
      </c>
      <c r="H1097" t="s">
        <v>23</v>
      </c>
      <c r="I1097">
        <v>28</v>
      </c>
      <c r="J1097">
        <v>4</v>
      </c>
      <c r="K1097" t="s">
        <v>18</v>
      </c>
      <c r="L1097">
        <v>2</v>
      </c>
      <c r="M1097">
        <v>3</v>
      </c>
      <c r="N1097" s="3">
        <v>5207</v>
      </c>
      <c r="O1097" s="3" t="str">
        <f>IF(Table2[[#This Row],[MonthlyIncome]]&lt;=5000, "$1001 - $5000", IF(Table2[[#This Row],[MonthlyIncome]]&lt;=9000, "$5001 - $9000", IF(Table2[[#This Row],[MonthlyIncome]]&lt;=13000, "$9001 - $13000", IF(Table2[[#This Row],[MonthlyIncome]]&lt;=17000, "$13001 - $17000", IF(Table2[[#This Row],[MonthlyIncome]]&lt;=21000, "$17001 - $21000")))))</f>
        <v>$5001 - $9000</v>
      </c>
      <c r="P1097">
        <v>1</v>
      </c>
      <c r="Q1097">
        <v>3</v>
      </c>
      <c r="R1097">
        <v>15</v>
      </c>
      <c r="S10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098" spans="1:19" ht="14.25" x14ac:dyDescent="0.2">
      <c r="A1098">
        <v>13889459</v>
      </c>
      <c r="B1098">
        <v>40</v>
      </c>
      <c r="C1098" t="s">
        <v>25</v>
      </c>
      <c r="D1098" t="s">
        <v>19</v>
      </c>
      <c r="E1098" t="s">
        <v>22</v>
      </c>
      <c r="F1098">
        <f>IF(Table2[[#This Row],[Attrition]]="Yes", 1, 0)</f>
        <v>0</v>
      </c>
      <c r="G1098" t="s">
        <v>33</v>
      </c>
      <c r="H1098" t="s">
        <v>38</v>
      </c>
      <c r="I1098">
        <v>6</v>
      </c>
      <c r="J1098">
        <v>2</v>
      </c>
      <c r="K1098" t="s">
        <v>29</v>
      </c>
      <c r="L1098">
        <v>3</v>
      </c>
      <c r="M1098">
        <v>4</v>
      </c>
      <c r="N1098" s="3">
        <v>16437</v>
      </c>
      <c r="O1098" s="3" t="str">
        <f>IF(Table2[[#This Row],[MonthlyIncome]]&lt;=5000, "$1001 - $5000", IF(Table2[[#This Row],[MonthlyIncome]]&lt;=9000, "$5001 - $9000", IF(Table2[[#This Row],[MonthlyIncome]]&lt;=13000, "$9001 - $13000", IF(Table2[[#This Row],[MonthlyIncome]]&lt;=17000, "$13001 - $17000", IF(Table2[[#This Row],[MonthlyIncome]]&lt;=21000, "$17001 - $21000")))))</f>
        <v>$13001 - $17000</v>
      </c>
      <c r="P1098">
        <v>1</v>
      </c>
      <c r="Q1098">
        <v>3</v>
      </c>
      <c r="R1098">
        <v>21</v>
      </c>
      <c r="S10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099" spans="1:19" ht="14.25" x14ac:dyDescent="0.2">
      <c r="A1099">
        <v>83810982</v>
      </c>
      <c r="B1099">
        <v>24</v>
      </c>
      <c r="C1099" t="s">
        <v>25</v>
      </c>
      <c r="D1099" t="s">
        <v>30</v>
      </c>
      <c r="E1099" t="s">
        <v>22</v>
      </c>
      <c r="F1099">
        <f>IF(Table2[[#This Row],[Attrition]]="Yes", 1, 0)</f>
        <v>0</v>
      </c>
      <c r="G1099" t="s">
        <v>28</v>
      </c>
      <c r="H1099" t="s">
        <v>23</v>
      </c>
      <c r="I1099">
        <v>21</v>
      </c>
      <c r="J1099">
        <v>2</v>
      </c>
      <c r="K1099" t="s">
        <v>37</v>
      </c>
      <c r="L1099">
        <v>3</v>
      </c>
      <c r="M1099">
        <v>1</v>
      </c>
      <c r="N1099" s="3">
        <v>2296</v>
      </c>
      <c r="O1099" s="3" t="str">
        <f>IF(Table2[[#This Row],[MonthlyIncome]]&lt;=5000, "$1001 - $5000", IF(Table2[[#This Row],[MonthlyIncome]]&lt;=9000, "$5001 - $9000", IF(Table2[[#This Row],[MonthlyIncome]]&lt;=13000, "$9001 - $13000", IF(Table2[[#This Row],[MonthlyIncome]]&lt;=17000, "$13001 - $17000", IF(Table2[[#This Row],[MonthlyIncome]]&lt;=21000, "$17001 - $21000")))))</f>
        <v>$1001 - $5000</v>
      </c>
      <c r="P1099">
        <v>0</v>
      </c>
      <c r="Q1099">
        <v>3</v>
      </c>
      <c r="R1099">
        <v>1</v>
      </c>
      <c r="S10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00" spans="1:19" ht="14.25" x14ac:dyDescent="0.2">
      <c r="A1100">
        <v>75259665</v>
      </c>
      <c r="B1100">
        <v>40</v>
      </c>
      <c r="C1100" t="s">
        <v>25</v>
      </c>
      <c r="D1100" t="s">
        <v>30</v>
      </c>
      <c r="E1100" t="s">
        <v>22</v>
      </c>
      <c r="F1100">
        <f>IF(Table2[[#This Row],[Attrition]]="Yes", 1, 0)</f>
        <v>0</v>
      </c>
      <c r="G1100" t="s">
        <v>32</v>
      </c>
      <c r="H1100" t="s">
        <v>23</v>
      </c>
      <c r="I1100">
        <v>8</v>
      </c>
      <c r="J1100">
        <v>2</v>
      </c>
      <c r="K1100" t="s">
        <v>18</v>
      </c>
      <c r="L1100">
        <v>4</v>
      </c>
      <c r="M1100">
        <v>4</v>
      </c>
      <c r="N1100" s="3">
        <v>4069</v>
      </c>
      <c r="O1100" s="3" t="str">
        <f>IF(Table2[[#This Row],[MonthlyIncome]]&lt;=5000, "$1001 - $5000", IF(Table2[[#This Row],[MonthlyIncome]]&lt;=9000, "$5001 - $9000", IF(Table2[[#This Row],[MonthlyIncome]]&lt;=13000, "$9001 - $13000", IF(Table2[[#This Row],[MonthlyIncome]]&lt;=17000, "$13001 - $17000", IF(Table2[[#This Row],[MonthlyIncome]]&lt;=21000, "$17001 - $21000")))))</f>
        <v>$1001 - $5000</v>
      </c>
      <c r="P1100">
        <v>3</v>
      </c>
      <c r="Q1100">
        <v>3</v>
      </c>
      <c r="R1100">
        <v>2</v>
      </c>
      <c r="S11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01" spans="1:19" ht="14.25" x14ac:dyDescent="0.2">
      <c r="A1101">
        <v>32420733</v>
      </c>
      <c r="B1101">
        <v>45</v>
      </c>
      <c r="C1101" t="s">
        <v>25</v>
      </c>
      <c r="D1101" t="s">
        <v>30</v>
      </c>
      <c r="E1101" t="s">
        <v>22</v>
      </c>
      <c r="F1101">
        <f>IF(Table2[[#This Row],[Attrition]]="Yes", 1, 0)</f>
        <v>0</v>
      </c>
      <c r="G1101" t="s">
        <v>32</v>
      </c>
      <c r="H1101" t="s">
        <v>23</v>
      </c>
      <c r="I1101">
        <v>1</v>
      </c>
      <c r="J1101">
        <v>4</v>
      </c>
      <c r="K1101" t="s">
        <v>37</v>
      </c>
      <c r="L1101">
        <v>1</v>
      </c>
      <c r="M1101">
        <v>2</v>
      </c>
      <c r="N1101" s="3">
        <v>7441</v>
      </c>
      <c r="O1101" s="3" t="str">
        <f>IF(Table2[[#This Row],[MonthlyIncome]]&lt;=5000, "$1001 - $5000", IF(Table2[[#This Row],[MonthlyIncome]]&lt;=9000, "$5001 - $9000", IF(Table2[[#This Row],[MonthlyIncome]]&lt;=13000, "$9001 - $13000", IF(Table2[[#This Row],[MonthlyIncome]]&lt;=17000, "$13001 - $17000", IF(Table2[[#This Row],[MonthlyIncome]]&lt;=21000, "$17001 - $21000")))))</f>
        <v>$5001 - $9000</v>
      </c>
      <c r="P1101">
        <v>1</v>
      </c>
      <c r="Q1101">
        <v>3</v>
      </c>
      <c r="R1101">
        <v>10</v>
      </c>
      <c r="S11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02" spans="1:19" ht="14.25" x14ac:dyDescent="0.2">
      <c r="A1102">
        <v>64316957</v>
      </c>
      <c r="B1102">
        <v>35</v>
      </c>
      <c r="C1102" t="s">
        <v>20</v>
      </c>
      <c r="D1102" t="s">
        <v>24</v>
      </c>
      <c r="E1102" t="s">
        <v>22</v>
      </c>
      <c r="F1102">
        <f>IF(Table2[[#This Row],[Attrition]]="Yes", 1, 0)</f>
        <v>0</v>
      </c>
      <c r="G1102" t="s">
        <v>34</v>
      </c>
      <c r="H1102" t="s">
        <v>17</v>
      </c>
      <c r="I1102">
        <v>28</v>
      </c>
      <c r="J1102">
        <v>4</v>
      </c>
      <c r="K1102" t="s">
        <v>18</v>
      </c>
      <c r="L1102">
        <v>2</v>
      </c>
      <c r="M1102">
        <v>3</v>
      </c>
      <c r="N1102" s="3">
        <v>2430</v>
      </c>
      <c r="O1102" s="3" t="str">
        <f>IF(Table2[[#This Row],[MonthlyIncome]]&lt;=5000, "$1001 - $5000", IF(Table2[[#This Row],[MonthlyIncome]]&lt;=9000, "$5001 - $9000", IF(Table2[[#This Row],[MonthlyIncome]]&lt;=13000, "$9001 - $13000", IF(Table2[[#This Row],[MonthlyIncome]]&lt;=17000, "$13001 - $17000", IF(Table2[[#This Row],[MonthlyIncome]]&lt;=21000, "$17001 - $21000")))))</f>
        <v>$1001 - $5000</v>
      </c>
      <c r="P1102">
        <v>0</v>
      </c>
      <c r="Q1102">
        <v>3</v>
      </c>
      <c r="R1102">
        <v>5</v>
      </c>
      <c r="S11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03" spans="1:19" ht="14.25" x14ac:dyDescent="0.2">
      <c r="A1103">
        <v>72070122</v>
      </c>
      <c r="B1103">
        <v>32</v>
      </c>
      <c r="C1103" t="s">
        <v>20</v>
      </c>
      <c r="D1103" t="s">
        <v>24</v>
      </c>
      <c r="E1103" t="s">
        <v>22</v>
      </c>
      <c r="F1103">
        <f>IF(Table2[[#This Row],[Attrition]]="Yes", 1, 0)</f>
        <v>0</v>
      </c>
      <c r="G1103" t="s">
        <v>26</v>
      </c>
      <c r="H1103" t="s">
        <v>23</v>
      </c>
      <c r="I1103">
        <v>5</v>
      </c>
      <c r="J1103">
        <v>2</v>
      </c>
      <c r="K1103" t="s">
        <v>18</v>
      </c>
      <c r="L1103">
        <v>4</v>
      </c>
      <c r="M1103">
        <v>2</v>
      </c>
      <c r="N1103" s="3">
        <v>5878</v>
      </c>
      <c r="O1103" s="3" t="str">
        <f>IF(Table2[[#This Row],[MonthlyIncome]]&lt;=5000, "$1001 - $5000", IF(Table2[[#This Row],[MonthlyIncome]]&lt;=9000, "$5001 - $9000", IF(Table2[[#This Row],[MonthlyIncome]]&lt;=13000, "$9001 - $13000", IF(Table2[[#This Row],[MonthlyIncome]]&lt;=17000, "$13001 - $17000", IF(Table2[[#This Row],[MonthlyIncome]]&lt;=21000, "$17001 - $21000")))))</f>
        <v>$5001 - $9000</v>
      </c>
      <c r="P1103">
        <v>3</v>
      </c>
      <c r="Q1103">
        <v>3</v>
      </c>
      <c r="R1103">
        <v>7</v>
      </c>
      <c r="S11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04" spans="1:19" ht="14.25" x14ac:dyDescent="0.2">
      <c r="A1104">
        <v>54539402</v>
      </c>
      <c r="B1104">
        <v>36</v>
      </c>
      <c r="C1104" t="s">
        <v>25</v>
      </c>
      <c r="D1104" t="s">
        <v>19</v>
      </c>
      <c r="E1104" t="s">
        <v>22</v>
      </c>
      <c r="F1104">
        <f>IF(Table2[[#This Row],[Attrition]]="Yes", 1, 0)</f>
        <v>0</v>
      </c>
      <c r="G1104" t="s">
        <v>34</v>
      </c>
      <c r="H1104" t="s">
        <v>17</v>
      </c>
      <c r="I1104">
        <v>2</v>
      </c>
      <c r="J1104">
        <v>4</v>
      </c>
      <c r="K1104" t="s">
        <v>18</v>
      </c>
      <c r="L1104">
        <v>3</v>
      </c>
      <c r="M1104">
        <v>4</v>
      </c>
      <c r="N1104" s="3">
        <v>2644</v>
      </c>
      <c r="O1104" s="3" t="str">
        <f>IF(Table2[[#This Row],[MonthlyIncome]]&lt;=5000, "$1001 - $5000", IF(Table2[[#This Row],[MonthlyIncome]]&lt;=9000, "$5001 - $9000", IF(Table2[[#This Row],[MonthlyIncome]]&lt;=13000, "$9001 - $13000", IF(Table2[[#This Row],[MonthlyIncome]]&lt;=17000, "$13001 - $17000", IF(Table2[[#This Row],[MonthlyIncome]]&lt;=21000, "$17001 - $21000")))))</f>
        <v>$1001 - $5000</v>
      </c>
      <c r="P1104">
        <v>3</v>
      </c>
      <c r="Q1104">
        <v>2</v>
      </c>
      <c r="R1104">
        <v>3</v>
      </c>
      <c r="S11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05" spans="1:19" ht="14.25" x14ac:dyDescent="0.2">
      <c r="A1105">
        <v>42817398</v>
      </c>
      <c r="B1105">
        <v>48</v>
      </c>
      <c r="C1105" t="s">
        <v>20</v>
      </c>
      <c r="D1105" t="s">
        <v>30</v>
      </c>
      <c r="E1105" t="s">
        <v>22</v>
      </c>
      <c r="F1105">
        <f>IF(Table2[[#This Row],[Attrition]]="Yes", 1, 0)</f>
        <v>0</v>
      </c>
      <c r="G1105" t="s">
        <v>21</v>
      </c>
      <c r="H1105" t="s">
        <v>17</v>
      </c>
      <c r="I1105">
        <v>16</v>
      </c>
      <c r="J1105">
        <v>4</v>
      </c>
      <c r="K1105" t="s">
        <v>18</v>
      </c>
      <c r="L1105">
        <v>3</v>
      </c>
      <c r="M1105">
        <v>3</v>
      </c>
      <c r="N1105" s="3">
        <v>6439</v>
      </c>
      <c r="O1105" s="3" t="str">
        <f>IF(Table2[[#This Row],[MonthlyIncome]]&lt;=5000, "$1001 - $5000", IF(Table2[[#This Row],[MonthlyIncome]]&lt;=9000, "$5001 - $9000", IF(Table2[[#This Row],[MonthlyIncome]]&lt;=13000, "$9001 - $13000", IF(Table2[[#This Row],[MonthlyIncome]]&lt;=17000, "$13001 - $17000", IF(Table2[[#This Row],[MonthlyIncome]]&lt;=21000, "$17001 - $21000")))))</f>
        <v>$5001 - $9000</v>
      </c>
      <c r="P1105">
        <v>8</v>
      </c>
      <c r="Q1105">
        <v>3</v>
      </c>
      <c r="R1105">
        <v>8</v>
      </c>
      <c r="S11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06" spans="1:19" ht="14.25" x14ac:dyDescent="0.2">
      <c r="A1106">
        <v>56155596</v>
      </c>
      <c r="B1106">
        <v>29</v>
      </c>
      <c r="C1106" t="s">
        <v>25</v>
      </c>
      <c r="D1106" t="s">
        <v>24</v>
      </c>
      <c r="E1106" t="s">
        <v>22</v>
      </c>
      <c r="F1106">
        <f>IF(Table2[[#This Row],[Attrition]]="Yes", 1, 0)</f>
        <v>0</v>
      </c>
      <c r="G1106" t="s">
        <v>26</v>
      </c>
      <c r="H1106" t="s">
        <v>23</v>
      </c>
      <c r="I1106">
        <v>9</v>
      </c>
      <c r="J1106">
        <v>3</v>
      </c>
      <c r="K1106" t="s">
        <v>18</v>
      </c>
      <c r="L1106">
        <v>3</v>
      </c>
      <c r="M1106">
        <v>3</v>
      </c>
      <c r="N1106" s="3">
        <v>2451</v>
      </c>
      <c r="O1106" s="3" t="str">
        <f>IF(Table2[[#This Row],[MonthlyIncome]]&lt;=5000, "$1001 - $5000", IF(Table2[[#This Row],[MonthlyIncome]]&lt;=9000, "$5001 - $9000", IF(Table2[[#This Row],[MonthlyIncome]]&lt;=13000, "$9001 - $13000", IF(Table2[[#This Row],[MonthlyIncome]]&lt;=17000, "$13001 - $17000", IF(Table2[[#This Row],[MonthlyIncome]]&lt;=21000, "$17001 - $21000")))))</f>
        <v>$1001 - $5000</v>
      </c>
      <c r="P1106">
        <v>6</v>
      </c>
      <c r="Q1106">
        <v>2</v>
      </c>
      <c r="R1106">
        <v>1</v>
      </c>
      <c r="S11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07" spans="1:19" ht="14.25" x14ac:dyDescent="0.2">
      <c r="A1107">
        <v>45638393</v>
      </c>
      <c r="B1107">
        <v>33</v>
      </c>
      <c r="C1107" t="s">
        <v>25</v>
      </c>
      <c r="D1107" t="s">
        <v>24</v>
      </c>
      <c r="E1107" t="s">
        <v>22</v>
      </c>
      <c r="F1107">
        <f>IF(Table2[[#This Row],[Attrition]]="Yes", 1, 0)</f>
        <v>0</v>
      </c>
      <c r="G1107" t="s">
        <v>21</v>
      </c>
      <c r="H1107" t="s">
        <v>17</v>
      </c>
      <c r="I1107">
        <v>8</v>
      </c>
      <c r="J1107">
        <v>4</v>
      </c>
      <c r="K1107" t="s">
        <v>18</v>
      </c>
      <c r="L1107">
        <v>1</v>
      </c>
      <c r="M1107">
        <v>1</v>
      </c>
      <c r="N1107" s="3">
        <v>6392</v>
      </c>
      <c r="O1107" s="3" t="str">
        <f>IF(Table2[[#This Row],[MonthlyIncome]]&lt;=5000, "$1001 - $5000", IF(Table2[[#This Row],[MonthlyIncome]]&lt;=9000, "$5001 - $9000", IF(Table2[[#This Row],[MonthlyIncome]]&lt;=13000, "$9001 - $13000", IF(Table2[[#This Row],[MonthlyIncome]]&lt;=17000, "$13001 - $17000", IF(Table2[[#This Row],[MonthlyIncome]]&lt;=21000, "$17001 - $21000")))))</f>
        <v>$5001 - $9000</v>
      </c>
      <c r="P1107">
        <v>2</v>
      </c>
      <c r="Q1107">
        <v>1</v>
      </c>
      <c r="R1107">
        <v>2</v>
      </c>
      <c r="S11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08" spans="1:19" ht="14.25" x14ac:dyDescent="0.2">
      <c r="A1108">
        <v>14554203</v>
      </c>
      <c r="B1108">
        <v>30</v>
      </c>
      <c r="C1108" t="s">
        <v>25</v>
      </c>
      <c r="D1108" t="s">
        <v>24</v>
      </c>
      <c r="E1108" t="s">
        <v>16</v>
      </c>
      <c r="F1108">
        <f>IF(Table2[[#This Row],[Attrition]]="Yes", 1, 0)</f>
        <v>1</v>
      </c>
      <c r="G1108" t="s">
        <v>21</v>
      </c>
      <c r="H1108" t="s">
        <v>17</v>
      </c>
      <c r="I1108">
        <v>1</v>
      </c>
      <c r="J1108">
        <v>3</v>
      </c>
      <c r="K1108" t="s">
        <v>18</v>
      </c>
      <c r="L1108">
        <v>2</v>
      </c>
      <c r="M1108">
        <v>1</v>
      </c>
      <c r="N1108" s="3">
        <v>9714</v>
      </c>
      <c r="O1108" s="3" t="str">
        <f>IF(Table2[[#This Row],[MonthlyIncome]]&lt;=5000, "$1001 - $5000", IF(Table2[[#This Row],[MonthlyIncome]]&lt;=9000, "$5001 - $9000", IF(Table2[[#This Row],[MonthlyIncome]]&lt;=13000, "$9001 - $13000", IF(Table2[[#This Row],[MonthlyIncome]]&lt;=17000, "$13001 - $17000", IF(Table2[[#This Row],[MonthlyIncome]]&lt;=21000, "$17001 - $21000")))))</f>
        <v>$9001 - $13000</v>
      </c>
      <c r="P1108">
        <v>1</v>
      </c>
      <c r="Q1108">
        <v>3</v>
      </c>
      <c r="R1108">
        <v>10</v>
      </c>
      <c r="S11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09" spans="1:19" ht="14.25" x14ac:dyDescent="0.2">
      <c r="A1109">
        <v>40457838</v>
      </c>
      <c r="B1109">
        <v>38</v>
      </c>
      <c r="C1109" t="s">
        <v>25</v>
      </c>
      <c r="D1109" t="s">
        <v>24</v>
      </c>
      <c r="E1109" t="s">
        <v>22</v>
      </c>
      <c r="F1109">
        <f>IF(Table2[[#This Row],[Attrition]]="Yes", 1, 0)</f>
        <v>0</v>
      </c>
      <c r="G1109" t="s">
        <v>38</v>
      </c>
      <c r="H1109" t="s">
        <v>38</v>
      </c>
      <c r="I1109">
        <v>10</v>
      </c>
      <c r="J1109">
        <v>4</v>
      </c>
      <c r="K1109" t="s">
        <v>38</v>
      </c>
      <c r="L1109">
        <v>3</v>
      </c>
      <c r="M1109">
        <v>3</v>
      </c>
      <c r="N1109" s="3">
        <v>6077</v>
      </c>
      <c r="O1109" s="3" t="str">
        <f>IF(Table2[[#This Row],[MonthlyIncome]]&lt;=5000, "$1001 - $5000", IF(Table2[[#This Row],[MonthlyIncome]]&lt;=9000, "$5001 - $9000", IF(Table2[[#This Row],[MonthlyIncome]]&lt;=13000, "$9001 - $13000", IF(Table2[[#This Row],[MonthlyIncome]]&lt;=17000, "$13001 - $17000", IF(Table2[[#This Row],[MonthlyIncome]]&lt;=21000, "$17001 - $21000")))))</f>
        <v>$5001 - $9000</v>
      </c>
      <c r="P1109">
        <v>3</v>
      </c>
      <c r="Q1109">
        <v>3</v>
      </c>
      <c r="R1109">
        <v>6</v>
      </c>
      <c r="S11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10" spans="1:19" ht="14.25" x14ac:dyDescent="0.2">
      <c r="A1110">
        <v>40634578</v>
      </c>
      <c r="B1110">
        <v>35</v>
      </c>
      <c r="C1110" t="s">
        <v>25</v>
      </c>
      <c r="D1110" t="s">
        <v>19</v>
      </c>
      <c r="E1110" t="s">
        <v>22</v>
      </c>
      <c r="F1110">
        <f>IF(Table2[[#This Row],[Attrition]]="Yes", 1, 0)</f>
        <v>0</v>
      </c>
      <c r="G1110" t="s">
        <v>28</v>
      </c>
      <c r="H1110" t="s">
        <v>23</v>
      </c>
      <c r="I1110">
        <v>1</v>
      </c>
      <c r="J1110">
        <v>3</v>
      </c>
      <c r="K1110" t="s">
        <v>29</v>
      </c>
      <c r="L1110">
        <v>4</v>
      </c>
      <c r="M1110">
        <v>1</v>
      </c>
      <c r="N1110" s="3">
        <v>2450</v>
      </c>
      <c r="O1110" s="3" t="str">
        <f>IF(Table2[[#This Row],[MonthlyIncome]]&lt;=5000, "$1001 - $5000", IF(Table2[[#This Row],[MonthlyIncome]]&lt;=9000, "$5001 - $9000", IF(Table2[[#This Row],[MonthlyIncome]]&lt;=13000, "$9001 - $13000", IF(Table2[[#This Row],[MonthlyIncome]]&lt;=17000, "$13001 - $17000", IF(Table2[[#This Row],[MonthlyIncome]]&lt;=21000, "$17001 - $21000")))))</f>
        <v>$1001 - $5000</v>
      </c>
      <c r="P1110">
        <v>1</v>
      </c>
      <c r="Q1110">
        <v>3</v>
      </c>
      <c r="R1110">
        <v>3</v>
      </c>
      <c r="S11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11" spans="1:19" ht="14.25" x14ac:dyDescent="0.2">
      <c r="A1111">
        <v>89596295</v>
      </c>
      <c r="B1111">
        <v>30</v>
      </c>
      <c r="C1111" t="s">
        <v>25</v>
      </c>
      <c r="D1111" t="s">
        <v>24</v>
      </c>
      <c r="E1111" t="s">
        <v>22</v>
      </c>
      <c r="F1111">
        <f>IF(Table2[[#This Row],[Attrition]]="Yes", 1, 0)</f>
        <v>0</v>
      </c>
      <c r="G1111" t="s">
        <v>21</v>
      </c>
      <c r="H1111" t="s">
        <v>17</v>
      </c>
      <c r="I1111">
        <v>29</v>
      </c>
      <c r="J1111">
        <v>4</v>
      </c>
      <c r="K1111" t="s">
        <v>37</v>
      </c>
      <c r="L1111">
        <v>3</v>
      </c>
      <c r="M1111">
        <v>2</v>
      </c>
      <c r="N1111" s="3">
        <v>9250</v>
      </c>
      <c r="O1111" s="3" t="str">
        <f>IF(Table2[[#This Row],[MonthlyIncome]]&lt;=5000, "$1001 - $5000", IF(Table2[[#This Row],[MonthlyIncome]]&lt;=9000, "$5001 - $9000", IF(Table2[[#This Row],[MonthlyIncome]]&lt;=13000, "$9001 - $13000", IF(Table2[[#This Row],[MonthlyIncome]]&lt;=17000, "$13001 - $17000", IF(Table2[[#This Row],[MonthlyIncome]]&lt;=21000, "$17001 - $21000")))))</f>
        <v>$9001 - $13000</v>
      </c>
      <c r="P1111">
        <v>3</v>
      </c>
      <c r="Q1111">
        <v>3</v>
      </c>
      <c r="R1111">
        <v>4</v>
      </c>
      <c r="S11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12" spans="1:19" ht="14.25" x14ac:dyDescent="0.2">
      <c r="A1112">
        <v>21531311</v>
      </c>
      <c r="B1112">
        <v>35</v>
      </c>
      <c r="C1112" t="s">
        <v>20</v>
      </c>
      <c r="D1112" t="s">
        <v>30</v>
      </c>
      <c r="E1112" t="s">
        <v>16</v>
      </c>
      <c r="F1112">
        <f>IF(Table2[[#This Row],[Attrition]]="Yes", 1, 0)</f>
        <v>1</v>
      </c>
      <c r="G1112" t="s">
        <v>28</v>
      </c>
      <c r="H1112" t="s">
        <v>23</v>
      </c>
      <c r="I1112">
        <v>2</v>
      </c>
      <c r="J1112">
        <v>3</v>
      </c>
      <c r="K1112" t="s">
        <v>18</v>
      </c>
      <c r="L1112">
        <v>1</v>
      </c>
      <c r="M1112">
        <v>1</v>
      </c>
      <c r="N1112" s="3">
        <v>2074</v>
      </c>
      <c r="O1112" s="3" t="str">
        <f>IF(Table2[[#This Row],[MonthlyIncome]]&lt;=5000, "$1001 - $5000", IF(Table2[[#This Row],[MonthlyIncome]]&lt;=9000, "$5001 - $9000", IF(Table2[[#This Row],[MonthlyIncome]]&lt;=13000, "$9001 - $13000", IF(Table2[[#This Row],[MonthlyIncome]]&lt;=17000, "$13001 - $17000", IF(Table2[[#This Row],[MonthlyIncome]]&lt;=21000, "$17001 - $21000")))))</f>
        <v>$1001 - $5000</v>
      </c>
      <c r="P1112">
        <v>1</v>
      </c>
      <c r="Q1112">
        <v>3</v>
      </c>
      <c r="R1112">
        <v>1</v>
      </c>
      <c r="S11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13" spans="1:19" ht="14.25" x14ac:dyDescent="0.2">
      <c r="A1113">
        <v>82955736</v>
      </c>
      <c r="B1113">
        <v>53</v>
      </c>
      <c r="C1113" t="s">
        <v>20</v>
      </c>
      <c r="D1113" t="s">
        <v>24</v>
      </c>
      <c r="E1113" t="s">
        <v>16</v>
      </c>
      <c r="F1113">
        <f>IF(Table2[[#This Row],[Attrition]]="Yes", 1, 0)</f>
        <v>1</v>
      </c>
      <c r="G1113" t="s">
        <v>31</v>
      </c>
      <c r="H1113" t="s">
        <v>23</v>
      </c>
      <c r="I1113">
        <v>2</v>
      </c>
      <c r="J1113">
        <v>5</v>
      </c>
      <c r="K1113" t="s">
        <v>37</v>
      </c>
      <c r="L1113">
        <v>3</v>
      </c>
      <c r="M1113">
        <v>4</v>
      </c>
      <c r="N1113" s="3">
        <v>10169</v>
      </c>
      <c r="O1113" s="3" t="str">
        <f>IF(Table2[[#This Row],[MonthlyIncome]]&lt;=5000, "$1001 - $5000", IF(Table2[[#This Row],[MonthlyIncome]]&lt;=9000, "$5001 - $9000", IF(Table2[[#This Row],[MonthlyIncome]]&lt;=13000, "$9001 - $13000", IF(Table2[[#This Row],[MonthlyIncome]]&lt;=17000, "$13001 - $17000", IF(Table2[[#This Row],[MonthlyIncome]]&lt;=21000, "$17001 - $21000")))))</f>
        <v>$9001 - $13000</v>
      </c>
      <c r="P1113">
        <v>0</v>
      </c>
      <c r="Q1113">
        <v>3</v>
      </c>
      <c r="R1113">
        <v>33</v>
      </c>
      <c r="S11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30 - 35 Years</v>
      </c>
    </row>
    <row r="1114" spans="1:19" ht="14.25" x14ac:dyDescent="0.2">
      <c r="A1114">
        <v>88274803</v>
      </c>
      <c r="B1114">
        <v>38</v>
      </c>
      <c r="C1114" t="s">
        <v>25</v>
      </c>
      <c r="D1114" t="s">
        <v>24</v>
      </c>
      <c r="E1114" t="s">
        <v>16</v>
      </c>
      <c r="F1114">
        <f>IF(Table2[[#This Row],[Attrition]]="Yes", 1, 0)</f>
        <v>1</v>
      </c>
      <c r="G1114" t="s">
        <v>31</v>
      </c>
      <c r="H1114" t="s">
        <v>23</v>
      </c>
      <c r="I1114">
        <v>2</v>
      </c>
      <c r="J1114">
        <v>3</v>
      </c>
      <c r="K1114" t="s">
        <v>29</v>
      </c>
      <c r="L1114">
        <v>3</v>
      </c>
      <c r="M1114">
        <v>2</v>
      </c>
      <c r="N1114" s="3">
        <v>4855</v>
      </c>
      <c r="O1114" s="3" t="str">
        <f>IF(Table2[[#This Row],[MonthlyIncome]]&lt;=5000, "$1001 - $5000", IF(Table2[[#This Row],[MonthlyIncome]]&lt;=9000, "$5001 - $9000", IF(Table2[[#This Row],[MonthlyIncome]]&lt;=13000, "$9001 - $13000", IF(Table2[[#This Row],[MonthlyIncome]]&lt;=17000, "$13001 - $17000", IF(Table2[[#This Row],[MonthlyIncome]]&lt;=21000, "$17001 - $21000")))))</f>
        <v>$1001 - $5000</v>
      </c>
      <c r="P1114">
        <v>4</v>
      </c>
      <c r="Q1114">
        <v>3</v>
      </c>
      <c r="R1114">
        <v>5</v>
      </c>
      <c r="S11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15" spans="1:19" ht="14.25" x14ac:dyDescent="0.2">
      <c r="A1115">
        <v>25410263</v>
      </c>
      <c r="B1115">
        <v>32</v>
      </c>
      <c r="C1115" t="s">
        <v>25</v>
      </c>
      <c r="D1115" t="s">
        <v>24</v>
      </c>
      <c r="E1115" t="s">
        <v>22</v>
      </c>
      <c r="F1115">
        <f>IF(Table2[[#This Row],[Attrition]]="Yes", 1, 0)</f>
        <v>0</v>
      </c>
      <c r="G1115" t="s">
        <v>26</v>
      </c>
      <c r="H1115" t="s">
        <v>23</v>
      </c>
      <c r="I1115">
        <v>1</v>
      </c>
      <c r="J1115">
        <v>4</v>
      </c>
      <c r="K1115" t="s">
        <v>37</v>
      </c>
      <c r="L1115">
        <v>4</v>
      </c>
      <c r="M1115">
        <v>1</v>
      </c>
      <c r="N1115" s="3">
        <v>4087</v>
      </c>
      <c r="O1115" s="3" t="str">
        <f>IF(Table2[[#This Row],[MonthlyIncome]]&lt;=5000, "$1001 - $5000", IF(Table2[[#This Row],[MonthlyIncome]]&lt;=9000, "$5001 - $9000", IF(Table2[[#This Row],[MonthlyIncome]]&lt;=13000, "$9001 - $13000", IF(Table2[[#This Row],[MonthlyIncome]]&lt;=17000, "$13001 - $17000", IF(Table2[[#This Row],[MonthlyIncome]]&lt;=21000, "$17001 - $21000")))))</f>
        <v>$1001 - $5000</v>
      </c>
      <c r="P1115">
        <v>4</v>
      </c>
      <c r="Q1115">
        <v>2</v>
      </c>
      <c r="R1115">
        <v>6</v>
      </c>
      <c r="S11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16" spans="1:19" ht="14.25" x14ac:dyDescent="0.2">
      <c r="A1116">
        <v>68934825</v>
      </c>
      <c r="B1116">
        <v>48</v>
      </c>
      <c r="C1116" t="s">
        <v>20</v>
      </c>
      <c r="D1116" t="s">
        <v>24</v>
      </c>
      <c r="E1116" t="s">
        <v>22</v>
      </c>
      <c r="F1116">
        <f>IF(Table2[[#This Row],[Attrition]]="Yes", 1, 0)</f>
        <v>0</v>
      </c>
      <c r="G1116" t="s">
        <v>26</v>
      </c>
      <c r="H1116" t="s">
        <v>23</v>
      </c>
      <c r="I1116">
        <v>15</v>
      </c>
      <c r="J1116">
        <v>4</v>
      </c>
      <c r="K1116" t="s">
        <v>27</v>
      </c>
      <c r="L1116">
        <v>3</v>
      </c>
      <c r="M1116">
        <v>1</v>
      </c>
      <c r="N1116" s="3">
        <v>2367</v>
      </c>
      <c r="O1116" s="3" t="str">
        <f>IF(Table2[[#This Row],[MonthlyIncome]]&lt;=5000, "$1001 - $5000", IF(Table2[[#This Row],[MonthlyIncome]]&lt;=9000, "$5001 - $9000", IF(Table2[[#This Row],[MonthlyIncome]]&lt;=13000, "$9001 - $13000", IF(Table2[[#This Row],[MonthlyIncome]]&lt;=17000, "$13001 - $17000", IF(Table2[[#This Row],[MonthlyIncome]]&lt;=21000, "$17001 - $21000")))))</f>
        <v>$1001 - $5000</v>
      </c>
      <c r="P1116">
        <v>8</v>
      </c>
      <c r="Q1116">
        <v>2</v>
      </c>
      <c r="R1116">
        <v>8</v>
      </c>
      <c r="S11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17" spans="1:19" ht="14.25" x14ac:dyDescent="0.2">
      <c r="A1117">
        <v>54111061</v>
      </c>
      <c r="B1117">
        <v>34</v>
      </c>
      <c r="C1117" t="s">
        <v>25</v>
      </c>
      <c r="D1117" t="s">
        <v>19</v>
      </c>
      <c r="E1117" t="s">
        <v>22</v>
      </c>
      <c r="F1117">
        <f>IF(Table2[[#This Row],[Attrition]]="Yes", 1, 0)</f>
        <v>0</v>
      </c>
      <c r="G1117" t="s">
        <v>26</v>
      </c>
      <c r="H1117" t="s">
        <v>23</v>
      </c>
      <c r="I1117">
        <v>7</v>
      </c>
      <c r="J1117">
        <v>4</v>
      </c>
      <c r="K1117" t="s">
        <v>29</v>
      </c>
      <c r="L1117">
        <v>1</v>
      </c>
      <c r="M1117">
        <v>4</v>
      </c>
      <c r="N1117" s="3">
        <v>2972</v>
      </c>
      <c r="O1117" s="3" t="str">
        <f>IF(Table2[[#This Row],[MonthlyIncome]]&lt;=5000, "$1001 - $5000", IF(Table2[[#This Row],[MonthlyIncome]]&lt;=9000, "$5001 - $9000", IF(Table2[[#This Row],[MonthlyIncome]]&lt;=13000, "$9001 - $13000", IF(Table2[[#This Row],[MonthlyIncome]]&lt;=17000, "$13001 - $17000", IF(Table2[[#This Row],[MonthlyIncome]]&lt;=21000, "$17001 - $21000")))))</f>
        <v>$1001 - $5000</v>
      </c>
      <c r="P1117">
        <v>1</v>
      </c>
      <c r="Q1117">
        <v>1</v>
      </c>
      <c r="R1117">
        <v>1</v>
      </c>
      <c r="S11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18" spans="1:19" ht="14.25" x14ac:dyDescent="0.2">
      <c r="A1118">
        <v>69559284</v>
      </c>
      <c r="B1118">
        <v>55</v>
      </c>
      <c r="C1118" t="s">
        <v>25</v>
      </c>
      <c r="D1118" t="s">
        <v>24</v>
      </c>
      <c r="E1118" t="s">
        <v>22</v>
      </c>
      <c r="F1118">
        <f>IF(Table2[[#This Row],[Attrition]]="Yes", 1, 0)</f>
        <v>0</v>
      </c>
      <c r="G1118" t="s">
        <v>33</v>
      </c>
      <c r="H1118" t="s">
        <v>17</v>
      </c>
      <c r="I1118">
        <v>26</v>
      </c>
      <c r="J1118">
        <v>5</v>
      </c>
      <c r="K1118" t="s">
        <v>36</v>
      </c>
      <c r="L1118">
        <v>3</v>
      </c>
      <c r="M1118">
        <v>4</v>
      </c>
      <c r="N1118" s="3">
        <v>19586</v>
      </c>
      <c r="O1118" s="3" t="str">
        <f>IF(Table2[[#This Row],[MonthlyIncome]]&lt;=5000, "$1001 - $5000", IF(Table2[[#This Row],[MonthlyIncome]]&lt;=9000, "$5001 - $9000", IF(Table2[[#This Row],[MonthlyIncome]]&lt;=13000, "$9001 - $13000", IF(Table2[[#This Row],[MonthlyIncome]]&lt;=17000, "$13001 - $17000", IF(Table2[[#This Row],[MonthlyIncome]]&lt;=21000, "$17001 - $21000")))))</f>
        <v>$17001 - $21000</v>
      </c>
      <c r="P1118">
        <v>1</v>
      </c>
      <c r="Q1118">
        <v>3</v>
      </c>
      <c r="R1118">
        <v>36</v>
      </c>
      <c r="S11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35 - 40 Years</v>
      </c>
    </row>
    <row r="1119" spans="1:19" ht="14.25" x14ac:dyDescent="0.2">
      <c r="A1119">
        <v>48840319</v>
      </c>
      <c r="B1119">
        <v>34</v>
      </c>
      <c r="C1119" t="s">
        <v>25</v>
      </c>
      <c r="D1119" t="s">
        <v>24</v>
      </c>
      <c r="E1119" t="s">
        <v>22</v>
      </c>
      <c r="F1119">
        <f>IF(Table2[[#This Row],[Attrition]]="Yes", 1, 0)</f>
        <v>0</v>
      </c>
      <c r="G1119" t="s">
        <v>26</v>
      </c>
      <c r="H1119" t="s">
        <v>23</v>
      </c>
      <c r="I1119">
        <v>1</v>
      </c>
      <c r="J1119">
        <v>4</v>
      </c>
      <c r="K1119" t="s">
        <v>18</v>
      </c>
      <c r="L1119">
        <v>2</v>
      </c>
      <c r="M1119">
        <v>4</v>
      </c>
      <c r="N1119" s="3">
        <v>5484</v>
      </c>
      <c r="O1119" s="3" t="str">
        <f>IF(Table2[[#This Row],[MonthlyIncome]]&lt;=5000, "$1001 - $5000", IF(Table2[[#This Row],[MonthlyIncome]]&lt;=9000, "$5001 - $9000", IF(Table2[[#This Row],[MonthlyIncome]]&lt;=13000, "$9001 - $13000", IF(Table2[[#This Row],[MonthlyIncome]]&lt;=17000, "$13001 - $17000", IF(Table2[[#This Row],[MonthlyIncome]]&lt;=21000, "$17001 - $21000")))))</f>
        <v>$5001 - $9000</v>
      </c>
      <c r="P1119">
        <v>9</v>
      </c>
      <c r="Q1119">
        <v>2</v>
      </c>
      <c r="R1119">
        <v>2</v>
      </c>
      <c r="S11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20" spans="1:19" ht="14.25" x14ac:dyDescent="0.2">
      <c r="A1120">
        <v>80209853</v>
      </c>
      <c r="B1120">
        <v>26</v>
      </c>
      <c r="C1120" t="s">
        <v>20</v>
      </c>
      <c r="D1120" t="s">
        <v>24</v>
      </c>
      <c r="E1120" t="s">
        <v>22</v>
      </c>
      <c r="F1120">
        <f>IF(Table2[[#This Row],[Attrition]]="Yes", 1, 0)</f>
        <v>0</v>
      </c>
      <c r="G1120" t="s">
        <v>26</v>
      </c>
      <c r="H1120" t="s">
        <v>23</v>
      </c>
      <c r="I1120">
        <v>3</v>
      </c>
      <c r="J1120">
        <v>3</v>
      </c>
      <c r="K1120" t="s">
        <v>18</v>
      </c>
      <c r="L1120">
        <v>1</v>
      </c>
      <c r="M1120">
        <v>4</v>
      </c>
      <c r="N1120" s="3">
        <v>2061</v>
      </c>
      <c r="O1120" s="3" t="str">
        <f>IF(Table2[[#This Row],[MonthlyIncome]]&lt;=5000, "$1001 - $5000", IF(Table2[[#This Row],[MonthlyIncome]]&lt;=9000, "$5001 - $9000", IF(Table2[[#This Row],[MonthlyIncome]]&lt;=13000, "$9001 - $13000", IF(Table2[[#This Row],[MonthlyIncome]]&lt;=17000, "$13001 - $17000", IF(Table2[[#This Row],[MonthlyIncome]]&lt;=21000, "$17001 - $21000")))))</f>
        <v>$1001 - $5000</v>
      </c>
      <c r="P1120">
        <v>1</v>
      </c>
      <c r="Q1120">
        <v>3</v>
      </c>
      <c r="R1120">
        <v>1</v>
      </c>
      <c r="S11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21" spans="1:19" ht="14.25" x14ac:dyDescent="0.2">
      <c r="A1121">
        <v>83227175</v>
      </c>
      <c r="B1121">
        <v>38</v>
      </c>
      <c r="C1121" t="s">
        <v>25</v>
      </c>
      <c r="D1121" t="s">
        <v>24</v>
      </c>
      <c r="E1121" t="s">
        <v>22</v>
      </c>
      <c r="F1121">
        <f>IF(Table2[[#This Row],[Attrition]]="Yes", 1, 0)</f>
        <v>0</v>
      </c>
      <c r="G1121" t="s">
        <v>21</v>
      </c>
      <c r="H1121" t="s">
        <v>17</v>
      </c>
      <c r="I1121">
        <v>14</v>
      </c>
      <c r="J1121">
        <v>3</v>
      </c>
      <c r="K1121" t="s">
        <v>18</v>
      </c>
      <c r="L1121">
        <v>3</v>
      </c>
      <c r="M1121">
        <v>2</v>
      </c>
      <c r="N1121" s="3">
        <v>9924</v>
      </c>
      <c r="O1121" s="3" t="str">
        <f>IF(Table2[[#This Row],[MonthlyIncome]]&lt;=5000, "$1001 - $5000", IF(Table2[[#This Row],[MonthlyIncome]]&lt;=9000, "$5001 - $9000", IF(Table2[[#This Row],[MonthlyIncome]]&lt;=13000, "$9001 - $13000", IF(Table2[[#This Row],[MonthlyIncome]]&lt;=17000, "$13001 - $17000", IF(Table2[[#This Row],[MonthlyIncome]]&lt;=21000, "$17001 - $21000")))))</f>
        <v>$9001 - $13000</v>
      </c>
      <c r="P1121">
        <v>0</v>
      </c>
      <c r="Q1121">
        <v>3</v>
      </c>
      <c r="R1121">
        <v>9</v>
      </c>
      <c r="S11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22" spans="1:19" ht="14.25" x14ac:dyDescent="0.2">
      <c r="A1122">
        <v>29040566</v>
      </c>
      <c r="B1122">
        <v>38</v>
      </c>
      <c r="C1122" t="s">
        <v>20</v>
      </c>
      <c r="D1122" t="s">
        <v>19</v>
      </c>
      <c r="E1122" t="s">
        <v>22</v>
      </c>
      <c r="F1122">
        <f>IF(Table2[[#This Row],[Attrition]]="Yes", 1, 0)</f>
        <v>0</v>
      </c>
      <c r="G1122" t="s">
        <v>21</v>
      </c>
      <c r="H1122" t="s">
        <v>17</v>
      </c>
      <c r="I1122">
        <v>16</v>
      </c>
      <c r="J1122">
        <v>3</v>
      </c>
      <c r="K1122" t="s">
        <v>18</v>
      </c>
      <c r="L1122">
        <v>2</v>
      </c>
      <c r="M1122">
        <v>2</v>
      </c>
      <c r="N1122" s="3">
        <v>4198</v>
      </c>
      <c r="O1122" s="3" t="str">
        <f>IF(Table2[[#This Row],[MonthlyIncome]]&lt;=5000, "$1001 - $5000", IF(Table2[[#This Row],[MonthlyIncome]]&lt;=9000, "$5001 - $9000", IF(Table2[[#This Row],[MonthlyIncome]]&lt;=13000, "$9001 - $13000", IF(Table2[[#This Row],[MonthlyIncome]]&lt;=17000, "$13001 - $17000", IF(Table2[[#This Row],[MonthlyIncome]]&lt;=21000, "$17001 - $21000")))))</f>
        <v>$1001 - $5000</v>
      </c>
      <c r="P1122">
        <v>2</v>
      </c>
      <c r="Q1122">
        <v>4</v>
      </c>
      <c r="R1122">
        <v>3</v>
      </c>
      <c r="S11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23" spans="1:19" ht="14.25" x14ac:dyDescent="0.2">
      <c r="A1123">
        <v>33632633</v>
      </c>
      <c r="B1123">
        <v>36</v>
      </c>
      <c r="C1123" t="s">
        <v>20</v>
      </c>
      <c r="D1123" t="s">
        <v>19</v>
      </c>
      <c r="E1123" t="s">
        <v>22</v>
      </c>
      <c r="F1123">
        <f>IF(Table2[[#This Row],[Attrition]]="Yes", 1, 0)</f>
        <v>0</v>
      </c>
      <c r="G1123" t="s">
        <v>21</v>
      </c>
      <c r="H1123" t="s">
        <v>17</v>
      </c>
      <c r="I1123">
        <v>1</v>
      </c>
      <c r="J1123">
        <v>4</v>
      </c>
      <c r="K1123" t="s">
        <v>18</v>
      </c>
      <c r="L1123">
        <v>2</v>
      </c>
      <c r="M1123">
        <v>3</v>
      </c>
      <c r="N1123" s="3">
        <v>6815</v>
      </c>
      <c r="O1123" s="3" t="str">
        <f>IF(Table2[[#This Row],[MonthlyIncome]]&lt;=5000, "$1001 - $5000", IF(Table2[[#This Row],[MonthlyIncome]]&lt;=9000, "$5001 - $9000", IF(Table2[[#This Row],[MonthlyIncome]]&lt;=13000, "$9001 - $13000", IF(Table2[[#This Row],[MonthlyIncome]]&lt;=17000, "$13001 - $17000", IF(Table2[[#This Row],[MonthlyIncome]]&lt;=21000, "$17001 - $21000")))))</f>
        <v>$5001 - $9000</v>
      </c>
      <c r="P1123">
        <v>6</v>
      </c>
      <c r="Q1123">
        <v>3</v>
      </c>
      <c r="R1123">
        <v>1</v>
      </c>
      <c r="S11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24" spans="1:19" ht="14.25" x14ac:dyDescent="0.2">
      <c r="A1124">
        <v>20159717</v>
      </c>
      <c r="B1124">
        <v>29</v>
      </c>
      <c r="C1124" t="s">
        <v>25</v>
      </c>
      <c r="D1124" t="s">
        <v>19</v>
      </c>
      <c r="E1124" t="s">
        <v>22</v>
      </c>
      <c r="F1124">
        <f>IF(Table2[[#This Row],[Attrition]]="Yes", 1, 0)</f>
        <v>0</v>
      </c>
      <c r="G1124" t="s">
        <v>28</v>
      </c>
      <c r="H1124" t="s">
        <v>23</v>
      </c>
      <c r="I1124">
        <v>3</v>
      </c>
      <c r="J1124">
        <v>1</v>
      </c>
      <c r="K1124" t="s">
        <v>29</v>
      </c>
      <c r="L1124">
        <v>2</v>
      </c>
      <c r="M1124">
        <v>1</v>
      </c>
      <c r="N1124" s="3">
        <v>4723</v>
      </c>
      <c r="O1124" s="3" t="str">
        <f>IF(Table2[[#This Row],[MonthlyIncome]]&lt;=5000, "$1001 - $5000", IF(Table2[[#This Row],[MonthlyIncome]]&lt;=9000, "$5001 - $9000", IF(Table2[[#This Row],[MonthlyIncome]]&lt;=13000, "$9001 - $13000", IF(Table2[[#This Row],[MonthlyIncome]]&lt;=17000, "$13001 - $17000", IF(Table2[[#This Row],[MonthlyIncome]]&lt;=21000, "$17001 - $21000")))))</f>
        <v>$1001 - $5000</v>
      </c>
      <c r="P1124">
        <v>1</v>
      </c>
      <c r="Q1124">
        <v>3</v>
      </c>
      <c r="R1124">
        <v>10</v>
      </c>
      <c r="S11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25" spans="1:19" ht="14.25" x14ac:dyDescent="0.2">
      <c r="A1125">
        <v>41299446</v>
      </c>
      <c r="B1125">
        <v>35</v>
      </c>
      <c r="C1125" t="s">
        <v>20</v>
      </c>
      <c r="D1125" t="s">
        <v>19</v>
      </c>
      <c r="E1125" t="s">
        <v>22</v>
      </c>
      <c r="F1125">
        <f>IF(Table2[[#This Row],[Attrition]]="Yes", 1, 0)</f>
        <v>0</v>
      </c>
      <c r="G1125" t="s">
        <v>32</v>
      </c>
      <c r="H1125" t="s">
        <v>23</v>
      </c>
      <c r="I1125">
        <v>10</v>
      </c>
      <c r="J1125">
        <v>4</v>
      </c>
      <c r="K1125" t="s">
        <v>29</v>
      </c>
      <c r="L1125">
        <v>1</v>
      </c>
      <c r="M1125">
        <v>3</v>
      </c>
      <c r="N1125" s="3">
        <v>6142</v>
      </c>
      <c r="O1125" s="3" t="str">
        <f>IF(Table2[[#This Row],[MonthlyIncome]]&lt;=5000, "$1001 - $5000", IF(Table2[[#This Row],[MonthlyIncome]]&lt;=9000, "$5001 - $9000", IF(Table2[[#This Row],[MonthlyIncome]]&lt;=13000, "$9001 - $13000", IF(Table2[[#This Row],[MonthlyIncome]]&lt;=17000, "$13001 - $17000", IF(Table2[[#This Row],[MonthlyIncome]]&lt;=21000, "$17001 - $21000")))))</f>
        <v>$5001 - $9000</v>
      </c>
      <c r="P1125">
        <v>3</v>
      </c>
      <c r="Q1125">
        <v>3</v>
      </c>
      <c r="R1125">
        <v>5</v>
      </c>
      <c r="S11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26" spans="1:19" ht="14.25" x14ac:dyDescent="0.2">
      <c r="A1126">
        <v>57009087</v>
      </c>
      <c r="B1126">
        <v>39</v>
      </c>
      <c r="C1126" t="s">
        <v>25</v>
      </c>
      <c r="D1126" t="s">
        <v>24</v>
      </c>
      <c r="E1126" t="s">
        <v>22</v>
      </c>
      <c r="F1126">
        <f>IF(Table2[[#This Row],[Attrition]]="Yes", 1, 0)</f>
        <v>0</v>
      </c>
      <c r="G1126" t="s">
        <v>21</v>
      </c>
      <c r="H1126" t="s">
        <v>17</v>
      </c>
      <c r="I1126">
        <v>6</v>
      </c>
      <c r="J1126">
        <v>3</v>
      </c>
      <c r="K1126" t="s">
        <v>29</v>
      </c>
      <c r="L1126">
        <v>4</v>
      </c>
      <c r="M1126">
        <v>3</v>
      </c>
      <c r="N1126" s="3">
        <v>8237</v>
      </c>
      <c r="O1126" s="3" t="str">
        <f>IF(Table2[[#This Row],[MonthlyIncome]]&lt;=5000, "$1001 - $5000", IF(Table2[[#This Row],[MonthlyIncome]]&lt;=9000, "$5001 - $9000", IF(Table2[[#This Row],[MonthlyIncome]]&lt;=13000, "$9001 - $13000", IF(Table2[[#This Row],[MonthlyIncome]]&lt;=17000, "$13001 - $17000", IF(Table2[[#This Row],[MonthlyIncome]]&lt;=21000, "$17001 - $21000")))))</f>
        <v>$5001 - $9000</v>
      </c>
      <c r="P1126">
        <v>2</v>
      </c>
      <c r="Q1126">
        <v>3</v>
      </c>
      <c r="R1126">
        <v>7</v>
      </c>
      <c r="S11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27" spans="1:19" ht="14.25" x14ac:dyDescent="0.2">
      <c r="A1127">
        <v>59496288</v>
      </c>
      <c r="B1127">
        <v>29</v>
      </c>
      <c r="C1127" t="s">
        <v>25</v>
      </c>
      <c r="D1127" t="s">
        <v>30</v>
      </c>
      <c r="E1127" t="s">
        <v>22</v>
      </c>
      <c r="F1127">
        <f>IF(Table2[[#This Row],[Attrition]]="Yes", 1, 0)</f>
        <v>0</v>
      </c>
      <c r="G1127" t="s">
        <v>32</v>
      </c>
      <c r="H1127" t="s">
        <v>23</v>
      </c>
      <c r="I1127">
        <v>2</v>
      </c>
      <c r="J1127">
        <v>1</v>
      </c>
      <c r="K1127" t="s">
        <v>18</v>
      </c>
      <c r="L1127">
        <v>1</v>
      </c>
      <c r="M1127">
        <v>4</v>
      </c>
      <c r="N1127" s="3">
        <v>8853</v>
      </c>
      <c r="O1127" s="3" t="str">
        <f>IF(Table2[[#This Row],[MonthlyIncome]]&lt;=5000, "$1001 - $5000", IF(Table2[[#This Row],[MonthlyIncome]]&lt;=9000, "$5001 - $9000", IF(Table2[[#This Row],[MonthlyIncome]]&lt;=13000, "$9001 - $13000", IF(Table2[[#This Row],[MonthlyIncome]]&lt;=17000, "$13001 - $17000", IF(Table2[[#This Row],[MonthlyIncome]]&lt;=21000, "$17001 - $21000")))))</f>
        <v>$5001 - $9000</v>
      </c>
      <c r="P1127">
        <v>1</v>
      </c>
      <c r="Q1127">
        <v>4</v>
      </c>
      <c r="R1127">
        <v>6</v>
      </c>
      <c r="S11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28" spans="1:19" ht="14.25" x14ac:dyDescent="0.2">
      <c r="A1128">
        <v>30499286</v>
      </c>
      <c r="B1128">
        <v>50</v>
      </c>
      <c r="C1128" t="s">
        <v>25</v>
      </c>
      <c r="D1128" t="s">
        <v>24</v>
      </c>
      <c r="E1128" t="s">
        <v>22</v>
      </c>
      <c r="F1128">
        <f>IF(Table2[[#This Row],[Attrition]]="Yes", 1, 0)</f>
        <v>0</v>
      </c>
      <c r="G1128" t="s">
        <v>33</v>
      </c>
      <c r="H1128" t="s">
        <v>17</v>
      </c>
      <c r="I1128">
        <v>9</v>
      </c>
      <c r="J1128">
        <v>3</v>
      </c>
      <c r="K1128" t="s">
        <v>36</v>
      </c>
      <c r="L1128">
        <v>3</v>
      </c>
      <c r="M1128">
        <v>3</v>
      </c>
      <c r="N1128" s="3">
        <v>19331</v>
      </c>
      <c r="O1128" s="3" t="str">
        <f>IF(Table2[[#This Row],[MonthlyIncome]]&lt;=5000, "$1001 - $5000", IF(Table2[[#This Row],[MonthlyIncome]]&lt;=9000, "$5001 - $9000", IF(Table2[[#This Row],[MonthlyIncome]]&lt;=13000, "$9001 - $13000", IF(Table2[[#This Row],[MonthlyIncome]]&lt;=17000, "$13001 - $17000", IF(Table2[[#This Row],[MonthlyIncome]]&lt;=21000, "$17001 - $21000")))))</f>
        <v>$17001 - $21000</v>
      </c>
      <c r="P1128">
        <v>4</v>
      </c>
      <c r="Q1128">
        <v>3</v>
      </c>
      <c r="R1128">
        <v>1</v>
      </c>
      <c r="S11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29" spans="1:19" ht="14.25" x14ac:dyDescent="0.2">
      <c r="A1129">
        <v>44730459</v>
      </c>
      <c r="B1129">
        <v>23</v>
      </c>
      <c r="C1129" t="s">
        <v>25</v>
      </c>
      <c r="D1129" t="s">
        <v>24</v>
      </c>
      <c r="E1129" t="s">
        <v>22</v>
      </c>
      <c r="F1129">
        <f>IF(Table2[[#This Row],[Attrition]]="Yes", 1, 0)</f>
        <v>0</v>
      </c>
      <c r="G1129" t="s">
        <v>26</v>
      </c>
      <c r="H1129" t="s">
        <v>23</v>
      </c>
      <c r="I1129">
        <v>10</v>
      </c>
      <c r="J1129">
        <v>3</v>
      </c>
      <c r="K1129" t="s">
        <v>37</v>
      </c>
      <c r="L1129">
        <v>4</v>
      </c>
      <c r="M1129">
        <v>3</v>
      </c>
      <c r="N1129" s="3">
        <v>2073</v>
      </c>
      <c r="O1129" s="3" t="str">
        <f>IF(Table2[[#This Row],[MonthlyIncome]]&lt;=5000, "$1001 - $5000", IF(Table2[[#This Row],[MonthlyIncome]]&lt;=9000, "$5001 - $9000", IF(Table2[[#This Row],[MonthlyIncome]]&lt;=13000, "$9001 - $13000", IF(Table2[[#This Row],[MonthlyIncome]]&lt;=17000, "$13001 - $17000", IF(Table2[[#This Row],[MonthlyIncome]]&lt;=21000, "$17001 - $21000")))))</f>
        <v>$1001 - $5000</v>
      </c>
      <c r="P1129">
        <v>2</v>
      </c>
      <c r="Q1129">
        <v>3</v>
      </c>
      <c r="R1129">
        <v>2</v>
      </c>
      <c r="S11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30" spans="1:19" ht="14.25" x14ac:dyDescent="0.2">
      <c r="A1130">
        <v>11792083</v>
      </c>
      <c r="B1130">
        <v>36</v>
      </c>
      <c r="C1130" t="s">
        <v>25</v>
      </c>
      <c r="D1130" t="s">
        <v>24</v>
      </c>
      <c r="E1130" t="s">
        <v>22</v>
      </c>
      <c r="F1130">
        <f>IF(Table2[[#This Row],[Attrition]]="Yes", 1, 0)</f>
        <v>0</v>
      </c>
      <c r="G1130" t="s">
        <v>28</v>
      </c>
      <c r="H1130" t="s">
        <v>23</v>
      </c>
      <c r="I1130">
        <v>6</v>
      </c>
      <c r="J1130">
        <v>4</v>
      </c>
      <c r="K1130" t="s">
        <v>18</v>
      </c>
      <c r="L1130">
        <v>1</v>
      </c>
      <c r="M1130">
        <v>1</v>
      </c>
      <c r="N1130" s="3">
        <v>5562</v>
      </c>
      <c r="O1130" s="3" t="str">
        <f>IF(Table2[[#This Row],[MonthlyIncome]]&lt;=5000, "$1001 - $5000", IF(Table2[[#This Row],[MonthlyIncome]]&lt;=9000, "$5001 - $9000", IF(Table2[[#This Row],[MonthlyIncome]]&lt;=13000, "$9001 - $13000", IF(Table2[[#This Row],[MonthlyIncome]]&lt;=17000, "$13001 - $17000", IF(Table2[[#This Row],[MonthlyIncome]]&lt;=21000, "$17001 - $21000")))))</f>
        <v>$5001 - $9000</v>
      </c>
      <c r="P1130">
        <v>3</v>
      </c>
      <c r="Q1130">
        <v>3</v>
      </c>
      <c r="R1130">
        <v>3</v>
      </c>
      <c r="S11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31" spans="1:19" ht="14.25" x14ac:dyDescent="0.2">
      <c r="A1131">
        <v>19966376</v>
      </c>
      <c r="B1131">
        <v>42</v>
      </c>
      <c r="C1131" t="s">
        <v>25</v>
      </c>
      <c r="D1131" t="s">
        <v>19</v>
      </c>
      <c r="E1131" t="s">
        <v>22</v>
      </c>
      <c r="F1131">
        <f>IF(Table2[[#This Row],[Attrition]]="Yes", 1, 0)</f>
        <v>0</v>
      </c>
      <c r="G1131" t="s">
        <v>33</v>
      </c>
      <c r="H1131" t="s">
        <v>23</v>
      </c>
      <c r="I1131">
        <v>9</v>
      </c>
      <c r="J1131">
        <v>2</v>
      </c>
      <c r="K1131" t="s">
        <v>27</v>
      </c>
      <c r="L1131">
        <v>4</v>
      </c>
      <c r="M1131">
        <v>4</v>
      </c>
      <c r="N1131" s="3">
        <v>19613</v>
      </c>
      <c r="O1131" s="3" t="str">
        <f>IF(Table2[[#This Row],[MonthlyIncome]]&lt;=5000, "$1001 - $5000", IF(Table2[[#This Row],[MonthlyIncome]]&lt;=9000, "$5001 - $9000", IF(Table2[[#This Row],[MonthlyIncome]]&lt;=13000, "$9001 - $13000", IF(Table2[[#This Row],[MonthlyIncome]]&lt;=17000, "$13001 - $17000", IF(Table2[[#This Row],[MonthlyIncome]]&lt;=21000, "$17001 - $21000")))))</f>
        <v>$17001 - $21000</v>
      </c>
      <c r="P1131">
        <v>8</v>
      </c>
      <c r="Q1131">
        <v>3</v>
      </c>
      <c r="R1131">
        <v>1</v>
      </c>
      <c r="S11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32" spans="1:19" ht="14.25" x14ac:dyDescent="0.2">
      <c r="A1132">
        <v>58725299</v>
      </c>
      <c r="B1132">
        <v>35</v>
      </c>
      <c r="C1132" t="s">
        <v>25</v>
      </c>
      <c r="D1132" t="s">
        <v>24</v>
      </c>
      <c r="E1132" t="s">
        <v>22</v>
      </c>
      <c r="F1132">
        <f>IF(Table2[[#This Row],[Attrition]]="Yes", 1, 0)</f>
        <v>0</v>
      </c>
      <c r="G1132" t="s">
        <v>28</v>
      </c>
      <c r="H1132" t="s">
        <v>23</v>
      </c>
      <c r="I1132">
        <v>28</v>
      </c>
      <c r="J1132">
        <v>3</v>
      </c>
      <c r="K1132" t="s">
        <v>18</v>
      </c>
      <c r="L1132">
        <v>2</v>
      </c>
      <c r="M1132">
        <v>3</v>
      </c>
      <c r="N1132" s="3">
        <v>3407</v>
      </c>
      <c r="O1132" s="3" t="str">
        <f>IF(Table2[[#This Row],[MonthlyIncome]]&lt;=5000, "$1001 - $5000", IF(Table2[[#This Row],[MonthlyIncome]]&lt;=9000, "$5001 - $9000", IF(Table2[[#This Row],[MonthlyIncome]]&lt;=13000, "$9001 - $13000", IF(Table2[[#This Row],[MonthlyIncome]]&lt;=17000, "$13001 - $17000", IF(Table2[[#This Row],[MonthlyIncome]]&lt;=21000, "$17001 - $21000")))))</f>
        <v>$1001 - $5000</v>
      </c>
      <c r="P1132">
        <v>1</v>
      </c>
      <c r="Q1132">
        <v>2</v>
      </c>
      <c r="R1132">
        <v>10</v>
      </c>
      <c r="S11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33" spans="1:19" ht="14.25" x14ac:dyDescent="0.2">
      <c r="A1133">
        <v>10847793</v>
      </c>
      <c r="B1133">
        <v>34</v>
      </c>
      <c r="C1133" t="s">
        <v>25</v>
      </c>
      <c r="D1133" t="s">
        <v>24</v>
      </c>
      <c r="E1133" t="s">
        <v>22</v>
      </c>
      <c r="F1133">
        <f>IF(Table2[[#This Row],[Attrition]]="Yes", 1, 0)</f>
        <v>0</v>
      </c>
      <c r="G1133" t="s">
        <v>32</v>
      </c>
      <c r="H1133" t="s">
        <v>23</v>
      </c>
      <c r="I1133">
        <v>10</v>
      </c>
      <c r="J1133">
        <v>4</v>
      </c>
      <c r="K1133" t="s">
        <v>37</v>
      </c>
      <c r="L1133">
        <v>4</v>
      </c>
      <c r="M1133">
        <v>3</v>
      </c>
      <c r="N1133" s="3">
        <v>5063</v>
      </c>
      <c r="O1133" s="3" t="str">
        <f>IF(Table2[[#This Row],[MonthlyIncome]]&lt;=5000, "$1001 - $5000", IF(Table2[[#This Row],[MonthlyIncome]]&lt;=9000, "$5001 - $9000", IF(Table2[[#This Row],[MonthlyIncome]]&lt;=13000, "$9001 - $13000", IF(Table2[[#This Row],[MonthlyIncome]]&lt;=17000, "$13001 - $17000", IF(Table2[[#This Row],[MonthlyIncome]]&lt;=21000, "$17001 - $21000")))))</f>
        <v>$5001 - $9000</v>
      </c>
      <c r="P1133">
        <v>1</v>
      </c>
      <c r="Q1133">
        <v>2</v>
      </c>
      <c r="R1133">
        <v>8</v>
      </c>
      <c r="S11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34" spans="1:19" ht="14.25" x14ac:dyDescent="0.2">
      <c r="A1134">
        <v>77936818</v>
      </c>
      <c r="B1134">
        <v>40</v>
      </c>
      <c r="C1134" t="s">
        <v>20</v>
      </c>
      <c r="D1134" t="s">
        <v>24</v>
      </c>
      <c r="E1134" t="s">
        <v>22</v>
      </c>
      <c r="F1134">
        <f>IF(Table2[[#This Row],[Attrition]]="Yes", 1, 0)</f>
        <v>0</v>
      </c>
      <c r="G1134" t="s">
        <v>21</v>
      </c>
      <c r="H1134" t="s">
        <v>17</v>
      </c>
      <c r="I1134">
        <v>14</v>
      </c>
      <c r="J1134">
        <v>2</v>
      </c>
      <c r="K1134" t="s">
        <v>18</v>
      </c>
      <c r="L1134">
        <v>4</v>
      </c>
      <c r="M1134">
        <v>1</v>
      </c>
      <c r="N1134" s="3">
        <v>4639</v>
      </c>
      <c r="O1134" s="3" t="str">
        <f>IF(Table2[[#This Row],[MonthlyIncome]]&lt;=5000, "$1001 - $5000", IF(Table2[[#This Row],[MonthlyIncome]]&lt;=9000, "$5001 - $9000", IF(Table2[[#This Row],[MonthlyIncome]]&lt;=13000, "$9001 - $13000", IF(Table2[[#This Row],[MonthlyIncome]]&lt;=17000, "$13001 - $17000", IF(Table2[[#This Row],[MonthlyIncome]]&lt;=21000, "$17001 - $21000")))))</f>
        <v>$1001 - $5000</v>
      </c>
      <c r="P1134">
        <v>1</v>
      </c>
      <c r="Q1134">
        <v>3</v>
      </c>
      <c r="R1134">
        <v>5</v>
      </c>
      <c r="S11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35" spans="1:19" ht="14.25" x14ac:dyDescent="0.2">
      <c r="A1135">
        <v>76825529</v>
      </c>
      <c r="B1135">
        <v>43</v>
      </c>
      <c r="C1135" t="s">
        <v>25</v>
      </c>
      <c r="D1135" t="s">
        <v>30</v>
      </c>
      <c r="E1135" t="s">
        <v>22</v>
      </c>
      <c r="F1135">
        <f>IF(Table2[[#This Row],[Attrition]]="Yes", 1, 0)</f>
        <v>0</v>
      </c>
      <c r="G1135" t="s">
        <v>28</v>
      </c>
      <c r="H1135" t="s">
        <v>23</v>
      </c>
      <c r="I1135">
        <v>27</v>
      </c>
      <c r="J1135">
        <v>3</v>
      </c>
      <c r="K1135" t="s">
        <v>37</v>
      </c>
      <c r="L1135">
        <v>4</v>
      </c>
      <c r="M1135">
        <v>2</v>
      </c>
      <c r="N1135" s="3">
        <v>4876</v>
      </c>
      <c r="O1135" s="3" t="str">
        <f>IF(Table2[[#This Row],[MonthlyIncome]]&lt;=5000, "$1001 - $5000", IF(Table2[[#This Row],[MonthlyIncome]]&lt;=9000, "$5001 - $9000", IF(Table2[[#This Row],[MonthlyIncome]]&lt;=13000, "$9001 - $13000", IF(Table2[[#This Row],[MonthlyIncome]]&lt;=17000, "$13001 - $17000", IF(Table2[[#This Row],[MonthlyIncome]]&lt;=21000, "$17001 - $21000")))))</f>
        <v>$1001 - $5000</v>
      </c>
      <c r="P1135">
        <v>5</v>
      </c>
      <c r="Q1135">
        <v>3</v>
      </c>
      <c r="R1135">
        <v>6</v>
      </c>
      <c r="S11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36" spans="1:19" ht="14.25" x14ac:dyDescent="0.2">
      <c r="A1136">
        <v>52583437</v>
      </c>
      <c r="B1136">
        <v>35</v>
      </c>
      <c r="C1136" t="s">
        <v>25</v>
      </c>
      <c r="D1136" t="s">
        <v>24</v>
      </c>
      <c r="E1136" t="s">
        <v>22</v>
      </c>
      <c r="F1136">
        <f>IF(Table2[[#This Row],[Attrition]]="Yes", 1, 0)</f>
        <v>0</v>
      </c>
      <c r="G1136" t="s">
        <v>28</v>
      </c>
      <c r="H1136" t="s">
        <v>23</v>
      </c>
      <c r="I1136">
        <v>7</v>
      </c>
      <c r="J1136">
        <v>2</v>
      </c>
      <c r="K1136" t="s">
        <v>18</v>
      </c>
      <c r="L1136">
        <v>3</v>
      </c>
      <c r="M1136">
        <v>4</v>
      </c>
      <c r="N1136" s="3">
        <v>2690</v>
      </c>
      <c r="O1136" s="3" t="str">
        <f>IF(Table2[[#This Row],[MonthlyIncome]]&lt;=5000, "$1001 - $5000", IF(Table2[[#This Row],[MonthlyIncome]]&lt;=9000, "$5001 - $9000", IF(Table2[[#This Row],[MonthlyIncome]]&lt;=13000, "$9001 - $13000", IF(Table2[[#This Row],[MonthlyIncome]]&lt;=17000, "$13001 - $17000", IF(Table2[[#This Row],[MonthlyIncome]]&lt;=21000, "$17001 - $21000")))))</f>
        <v>$1001 - $5000</v>
      </c>
      <c r="P1136">
        <v>1</v>
      </c>
      <c r="Q1136">
        <v>2</v>
      </c>
      <c r="R1136">
        <v>1</v>
      </c>
      <c r="S11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37" spans="1:19" ht="14.25" x14ac:dyDescent="0.2">
      <c r="A1137">
        <v>65849083</v>
      </c>
      <c r="B1137">
        <v>46</v>
      </c>
      <c r="C1137" t="s">
        <v>25</v>
      </c>
      <c r="D1137" t="s">
        <v>19</v>
      </c>
      <c r="E1137" t="s">
        <v>22</v>
      </c>
      <c r="F1137">
        <f>IF(Table2[[#This Row],[Attrition]]="Yes", 1, 0)</f>
        <v>0</v>
      </c>
      <c r="G1137" t="s">
        <v>33</v>
      </c>
      <c r="H1137" t="s">
        <v>17</v>
      </c>
      <c r="I1137">
        <v>1</v>
      </c>
      <c r="J1137">
        <v>4</v>
      </c>
      <c r="K1137" t="s">
        <v>18</v>
      </c>
      <c r="L1137">
        <v>4</v>
      </c>
      <c r="M1137">
        <v>1</v>
      </c>
      <c r="N1137" s="3">
        <v>17567</v>
      </c>
      <c r="O1137" s="3" t="str">
        <f>IF(Table2[[#This Row],[MonthlyIncome]]&lt;=5000, "$1001 - $5000", IF(Table2[[#This Row],[MonthlyIncome]]&lt;=9000, "$5001 - $9000", IF(Table2[[#This Row],[MonthlyIncome]]&lt;=13000, "$9001 - $13000", IF(Table2[[#This Row],[MonthlyIncome]]&lt;=17000, "$13001 - $17000", IF(Table2[[#This Row],[MonthlyIncome]]&lt;=21000, "$17001 - $21000")))))</f>
        <v>$17001 - $21000</v>
      </c>
      <c r="P1137">
        <v>1</v>
      </c>
      <c r="Q1137">
        <v>1</v>
      </c>
      <c r="R1137">
        <v>26</v>
      </c>
      <c r="S11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25 - 30 Years</v>
      </c>
    </row>
    <row r="1138" spans="1:19" ht="14.25" x14ac:dyDescent="0.2">
      <c r="A1138">
        <v>14895492</v>
      </c>
      <c r="B1138">
        <v>28</v>
      </c>
      <c r="C1138" t="s">
        <v>25</v>
      </c>
      <c r="D1138" t="s">
        <v>24</v>
      </c>
      <c r="E1138" t="s">
        <v>16</v>
      </c>
      <c r="F1138">
        <f>IF(Table2[[#This Row],[Attrition]]="Yes", 1, 0)</f>
        <v>1</v>
      </c>
      <c r="G1138" t="s">
        <v>28</v>
      </c>
      <c r="H1138" t="s">
        <v>23</v>
      </c>
      <c r="I1138">
        <v>24</v>
      </c>
      <c r="J1138">
        <v>3</v>
      </c>
      <c r="K1138" t="s">
        <v>29</v>
      </c>
      <c r="L1138">
        <v>3</v>
      </c>
      <c r="M1138">
        <v>2</v>
      </c>
      <c r="N1138" s="3">
        <v>2408</v>
      </c>
      <c r="O1138" s="3" t="str">
        <f>IF(Table2[[#This Row],[MonthlyIncome]]&lt;=5000, "$1001 - $5000", IF(Table2[[#This Row],[MonthlyIncome]]&lt;=9000, "$5001 - $9000", IF(Table2[[#This Row],[MonthlyIncome]]&lt;=13000, "$9001 - $13000", IF(Table2[[#This Row],[MonthlyIncome]]&lt;=17000, "$13001 - $17000", IF(Table2[[#This Row],[MonthlyIncome]]&lt;=21000, "$17001 - $21000")))))</f>
        <v>$1001 - $5000</v>
      </c>
      <c r="P1138">
        <v>1</v>
      </c>
      <c r="Q1138">
        <v>3</v>
      </c>
      <c r="R1138">
        <v>1</v>
      </c>
      <c r="S11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39" spans="1:19" ht="14.25" x14ac:dyDescent="0.2">
      <c r="A1139">
        <v>43663182</v>
      </c>
      <c r="B1139">
        <v>22</v>
      </c>
      <c r="C1139" t="s">
        <v>20</v>
      </c>
      <c r="D1139" t="s">
        <v>24</v>
      </c>
      <c r="E1139" t="s">
        <v>22</v>
      </c>
      <c r="F1139">
        <f>IF(Table2[[#This Row],[Attrition]]="Yes", 1, 0)</f>
        <v>0</v>
      </c>
      <c r="G1139" t="s">
        <v>26</v>
      </c>
      <c r="H1139" t="s">
        <v>23</v>
      </c>
      <c r="I1139">
        <v>26</v>
      </c>
      <c r="J1139">
        <v>2</v>
      </c>
      <c r="K1139" t="s">
        <v>27</v>
      </c>
      <c r="L1139">
        <v>2</v>
      </c>
      <c r="M1139">
        <v>3</v>
      </c>
      <c r="N1139" s="3">
        <v>2814</v>
      </c>
      <c r="O1139" s="3" t="str">
        <f>IF(Table2[[#This Row],[MonthlyIncome]]&lt;=5000, "$1001 - $5000", IF(Table2[[#This Row],[MonthlyIncome]]&lt;=9000, "$5001 - $9000", IF(Table2[[#This Row],[MonthlyIncome]]&lt;=13000, "$9001 - $13000", IF(Table2[[#This Row],[MonthlyIncome]]&lt;=17000, "$13001 - $17000", IF(Table2[[#This Row],[MonthlyIncome]]&lt;=21000, "$17001 - $21000")))))</f>
        <v>$1001 - $5000</v>
      </c>
      <c r="P1139">
        <v>1</v>
      </c>
      <c r="Q1139">
        <v>2</v>
      </c>
      <c r="R1139">
        <v>4</v>
      </c>
      <c r="S11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40" spans="1:19" ht="14.25" x14ac:dyDescent="0.2">
      <c r="A1140">
        <v>13282069</v>
      </c>
      <c r="B1140">
        <v>50</v>
      </c>
      <c r="C1140" t="s">
        <v>25</v>
      </c>
      <c r="D1140" t="s">
        <v>24</v>
      </c>
      <c r="E1140" t="s">
        <v>22</v>
      </c>
      <c r="F1140">
        <f>IF(Table2[[#This Row],[Attrition]]="Yes", 1, 0)</f>
        <v>0</v>
      </c>
      <c r="G1140" t="s">
        <v>32</v>
      </c>
      <c r="H1140" t="s">
        <v>23</v>
      </c>
      <c r="I1140">
        <v>20</v>
      </c>
      <c r="J1140">
        <v>5</v>
      </c>
      <c r="K1140" t="s">
        <v>29</v>
      </c>
      <c r="L1140">
        <v>2</v>
      </c>
      <c r="M1140">
        <v>3</v>
      </c>
      <c r="N1140" s="3">
        <v>11245</v>
      </c>
      <c r="O1140" s="3" t="str">
        <f>IF(Table2[[#This Row],[MonthlyIncome]]&lt;=5000, "$1001 - $5000", IF(Table2[[#This Row],[MonthlyIncome]]&lt;=9000, "$5001 - $9000", IF(Table2[[#This Row],[MonthlyIncome]]&lt;=13000, "$9001 - $13000", IF(Table2[[#This Row],[MonthlyIncome]]&lt;=17000, "$13001 - $17000", IF(Table2[[#This Row],[MonthlyIncome]]&lt;=21000, "$17001 - $21000")))))</f>
        <v>$9001 - $13000</v>
      </c>
      <c r="P1140">
        <v>2</v>
      </c>
      <c r="Q1140">
        <v>3</v>
      </c>
      <c r="R1140">
        <v>30</v>
      </c>
      <c r="S11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30 - 35 Years</v>
      </c>
    </row>
    <row r="1141" spans="1:19" ht="14.25" x14ac:dyDescent="0.2">
      <c r="A1141">
        <v>34111639</v>
      </c>
      <c r="B1141">
        <v>32</v>
      </c>
      <c r="C1141" t="s">
        <v>20</v>
      </c>
      <c r="D1141" t="s">
        <v>24</v>
      </c>
      <c r="E1141" t="s">
        <v>22</v>
      </c>
      <c r="F1141">
        <f>IF(Table2[[#This Row],[Attrition]]="Yes", 1, 0)</f>
        <v>0</v>
      </c>
      <c r="G1141" t="s">
        <v>26</v>
      </c>
      <c r="H1141" t="s">
        <v>23</v>
      </c>
      <c r="I1141">
        <v>5</v>
      </c>
      <c r="J1141">
        <v>4</v>
      </c>
      <c r="K1141" t="s">
        <v>27</v>
      </c>
      <c r="L1141">
        <v>2</v>
      </c>
      <c r="M1141">
        <v>4</v>
      </c>
      <c r="N1141" s="3">
        <v>3312</v>
      </c>
      <c r="O1141" s="3" t="str">
        <f>IF(Table2[[#This Row],[MonthlyIncome]]&lt;=5000, "$1001 - $5000", IF(Table2[[#This Row],[MonthlyIncome]]&lt;=9000, "$5001 - $9000", IF(Table2[[#This Row],[MonthlyIncome]]&lt;=13000, "$9001 - $13000", IF(Table2[[#This Row],[MonthlyIncome]]&lt;=17000, "$13001 - $17000", IF(Table2[[#This Row],[MonthlyIncome]]&lt;=21000, "$17001 - $21000")))))</f>
        <v>$1001 - $5000</v>
      </c>
      <c r="P1141">
        <v>3</v>
      </c>
      <c r="Q1141">
        <v>3</v>
      </c>
      <c r="R1141">
        <v>3</v>
      </c>
      <c r="S11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42" spans="1:19" ht="14.25" x14ac:dyDescent="0.2">
      <c r="A1142">
        <v>76967753</v>
      </c>
      <c r="B1142">
        <v>44</v>
      </c>
      <c r="C1142" t="s">
        <v>20</v>
      </c>
      <c r="D1142" t="s">
        <v>30</v>
      </c>
      <c r="E1142" t="s">
        <v>22</v>
      </c>
      <c r="F1142">
        <f>IF(Table2[[#This Row],[Attrition]]="Yes", 1, 0)</f>
        <v>0</v>
      </c>
      <c r="G1142" t="s">
        <v>35</v>
      </c>
      <c r="H1142" t="s">
        <v>23</v>
      </c>
      <c r="I1142">
        <v>7</v>
      </c>
      <c r="J1142">
        <v>3</v>
      </c>
      <c r="K1142" t="s">
        <v>29</v>
      </c>
      <c r="L1142">
        <v>2</v>
      </c>
      <c r="M1142">
        <v>4</v>
      </c>
      <c r="N1142" s="3">
        <v>19049</v>
      </c>
      <c r="O1142" s="3" t="str">
        <f>IF(Table2[[#This Row],[MonthlyIncome]]&lt;=5000, "$1001 - $5000", IF(Table2[[#This Row],[MonthlyIncome]]&lt;=9000, "$5001 - $9000", IF(Table2[[#This Row],[MonthlyIncome]]&lt;=13000, "$9001 - $13000", IF(Table2[[#This Row],[MonthlyIncome]]&lt;=17000, "$13001 - $17000", IF(Table2[[#This Row],[MonthlyIncome]]&lt;=21000, "$17001 - $21000")))))</f>
        <v>$17001 - $21000</v>
      </c>
      <c r="P1142">
        <v>0</v>
      </c>
      <c r="Q1142">
        <v>2</v>
      </c>
      <c r="R1142">
        <v>22</v>
      </c>
      <c r="S11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143" spans="1:19" ht="14.25" x14ac:dyDescent="0.2">
      <c r="A1143">
        <v>42873754</v>
      </c>
      <c r="B1143">
        <v>30</v>
      </c>
      <c r="C1143" t="s">
        <v>25</v>
      </c>
      <c r="D1143" t="s">
        <v>24</v>
      </c>
      <c r="E1143" t="s">
        <v>22</v>
      </c>
      <c r="F1143">
        <f>IF(Table2[[#This Row],[Attrition]]="Yes", 1, 0)</f>
        <v>0</v>
      </c>
      <c r="G1143" t="s">
        <v>26</v>
      </c>
      <c r="H1143" t="s">
        <v>23</v>
      </c>
      <c r="I1143">
        <v>7</v>
      </c>
      <c r="J1143">
        <v>3</v>
      </c>
      <c r="K1143" t="s">
        <v>29</v>
      </c>
      <c r="L1143">
        <v>2</v>
      </c>
      <c r="M1143">
        <v>2</v>
      </c>
      <c r="N1143" s="3">
        <v>2141</v>
      </c>
      <c r="O1143" s="3" t="str">
        <f>IF(Table2[[#This Row],[MonthlyIncome]]&lt;=5000, "$1001 - $5000", IF(Table2[[#This Row],[MonthlyIncome]]&lt;=9000, "$5001 - $9000", IF(Table2[[#This Row],[MonthlyIncome]]&lt;=13000, "$9001 - $13000", IF(Table2[[#This Row],[MonthlyIncome]]&lt;=17000, "$13001 - $17000", IF(Table2[[#This Row],[MonthlyIncome]]&lt;=21000, "$17001 - $21000")))))</f>
        <v>$1001 - $5000</v>
      </c>
      <c r="P1143">
        <v>1</v>
      </c>
      <c r="Q1143">
        <v>2</v>
      </c>
      <c r="R1143">
        <v>6</v>
      </c>
      <c r="S11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44" spans="1:19" ht="14.25" x14ac:dyDescent="0.2">
      <c r="A1144">
        <v>25959108</v>
      </c>
      <c r="B1144">
        <v>45</v>
      </c>
      <c r="C1144" t="s">
        <v>20</v>
      </c>
      <c r="D1144" t="s">
        <v>19</v>
      </c>
      <c r="E1144" t="s">
        <v>22</v>
      </c>
      <c r="F1144">
        <f>IF(Table2[[#This Row],[Attrition]]="Yes", 1, 0)</f>
        <v>0</v>
      </c>
      <c r="G1144" t="s">
        <v>28</v>
      </c>
      <c r="H1144" t="s">
        <v>23</v>
      </c>
      <c r="I1144">
        <v>5</v>
      </c>
      <c r="J1144">
        <v>5</v>
      </c>
      <c r="K1144" t="s">
        <v>29</v>
      </c>
      <c r="L1144">
        <v>3</v>
      </c>
      <c r="M1144">
        <v>1</v>
      </c>
      <c r="N1144" s="3">
        <v>5769</v>
      </c>
      <c r="O1144" s="3" t="str">
        <f>IF(Table2[[#This Row],[MonthlyIncome]]&lt;=5000, "$1001 - $5000", IF(Table2[[#This Row],[MonthlyIncome]]&lt;=9000, "$5001 - $9000", IF(Table2[[#This Row],[MonthlyIncome]]&lt;=13000, "$9001 - $13000", IF(Table2[[#This Row],[MonthlyIncome]]&lt;=17000, "$13001 - $17000", IF(Table2[[#This Row],[MonthlyIncome]]&lt;=21000, "$17001 - $21000")))))</f>
        <v>$5001 - $9000</v>
      </c>
      <c r="P1144">
        <v>1</v>
      </c>
      <c r="Q1144">
        <v>3</v>
      </c>
      <c r="R1144">
        <v>10</v>
      </c>
      <c r="S11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45" spans="1:19" ht="14.25" x14ac:dyDescent="0.2">
      <c r="A1145">
        <v>75016992</v>
      </c>
      <c r="B1145">
        <v>45</v>
      </c>
      <c r="C1145" t="s">
        <v>25</v>
      </c>
      <c r="D1145" t="s">
        <v>24</v>
      </c>
      <c r="E1145" t="s">
        <v>22</v>
      </c>
      <c r="F1145">
        <f>IF(Table2[[#This Row],[Attrition]]="Yes", 1, 0)</f>
        <v>0</v>
      </c>
      <c r="G1145" t="s">
        <v>21</v>
      </c>
      <c r="H1145" t="s">
        <v>17</v>
      </c>
      <c r="I1145">
        <v>26</v>
      </c>
      <c r="J1145">
        <v>3</v>
      </c>
      <c r="K1145" t="s">
        <v>36</v>
      </c>
      <c r="L1145">
        <v>1</v>
      </c>
      <c r="M1145">
        <v>1</v>
      </c>
      <c r="N1145" s="3">
        <v>4385</v>
      </c>
      <c r="O1145" s="3" t="str">
        <f>IF(Table2[[#This Row],[MonthlyIncome]]&lt;=5000, "$1001 - $5000", IF(Table2[[#This Row],[MonthlyIncome]]&lt;=9000, "$5001 - $9000", IF(Table2[[#This Row],[MonthlyIncome]]&lt;=13000, "$9001 - $13000", IF(Table2[[#This Row],[MonthlyIncome]]&lt;=17000, "$13001 - $17000", IF(Table2[[#This Row],[MonthlyIncome]]&lt;=21000, "$17001 - $21000")))))</f>
        <v>$1001 - $5000</v>
      </c>
      <c r="P1145">
        <v>1</v>
      </c>
      <c r="Q1145">
        <v>3</v>
      </c>
      <c r="R1145">
        <v>10</v>
      </c>
      <c r="S11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46" spans="1:19" ht="14.25" x14ac:dyDescent="0.2">
      <c r="A1146">
        <v>10684474</v>
      </c>
      <c r="B1146">
        <v>31</v>
      </c>
      <c r="C1146" t="s">
        <v>25</v>
      </c>
      <c r="D1146" t="s">
        <v>19</v>
      </c>
      <c r="E1146" t="s">
        <v>22</v>
      </c>
      <c r="F1146">
        <f>IF(Table2[[#This Row],[Attrition]]="Yes", 1, 0)</f>
        <v>0</v>
      </c>
      <c r="G1146" t="s">
        <v>21</v>
      </c>
      <c r="H1146" t="s">
        <v>17</v>
      </c>
      <c r="I1146">
        <v>2</v>
      </c>
      <c r="J1146">
        <v>4</v>
      </c>
      <c r="K1146" t="s">
        <v>27</v>
      </c>
      <c r="L1146">
        <v>4</v>
      </c>
      <c r="M1146">
        <v>1</v>
      </c>
      <c r="N1146" s="3">
        <v>5332</v>
      </c>
      <c r="O1146" s="3" t="str">
        <f>IF(Table2[[#This Row],[MonthlyIncome]]&lt;=5000, "$1001 - $5000", IF(Table2[[#This Row],[MonthlyIncome]]&lt;=9000, "$5001 - $9000", IF(Table2[[#This Row],[MonthlyIncome]]&lt;=13000, "$9001 - $13000", IF(Table2[[#This Row],[MonthlyIncome]]&lt;=17000, "$13001 - $17000", IF(Table2[[#This Row],[MonthlyIncome]]&lt;=21000, "$17001 - $21000")))))</f>
        <v>$5001 - $9000</v>
      </c>
      <c r="P1146">
        <v>7</v>
      </c>
      <c r="Q1146">
        <v>3</v>
      </c>
      <c r="R1146">
        <v>5</v>
      </c>
      <c r="S11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47" spans="1:19" ht="14.25" x14ac:dyDescent="0.2">
      <c r="A1147">
        <v>69996011</v>
      </c>
      <c r="B1147">
        <v>36</v>
      </c>
      <c r="C1147" t="s">
        <v>20</v>
      </c>
      <c r="D1147" t="s">
        <v>24</v>
      </c>
      <c r="E1147" t="s">
        <v>22</v>
      </c>
      <c r="F1147">
        <f>IF(Table2[[#This Row],[Attrition]]="Yes", 1, 0)</f>
        <v>0</v>
      </c>
      <c r="G1147" t="s">
        <v>31</v>
      </c>
      <c r="H1147" t="s">
        <v>23</v>
      </c>
      <c r="I1147">
        <v>12</v>
      </c>
      <c r="J1147">
        <v>4</v>
      </c>
      <c r="K1147" t="s">
        <v>18</v>
      </c>
      <c r="L1147">
        <v>3</v>
      </c>
      <c r="M1147">
        <v>3</v>
      </c>
      <c r="N1147" s="3">
        <v>4663</v>
      </c>
      <c r="O1147" s="3" t="str">
        <f>IF(Table2[[#This Row],[MonthlyIncome]]&lt;=5000, "$1001 - $5000", IF(Table2[[#This Row],[MonthlyIncome]]&lt;=9000, "$5001 - $9000", IF(Table2[[#This Row],[MonthlyIncome]]&lt;=13000, "$9001 - $13000", IF(Table2[[#This Row],[MonthlyIncome]]&lt;=17000, "$13001 - $17000", IF(Table2[[#This Row],[MonthlyIncome]]&lt;=21000, "$17001 - $21000")))))</f>
        <v>$1001 - $5000</v>
      </c>
      <c r="P1147">
        <v>9</v>
      </c>
      <c r="Q1147">
        <v>3</v>
      </c>
      <c r="R1147">
        <v>3</v>
      </c>
      <c r="S11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48" spans="1:19" ht="14.25" x14ac:dyDescent="0.2">
      <c r="A1148">
        <v>77931779</v>
      </c>
      <c r="B1148">
        <v>34</v>
      </c>
      <c r="C1148" t="s">
        <v>25</v>
      </c>
      <c r="D1148" t="s">
        <v>30</v>
      </c>
      <c r="E1148" t="s">
        <v>22</v>
      </c>
      <c r="F1148">
        <f>IF(Table2[[#This Row],[Attrition]]="Yes", 1, 0)</f>
        <v>0</v>
      </c>
      <c r="G1148" t="s">
        <v>31</v>
      </c>
      <c r="H1148" t="s">
        <v>23</v>
      </c>
      <c r="I1148">
        <v>10</v>
      </c>
      <c r="J1148">
        <v>4</v>
      </c>
      <c r="K1148" t="s">
        <v>18</v>
      </c>
      <c r="L1148">
        <v>3</v>
      </c>
      <c r="M1148">
        <v>4</v>
      </c>
      <c r="N1148" s="3">
        <v>4724</v>
      </c>
      <c r="O1148" s="3" t="str">
        <f>IF(Table2[[#This Row],[MonthlyIncome]]&lt;=5000, "$1001 - $5000", IF(Table2[[#This Row],[MonthlyIncome]]&lt;=9000, "$5001 - $9000", IF(Table2[[#This Row],[MonthlyIncome]]&lt;=13000, "$9001 - $13000", IF(Table2[[#This Row],[MonthlyIncome]]&lt;=17000, "$13001 - $17000", IF(Table2[[#This Row],[MonthlyIncome]]&lt;=21000, "$17001 - $21000")))))</f>
        <v>$1001 - $5000</v>
      </c>
      <c r="P1148">
        <v>1</v>
      </c>
      <c r="Q1148">
        <v>3</v>
      </c>
      <c r="R1148">
        <v>9</v>
      </c>
      <c r="S11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49" spans="1:19" ht="14.25" x14ac:dyDescent="0.2">
      <c r="A1149">
        <v>61724879</v>
      </c>
      <c r="B1149">
        <v>49</v>
      </c>
      <c r="C1149" t="s">
        <v>20</v>
      </c>
      <c r="D1149" t="s">
        <v>24</v>
      </c>
      <c r="E1149" t="s">
        <v>22</v>
      </c>
      <c r="F1149">
        <f>IF(Table2[[#This Row],[Attrition]]="Yes", 1, 0)</f>
        <v>0</v>
      </c>
      <c r="G1149" t="s">
        <v>28</v>
      </c>
      <c r="H1149" t="s">
        <v>23</v>
      </c>
      <c r="I1149">
        <v>25</v>
      </c>
      <c r="J1149">
        <v>4</v>
      </c>
      <c r="K1149" t="s">
        <v>18</v>
      </c>
      <c r="L1149">
        <v>3</v>
      </c>
      <c r="M1149">
        <v>1</v>
      </c>
      <c r="N1149" s="3">
        <v>3211</v>
      </c>
      <c r="O1149" s="3" t="str">
        <f>IF(Table2[[#This Row],[MonthlyIncome]]&lt;=5000, "$1001 - $5000", IF(Table2[[#This Row],[MonthlyIncome]]&lt;=9000, "$5001 - $9000", IF(Table2[[#This Row],[MonthlyIncome]]&lt;=13000, "$9001 - $13000", IF(Table2[[#This Row],[MonthlyIncome]]&lt;=17000, "$13001 - $17000", IF(Table2[[#This Row],[MonthlyIncome]]&lt;=21000, "$17001 - $21000")))))</f>
        <v>$1001 - $5000</v>
      </c>
      <c r="P1149">
        <v>1</v>
      </c>
      <c r="Q1149">
        <v>2</v>
      </c>
      <c r="R1149">
        <v>9</v>
      </c>
      <c r="S11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50" spans="1:19" ht="14.25" x14ac:dyDescent="0.2">
      <c r="A1150">
        <v>76469410</v>
      </c>
      <c r="B1150">
        <v>39</v>
      </c>
      <c r="C1150" t="s">
        <v>25</v>
      </c>
      <c r="D1150" t="s">
        <v>24</v>
      </c>
      <c r="E1150" t="s">
        <v>22</v>
      </c>
      <c r="F1150">
        <f>IF(Table2[[#This Row],[Attrition]]="Yes", 1, 0)</f>
        <v>0</v>
      </c>
      <c r="G1150" t="s">
        <v>31</v>
      </c>
      <c r="H1150" t="s">
        <v>23</v>
      </c>
      <c r="I1150">
        <v>10</v>
      </c>
      <c r="J1150">
        <v>5</v>
      </c>
      <c r="K1150" t="s">
        <v>29</v>
      </c>
      <c r="L1150">
        <v>2</v>
      </c>
      <c r="M1150">
        <v>1</v>
      </c>
      <c r="N1150" s="3">
        <v>5377</v>
      </c>
      <c r="O1150" s="3" t="str">
        <f>IF(Table2[[#This Row],[MonthlyIncome]]&lt;=5000, "$1001 - $5000", IF(Table2[[#This Row],[MonthlyIncome]]&lt;=9000, "$5001 - $9000", IF(Table2[[#This Row],[MonthlyIncome]]&lt;=13000, "$9001 - $13000", IF(Table2[[#This Row],[MonthlyIncome]]&lt;=17000, "$13001 - $17000", IF(Table2[[#This Row],[MonthlyIncome]]&lt;=21000, "$17001 - $21000")))))</f>
        <v>$5001 - $9000</v>
      </c>
      <c r="P1150">
        <v>2</v>
      </c>
      <c r="Q1150">
        <v>3</v>
      </c>
      <c r="R1150">
        <v>7</v>
      </c>
      <c r="S11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51" spans="1:19" ht="14.25" x14ac:dyDescent="0.2">
      <c r="A1151">
        <v>69417234</v>
      </c>
      <c r="B1151">
        <v>27</v>
      </c>
      <c r="C1151" t="s">
        <v>25</v>
      </c>
      <c r="D1151" t="s">
        <v>30</v>
      </c>
      <c r="E1151" t="s">
        <v>22</v>
      </c>
      <c r="F1151">
        <f>IF(Table2[[#This Row],[Attrition]]="Yes", 1, 0)</f>
        <v>0</v>
      </c>
      <c r="G1151" t="s">
        <v>28</v>
      </c>
      <c r="H1151" t="s">
        <v>23</v>
      </c>
      <c r="I1151">
        <v>19</v>
      </c>
      <c r="J1151">
        <v>3</v>
      </c>
      <c r="K1151" t="s">
        <v>27</v>
      </c>
      <c r="L1151">
        <v>4</v>
      </c>
      <c r="M1151">
        <v>1</v>
      </c>
      <c r="N1151" s="3">
        <v>4066</v>
      </c>
      <c r="O1151" s="3" t="str">
        <f>IF(Table2[[#This Row],[MonthlyIncome]]&lt;=5000, "$1001 - $5000", IF(Table2[[#This Row],[MonthlyIncome]]&lt;=9000, "$5001 - $9000", IF(Table2[[#This Row],[MonthlyIncome]]&lt;=13000, "$9001 - $13000", IF(Table2[[#This Row],[MonthlyIncome]]&lt;=17000, "$13001 - $17000", IF(Table2[[#This Row],[MonthlyIncome]]&lt;=21000, "$17001 - $21000")))))</f>
        <v>$1001 - $5000</v>
      </c>
      <c r="P1151">
        <v>1</v>
      </c>
      <c r="Q1151">
        <v>3</v>
      </c>
      <c r="R1151">
        <v>7</v>
      </c>
      <c r="S11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52" spans="1:19" ht="14.25" x14ac:dyDescent="0.2">
      <c r="A1152">
        <v>16128813</v>
      </c>
      <c r="B1152">
        <v>35</v>
      </c>
      <c r="C1152" t="s">
        <v>25</v>
      </c>
      <c r="D1152" t="s">
        <v>24</v>
      </c>
      <c r="E1152" t="s">
        <v>22</v>
      </c>
      <c r="F1152">
        <f>IF(Table2[[#This Row],[Attrition]]="Yes", 1, 0)</f>
        <v>0</v>
      </c>
      <c r="G1152" t="s">
        <v>26</v>
      </c>
      <c r="H1152" t="s">
        <v>23</v>
      </c>
      <c r="I1152">
        <v>18</v>
      </c>
      <c r="J1152">
        <v>5</v>
      </c>
      <c r="K1152" t="s">
        <v>18</v>
      </c>
      <c r="L1152">
        <v>2</v>
      </c>
      <c r="M1152">
        <v>1</v>
      </c>
      <c r="N1152" s="3">
        <v>5208</v>
      </c>
      <c r="O1152" s="3" t="str">
        <f>IF(Table2[[#This Row],[MonthlyIncome]]&lt;=5000, "$1001 - $5000", IF(Table2[[#This Row],[MonthlyIncome]]&lt;=9000, "$5001 - $9000", IF(Table2[[#This Row],[MonthlyIncome]]&lt;=13000, "$9001 - $13000", IF(Table2[[#This Row],[MonthlyIncome]]&lt;=17000, "$13001 - $17000", IF(Table2[[#This Row],[MonthlyIncome]]&lt;=21000, "$17001 - $21000")))))</f>
        <v>$5001 - $9000</v>
      </c>
      <c r="P1152">
        <v>1</v>
      </c>
      <c r="Q1152">
        <v>3</v>
      </c>
      <c r="R1152">
        <v>16</v>
      </c>
      <c r="S11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153" spans="1:19" ht="14.25" x14ac:dyDescent="0.2">
      <c r="A1153">
        <v>20724088</v>
      </c>
      <c r="B1153">
        <v>28</v>
      </c>
      <c r="C1153" t="s">
        <v>20</v>
      </c>
      <c r="D1153" t="s">
        <v>30</v>
      </c>
      <c r="E1153" t="s">
        <v>22</v>
      </c>
      <c r="F1153">
        <f>IF(Table2[[#This Row],[Attrition]]="Yes", 1, 0)</f>
        <v>0</v>
      </c>
      <c r="G1153" t="s">
        <v>31</v>
      </c>
      <c r="H1153" t="s">
        <v>23</v>
      </c>
      <c r="I1153">
        <v>27</v>
      </c>
      <c r="J1153">
        <v>3</v>
      </c>
      <c r="K1153" t="s">
        <v>29</v>
      </c>
      <c r="L1153">
        <v>2</v>
      </c>
      <c r="M1153">
        <v>1</v>
      </c>
      <c r="N1153" s="3">
        <v>4877</v>
      </c>
      <c r="O1153" s="3" t="str">
        <f>IF(Table2[[#This Row],[MonthlyIncome]]&lt;=5000, "$1001 - $5000", IF(Table2[[#This Row],[MonthlyIncome]]&lt;=9000, "$5001 - $9000", IF(Table2[[#This Row],[MonthlyIncome]]&lt;=13000, "$9001 - $13000", IF(Table2[[#This Row],[MonthlyIncome]]&lt;=17000, "$13001 - $17000", IF(Table2[[#This Row],[MonthlyIncome]]&lt;=21000, "$17001 - $21000")))))</f>
        <v>$1001 - $5000</v>
      </c>
      <c r="P1153">
        <v>0</v>
      </c>
      <c r="Q1153">
        <v>2</v>
      </c>
      <c r="R1153">
        <v>5</v>
      </c>
      <c r="S11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54" spans="1:19" ht="14.25" x14ac:dyDescent="0.2">
      <c r="A1154">
        <v>55951995</v>
      </c>
      <c r="B1154">
        <v>21</v>
      </c>
      <c r="C1154" t="s">
        <v>25</v>
      </c>
      <c r="D1154" t="s">
        <v>19</v>
      </c>
      <c r="E1154" t="s">
        <v>22</v>
      </c>
      <c r="F1154">
        <f>IF(Table2[[#This Row],[Attrition]]="Yes", 1, 0)</f>
        <v>0</v>
      </c>
      <c r="G1154" t="s">
        <v>26</v>
      </c>
      <c r="H1154" t="s">
        <v>23</v>
      </c>
      <c r="I1154">
        <v>5</v>
      </c>
      <c r="J1154">
        <v>1</v>
      </c>
      <c r="K1154" t="s">
        <v>29</v>
      </c>
      <c r="L1154">
        <v>3</v>
      </c>
      <c r="M1154">
        <v>4</v>
      </c>
      <c r="N1154" s="3">
        <v>3117</v>
      </c>
      <c r="O1154" s="3" t="str">
        <f>IF(Table2[[#This Row],[MonthlyIncome]]&lt;=5000, "$1001 - $5000", IF(Table2[[#This Row],[MonthlyIncome]]&lt;=9000, "$5001 - $9000", IF(Table2[[#This Row],[MonthlyIncome]]&lt;=13000, "$9001 - $13000", IF(Table2[[#This Row],[MonthlyIncome]]&lt;=17000, "$13001 - $17000", IF(Table2[[#This Row],[MonthlyIncome]]&lt;=21000, "$17001 - $21000")))))</f>
        <v>$1001 - $5000</v>
      </c>
      <c r="P1154">
        <v>1</v>
      </c>
      <c r="Q1154">
        <v>3</v>
      </c>
      <c r="R1154">
        <v>2</v>
      </c>
      <c r="S11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55" spans="1:19" ht="14.25" x14ac:dyDescent="0.2">
      <c r="A1155">
        <v>55058697</v>
      </c>
      <c r="B1155">
        <v>18</v>
      </c>
      <c r="C1155" t="s">
        <v>20</v>
      </c>
      <c r="D1155" t="s">
        <v>19</v>
      </c>
      <c r="E1155" t="s">
        <v>16</v>
      </c>
      <c r="F1155">
        <f>IF(Table2[[#This Row],[Attrition]]="Yes", 1, 0)</f>
        <v>1</v>
      </c>
      <c r="G1155" t="s">
        <v>34</v>
      </c>
      <c r="H1155" t="s">
        <v>17</v>
      </c>
      <c r="I1155">
        <v>3</v>
      </c>
      <c r="J1155">
        <v>2</v>
      </c>
      <c r="K1155" t="s">
        <v>29</v>
      </c>
      <c r="L1155">
        <v>2</v>
      </c>
      <c r="M1155">
        <v>4</v>
      </c>
      <c r="N1155" s="3">
        <v>1569</v>
      </c>
      <c r="O1155" s="3" t="str">
        <f>IF(Table2[[#This Row],[MonthlyIncome]]&lt;=5000, "$1001 - $5000", IF(Table2[[#This Row],[MonthlyIncome]]&lt;=9000, "$5001 - $9000", IF(Table2[[#This Row],[MonthlyIncome]]&lt;=13000, "$9001 - $13000", IF(Table2[[#This Row],[MonthlyIncome]]&lt;=17000, "$13001 - $17000", IF(Table2[[#This Row],[MonthlyIncome]]&lt;=21000, "$17001 - $21000")))))</f>
        <v>$1001 - $5000</v>
      </c>
      <c r="P1155">
        <v>1</v>
      </c>
      <c r="Q1155">
        <v>4</v>
      </c>
      <c r="R1155">
        <v>0</v>
      </c>
      <c r="S11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56" spans="1:19" ht="14.25" x14ac:dyDescent="0.2">
      <c r="A1156">
        <v>78654867</v>
      </c>
      <c r="B1156">
        <v>47</v>
      </c>
      <c r="C1156" t="s">
        <v>20</v>
      </c>
      <c r="D1156" t="s">
        <v>24</v>
      </c>
      <c r="E1156" t="s">
        <v>22</v>
      </c>
      <c r="F1156">
        <f>IF(Table2[[#This Row],[Attrition]]="Yes", 1, 0)</f>
        <v>0</v>
      </c>
      <c r="G1156" t="s">
        <v>33</v>
      </c>
      <c r="H1156" t="s">
        <v>38</v>
      </c>
      <c r="I1156">
        <v>26</v>
      </c>
      <c r="J1156">
        <v>4</v>
      </c>
      <c r="K1156" t="s">
        <v>18</v>
      </c>
      <c r="L1156">
        <v>4</v>
      </c>
      <c r="M1156">
        <v>3</v>
      </c>
      <c r="N1156" s="3">
        <v>19658</v>
      </c>
      <c r="O1156" s="3" t="str">
        <f>IF(Table2[[#This Row],[MonthlyIncome]]&lt;=5000, "$1001 - $5000", IF(Table2[[#This Row],[MonthlyIncome]]&lt;=9000, "$5001 - $9000", IF(Table2[[#This Row],[MonthlyIncome]]&lt;=13000, "$9001 - $13000", IF(Table2[[#This Row],[MonthlyIncome]]&lt;=17000, "$13001 - $17000", IF(Table2[[#This Row],[MonthlyIncome]]&lt;=21000, "$17001 - $21000")))))</f>
        <v>$17001 - $21000</v>
      </c>
      <c r="P1156">
        <v>3</v>
      </c>
      <c r="Q1156">
        <v>3</v>
      </c>
      <c r="R1156">
        <v>5</v>
      </c>
      <c r="S11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57" spans="1:19" ht="14.25" x14ac:dyDescent="0.2">
      <c r="A1157">
        <v>71634759</v>
      </c>
      <c r="B1157">
        <v>39</v>
      </c>
      <c r="C1157" t="s">
        <v>25</v>
      </c>
      <c r="D1157" t="s">
        <v>30</v>
      </c>
      <c r="E1157" t="s">
        <v>22</v>
      </c>
      <c r="F1157">
        <f>IF(Table2[[#This Row],[Attrition]]="Yes", 1, 0)</f>
        <v>0</v>
      </c>
      <c r="G1157" t="s">
        <v>28</v>
      </c>
      <c r="H1157" t="s">
        <v>23</v>
      </c>
      <c r="I1157">
        <v>3</v>
      </c>
      <c r="J1157">
        <v>2</v>
      </c>
      <c r="K1157" t="s">
        <v>29</v>
      </c>
      <c r="L1157">
        <v>3</v>
      </c>
      <c r="M1157">
        <v>3</v>
      </c>
      <c r="N1157" s="3">
        <v>3069</v>
      </c>
      <c r="O1157" s="3" t="str">
        <f>IF(Table2[[#This Row],[MonthlyIncome]]&lt;=5000, "$1001 - $5000", IF(Table2[[#This Row],[MonthlyIncome]]&lt;=9000, "$5001 - $9000", IF(Table2[[#This Row],[MonthlyIncome]]&lt;=13000, "$9001 - $13000", IF(Table2[[#This Row],[MonthlyIncome]]&lt;=17000, "$13001 - $17000", IF(Table2[[#This Row],[MonthlyIncome]]&lt;=21000, "$17001 - $21000")))))</f>
        <v>$1001 - $5000</v>
      </c>
      <c r="P1157">
        <v>0</v>
      </c>
      <c r="Q1157">
        <v>3</v>
      </c>
      <c r="R1157">
        <v>10</v>
      </c>
      <c r="S11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58" spans="1:19" ht="14.25" x14ac:dyDescent="0.2">
      <c r="A1158">
        <v>17537949</v>
      </c>
      <c r="B1158">
        <v>40</v>
      </c>
      <c r="C1158" t="s">
        <v>20</v>
      </c>
      <c r="D1158" t="s">
        <v>24</v>
      </c>
      <c r="E1158" t="s">
        <v>22</v>
      </c>
      <c r="F1158">
        <f>IF(Table2[[#This Row],[Attrition]]="Yes", 1, 0)</f>
        <v>0</v>
      </c>
      <c r="G1158" t="s">
        <v>31</v>
      </c>
      <c r="H1158" t="s">
        <v>23</v>
      </c>
      <c r="I1158">
        <v>15</v>
      </c>
      <c r="J1158">
        <v>3</v>
      </c>
      <c r="K1158" t="s">
        <v>18</v>
      </c>
      <c r="L1158">
        <v>1</v>
      </c>
      <c r="M1158">
        <v>3</v>
      </c>
      <c r="N1158" s="3">
        <v>10435</v>
      </c>
      <c r="O1158" s="3" t="str">
        <f>IF(Table2[[#This Row],[MonthlyIncome]]&lt;=5000, "$1001 - $5000", IF(Table2[[#This Row],[MonthlyIncome]]&lt;=9000, "$5001 - $9000", IF(Table2[[#This Row],[MonthlyIncome]]&lt;=13000, "$9001 - $13000", IF(Table2[[#This Row],[MonthlyIncome]]&lt;=17000, "$13001 - $17000", IF(Table2[[#This Row],[MonthlyIncome]]&lt;=21000, "$17001 - $21000")))))</f>
        <v>$9001 - $13000</v>
      </c>
      <c r="P1158">
        <v>1</v>
      </c>
      <c r="Q1158">
        <v>3</v>
      </c>
      <c r="R1158">
        <v>18</v>
      </c>
      <c r="S11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159" spans="1:19" ht="14.25" x14ac:dyDescent="0.2">
      <c r="A1159">
        <v>42727600</v>
      </c>
      <c r="B1159">
        <v>35</v>
      </c>
      <c r="C1159" t="s">
        <v>20</v>
      </c>
      <c r="D1159" t="s">
        <v>24</v>
      </c>
      <c r="E1159" t="s">
        <v>22</v>
      </c>
      <c r="F1159">
        <f>IF(Table2[[#This Row],[Attrition]]="Yes", 1, 0)</f>
        <v>0</v>
      </c>
      <c r="G1159" t="s">
        <v>32</v>
      </c>
      <c r="H1159" t="s">
        <v>23</v>
      </c>
      <c r="I1159">
        <v>8</v>
      </c>
      <c r="J1159">
        <v>4</v>
      </c>
      <c r="K1159" t="s">
        <v>18</v>
      </c>
      <c r="L1159">
        <v>3</v>
      </c>
      <c r="M1159">
        <v>3</v>
      </c>
      <c r="N1159" s="3">
        <v>4148</v>
      </c>
      <c r="O1159" s="3" t="str">
        <f>IF(Table2[[#This Row],[MonthlyIncome]]&lt;=5000, "$1001 - $5000", IF(Table2[[#This Row],[MonthlyIncome]]&lt;=9000, "$5001 - $9000", IF(Table2[[#This Row],[MonthlyIncome]]&lt;=13000, "$9001 - $13000", IF(Table2[[#This Row],[MonthlyIncome]]&lt;=17000, "$13001 - $17000", IF(Table2[[#This Row],[MonthlyIncome]]&lt;=21000, "$17001 - $21000")))))</f>
        <v>$1001 - $5000</v>
      </c>
      <c r="P1159">
        <v>1</v>
      </c>
      <c r="Q1159">
        <v>3</v>
      </c>
      <c r="R1159">
        <v>14</v>
      </c>
      <c r="S11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60" spans="1:19" ht="14.25" x14ac:dyDescent="0.2">
      <c r="A1160">
        <v>31035517</v>
      </c>
      <c r="B1160">
        <v>37</v>
      </c>
      <c r="C1160" t="s">
        <v>25</v>
      </c>
      <c r="D1160" t="s">
        <v>24</v>
      </c>
      <c r="E1160" t="s">
        <v>22</v>
      </c>
      <c r="F1160">
        <f>IF(Table2[[#This Row],[Attrition]]="Yes", 1, 0)</f>
        <v>0</v>
      </c>
      <c r="G1160" t="s">
        <v>31</v>
      </c>
      <c r="H1160" t="s">
        <v>23</v>
      </c>
      <c r="I1160">
        <v>19</v>
      </c>
      <c r="J1160">
        <v>3</v>
      </c>
      <c r="K1160" t="s">
        <v>18</v>
      </c>
      <c r="L1160">
        <v>3</v>
      </c>
      <c r="M1160">
        <v>3</v>
      </c>
      <c r="N1160" s="3">
        <v>5768</v>
      </c>
      <c r="O1160" s="3" t="str">
        <f>IF(Table2[[#This Row],[MonthlyIncome]]&lt;=5000, "$1001 - $5000", IF(Table2[[#This Row],[MonthlyIncome]]&lt;=9000, "$5001 - $9000", IF(Table2[[#This Row],[MonthlyIncome]]&lt;=13000, "$9001 - $13000", IF(Table2[[#This Row],[MonthlyIncome]]&lt;=17000, "$13001 - $17000", IF(Table2[[#This Row],[MonthlyIncome]]&lt;=21000, "$17001 - $21000")))))</f>
        <v>$5001 - $9000</v>
      </c>
      <c r="P1160">
        <v>3</v>
      </c>
      <c r="Q1160">
        <v>2</v>
      </c>
      <c r="R1160">
        <v>4</v>
      </c>
      <c r="S11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61" spans="1:19" ht="14.25" x14ac:dyDescent="0.2">
      <c r="A1161">
        <v>44700158</v>
      </c>
      <c r="B1161">
        <v>39</v>
      </c>
      <c r="C1161" t="s">
        <v>20</v>
      </c>
      <c r="D1161" t="s">
        <v>19</v>
      </c>
      <c r="E1161" t="s">
        <v>22</v>
      </c>
      <c r="F1161">
        <f>IF(Table2[[#This Row],[Attrition]]="Yes", 1, 0)</f>
        <v>0</v>
      </c>
      <c r="G1161" t="s">
        <v>31</v>
      </c>
      <c r="H1161" t="s">
        <v>23</v>
      </c>
      <c r="I1161">
        <v>4</v>
      </c>
      <c r="J1161">
        <v>3</v>
      </c>
      <c r="K1161" t="s">
        <v>29</v>
      </c>
      <c r="L1161">
        <v>1</v>
      </c>
      <c r="M1161">
        <v>3</v>
      </c>
      <c r="N1161" s="3">
        <v>5042</v>
      </c>
      <c r="O1161" s="3" t="str">
        <f>IF(Table2[[#This Row],[MonthlyIncome]]&lt;=5000, "$1001 - $5000", IF(Table2[[#This Row],[MonthlyIncome]]&lt;=9000, "$5001 - $9000", IF(Table2[[#This Row],[MonthlyIncome]]&lt;=13000, "$9001 - $13000", IF(Table2[[#This Row],[MonthlyIncome]]&lt;=17000, "$13001 - $17000", IF(Table2[[#This Row],[MonthlyIncome]]&lt;=21000, "$17001 - $21000")))))</f>
        <v>$5001 - $9000</v>
      </c>
      <c r="P1161">
        <v>0</v>
      </c>
      <c r="Q1161">
        <v>1</v>
      </c>
      <c r="R1161">
        <v>9</v>
      </c>
      <c r="S11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62" spans="1:19" ht="14.25" x14ac:dyDescent="0.2">
      <c r="A1162">
        <v>86494841</v>
      </c>
      <c r="B1162">
        <v>45</v>
      </c>
      <c r="C1162" t="s">
        <v>20</v>
      </c>
      <c r="D1162" t="s">
        <v>30</v>
      </c>
      <c r="E1162" t="s">
        <v>22</v>
      </c>
      <c r="F1162">
        <f>IF(Table2[[#This Row],[Attrition]]="Yes", 1, 0)</f>
        <v>0</v>
      </c>
      <c r="G1162" t="s">
        <v>31</v>
      </c>
      <c r="H1162" t="s">
        <v>23</v>
      </c>
      <c r="I1162">
        <v>2</v>
      </c>
      <c r="J1162">
        <v>2</v>
      </c>
      <c r="K1162" t="s">
        <v>27</v>
      </c>
      <c r="L1162">
        <v>4</v>
      </c>
      <c r="M1162">
        <v>4</v>
      </c>
      <c r="N1162" s="3">
        <v>5770</v>
      </c>
      <c r="O1162" s="3" t="str">
        <f>IF(Table2[[#This Row],[MonthlyIncome]]&lt;=5000, "$1001 - $5000", IF(Table2[[#This Row],[MonthlyIncome]]&lt;=9000, "$5001 - $9000", IF(Table2[[#This Row],[MonthlyIncome]]&lt;=13000, "$9001 - $13000", IF(Table2[[#This Row],[MonthlyIncome]]&lt;=17000, "$13001 - $17000", IF(Table2[[#This Row],[MonthlyIncome]]&lt;=21000, "$17001 - $21000")))))</f>
        <v>$5001 - $9000</v>
      </c>
      <c r="P1162">
        <v>1</v>
      </c>
      <c r="Q1162">
        <v>3</v>
      </c>
      <c r="R1162">
        <v>10</v>
      </c>
      <c r="S11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63" spans="1:19" ht="14.25" x14ac:dyDescent="0.2">
      <c r="A1163">
        <v>57664135</v>
      </c>
      <c r="B1163">
        <v>38</v>
      </c>
      <c r="C1163" t="s">
        <v>20</v>
      </c>
      <c r="D1163" t="s">
        <v>24</v>
      </c>
      <c r="E1163" t="s">
        <v>22</v>
      </c>
      <c r="F1163">
        <f>IF(Table2[[#This Row],[Attrition]]="Yes", 1, 0)</f>
        <v>0</v>
      </c>
      <c r="G1163" t="s">
        <v>31</v>
      </c>
      <c r="H1163" t="s">
        <v>23</v>
      </c>
      <c r="I1163">
        <v>2</v>
      </c>
      <c r="J1163">
        <v>2</v>
      </c>
      <c r="K1163" t="s">
        <v>29</v>
      </c>
      <c r="L1163">
        <v>4</v>
      </c>
      <c r="M1163">
        <v>3</v>
      </c>
      <c r="N1163" s="3">
        <v>7756</v>
      </c>
      <c r="O1163" s="3" t="str">
        <f>IF(Table2[[#This Row],[MonthlyIncome]]&lt;=5000, "$1001 - $5000", IF(Table2[[#This Row],[MonthlyIncome]]&lt;=9000, "$5001 - $9000", IF(Table2[[#This Row],[MonthlyIncome]]&lt;=13000, "$9001 - $13000", IF(Table2[[#This Row],[MonthlyIncome]]&lt;=17000, "$13001 - $17000", IF(Table2[[#This Row],[MonthlyIncome]]&lt;=21000, "$17001 - $21000")))))</f>
        <v>$5001 - $9000</v>
      </c>
      <c r="P1163">
        <v>3</v>
      </c>
      <c r="Q1163">
        <v>4</v>
      </c>
      <c r="R1163">
        <v>5</v>
      </c>
      <c r="S11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64" spans="1:19" ht="14.25" x14ac:dyDescent="0.2">
      <c r="A1164">
        <v>73583504</v>
      </c>
      <c r="B1164">
        <v>35</v>
      </c>
      <c r="C1164" t="s">
        <v>25</v>
      </c>
      <c r="D1164" t="s">
        <v>24</v>
      </c>
      <c r="E1164" t="s">
        <v>16</v>
      </c>
      <c r="F1164">
        <f>IF(Table2[[#This Row],[Attrition]]="Yes", 1, 0)</f>
        <v>1</v>
      </c>
      <c r="G1164" t="s">
        <v>21</v>
      </c>
      <c r="H1164" t="s">
        <v>17</v>
      </c>
      <c r="I1164">
        <v>10</v>
      </c>
      <c r="J1164">
        <v>3</v>
      </c>
      <c r="K1164" t="s">
        <v>29</v>
      </c>
      <c r="L1164">
        <v>4</v>
      </c>
      <c r="M1164">
        <v>1</v>
      </c>
      <c r="N1164" s="3">
        <v>10306</v>
      </c>
      <c r="O1164" s="3" t="str">
        <f>IF(Table2[[#This Row],[MonthlyIncome]]&lt;=5000, "$1001 - $5000", IF(Table2[[#This Row],[MonthlyIncome]]&lt;=9000, "$5001 - $9000", IF(Table2[[#This Row],[MonthlyIncome]]&lt;=13000, "$9001 - $13000", IF(Table2[[#This Row],[MonthlyIncome]]&lt;=17000, "$13001 - $17000", IF(Table2[[#This Row],[MonthlyIncome]]&lt;=21000, "$17001 - $21000")))))</f>
        <v>$9001 - $13000</v>
      </c>
      <c r="P1164">
        <v>9</v>
      </c>
      <c r="Q1164">
        <v>3</v>
      </c>
      <c r="R1164">
        <v>13</v>
      </c>
      <c r="S11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65" spans="1:19" ht="14.25" x14ac:dyDescent="0.2">
      <c r="A1165">
        <v>12942409</v>
      </c>
      <c r="B1165">
        <v>37</v>
      </c>
      <c r="C1165" t="s">
        <v>20</v>
      </c>
      <c r="D1165" t="s">
        <v>24</v>
      </c>
      <c r="E1165" t="s">
        <v>22</v>
      </c>
      <c r="F1165">
        <f>IF(Table2[[#This Row],[Attrition]]="Yes", 1, 0)</f>
        <v>0</v>
      </c>
      <c r="G1165" t="s">
        <v>26</v>
      </c>
      <c r="H1165" t="s">
        <v>23</v>
      </c>
      <c r="I1165">
        <v>10</v>
      </c>
      <c r="J1165">
        <v>3</v>
      </c>
      <c r="K1165" t="s">
        <v>29</v>
      </c>
      <c r="L1165">
        <v>2</v>
      </c>
      <c r="M1165">
        <v>2</v>
      </c>
      <c r="N1165" s="3">
        <v>3936</v>
      </c>
      <c r="O1165" s="3" t="str">
        <f>IF(Table2[[#This Row],[MonthlyIncome]]&lt;=5000, "$1001 - $5000", IF(Table2[[#This Row],[MonthlyIncome]]&lt;=9000, "$5001 - $9000", IF(Table2[[#This Row],[MonthlyIncome]]&lt;=13000, "$9001 - $13000", IF(Table2[[#This Row],[MonthlyIncome]]&lt;=17000, "$13001 - $17000", IF(Table2[[#This Row],[MonthlyIncome]]&lt;=21000, "$17001 - $21000")))))</f>
        <v>$1001 - $5000</v>
      </c>
      <c r="P1165">
        <v>1</v>
      </c>
      <c r="Q1165">
        <v>1</v>
      </c>
      <c r="R1165">
        <v>8</v>
      </c>
      <c r="S11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66" spans="1:19" ht="14.25" x14ac:dyDescent="0.2">
      <c r="A1166">
        <v>41943507</v>
      </c>
      <c r="B1166">
        <v>40</v>
      </c>
      <c r="C1166" t="s">
        <v>20</v>
      </c>
      <c r="D1166" t="s">
        <v>19</v>
      </c>
      <c r="E1166" t="s">
        <v>22</v>
      </c>
      <c r="F1166">
        <f>IF(Table2[[#This Row],[Attrition]]="Yes", 1, 0)</f>
        <v>0</v>
      </c>
      <c r="G1166" t="s">
        <v>31</v>
      </c>
      <c r="H1166" t="s">
        <v>23</v>
      </c>
      <c r="I1166">
        <v>16</v>
      </c>
      <c r="J1166">
        <v>3</v>
      </c>
      <c r="K1166" t="s">
        <v>18</v>
      </c>
      <c r="L1166">
        <v>3</v>
      </c>
      <c r="M1166">
        <v>4</v>
      </c>
      <c r="N1166" s="3">
        <v>7945</v>
      </c>
      <c r="O1166" s="3" t="str">
        <f>IF(Table2[[#This Row],[MonthlyIncome]]&lt;=5000, "$1001 - $5000", IF(Table2[[#This Row],[MonthlyIncome]]&lt;=9000, "$5001 - $9000", IF(Table2[[#This Row],[MonthlyIncome]]&lt;=13000, "$9001 - $13000", IF(Table2[[#This Row],[MonthlyIncome]]&lt;=17000, "$13001 - $17000", IF(Table2[[#This Row],[MonthlyIncome]]&lt;=21000, "$17001 - $21000")))))</f>
        <v>$5001 - $9000</v>
      </c>
      <c r="P1166">
        <v>6</v>
      </c>
      <c r="Q1166">
        <v>2</v>
      </c>
      <c r="R1166">
        <v>4</v>
      </c>
      <c r="S11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67" spans="1:19" ht="14.25" x14ac:dyDescent="0.2">
      <c r="A1167">
        <v>18820294</v>
      </c>
      <c r="B1167">
        <v>44</v>
      </c>
      <c r="C1167" t="s">
        <v>25</v>
      </c>
      <c r="D1167" t="s">
        <v>24</v>
      </c>
      <c r="E1167" t="s">
        <v>22</v>
      </c>
      <c r="F1167">
        <f>IF(Table2[[#This Row],[Attrition]]="Yes", 1, 0)</f>
        <v>0</v>
      </c>
      <c r="G1167" t="s">
        <v>38</v>
      </c>
      <c r="H1167" t="s">
        <v>38</v>
      </c>
      <c r="I1167">
        <v>1</v>
      </c>
      <c r="J1167">
        <v>5</v>
      </c>
      <c r="K1167" t="s">
        <v>38</v>
      </c>
      <c r="L1167">
        <v>1</v>
      </c>
      <c r="M1167">
        <v>4</v>
      </c>
      <c r="N1167" s="3">
        <v>5743</v>
      </c>
      <c r="O1167" s="3" t="str">
        <f>IF(Table2[[#This Row],[MonthlyIncome]]&lt;=5000, "$1001 - $5000", IF(Table2[[#This Row],[MonthlyIncome]]&lt;=9000, "$5001 - $9000", IF(Table2[[#This Row],[MonthlyIncome]]&lt;=13000, "$9001 - $13000", IF(Table2[[#This Row],[MonthlyIncome]]&lt;=17000, "$13001 - $17000", IF(Table2[[#This Row],[MonthlyIncome]]&lt;=21000, "$17001 - $21000")))))</f>
        <v>$5001 - $9000</v>
      </c>
      <c r="P1167">
        <v>4</v>
      </c>
      <c r="Q1167">
        <v>3</v>
      </c>
      <c r="R1167">
        <v>10</v>
      </c>
      <c r="S11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68" spans="1:19" ht="14.25" x14ac:dyDescent="0.2">
      <c r="A1168">
        <v>77248517</v>
      </c>
      <c r="B1168">
        <v>48</v>
      </c>
      <c r="C1168" t="s">
        <v>25</v>
      </c>
      <c r="D1168" t="s">
        <v>24</v>
      </c>
      <c r="E1168" t="s">
        <v>22</v>
      </c>
      <c r="F1168">
        <f>IF(Table2[[#This Row],[Attrition]]="Yes", 1, 0)</f>
        <v>0</v>
      </c>
      <c r="G1168" t="s">
        <v>33</v>
      </c>
      <c r="H1168" t="s">
        <v>23</v>
      </c>
      <c r="I1168">
        <v>4</v>
      </c>
      <c r="J1168">
        <v>5</v>
      </c>
      <c r="K1168" t="s">
        <v>29</v>
      </c>
      <c r="L1168">
        <v>3</v>
      </c>
      <c r="M1168">
        <v>4</v>
      </c>
      <c r="N1168" s="3">
        <v>15202</v>
      </c>
      <c r="O1168" s="3" t="str">
        <f>IF(Table2[[#This Row],[MonthlyIncome]]&lt;=5000, "$1001 - $5000", IF(Table2[[#This Row],[MonthlyIncome]]&lt;=9000, "$5001 - $9000", IF(Table2[[#This Row],[MonthlyIncome]]&lt;=13000, "$9001 - $13000", IF(Table2[[#This Row],[MonthlyIncome]]&lt;=17000, "$13001 - $17000", IF(Table2[[#This Row],[MonthlyIncome]]&lt;=21000, "$17001 - $21000")))))</f>
        <v>$13001 - $17000</v>
      </c>
      <c r="P1168">
        <v>2</v>
      </c>
      <c r="Q1168">
        <v>3</v>
      </c>
      <c r="R1168">
        <v>2</v>
      </c>
      <c r="S11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69" spans="1:19" ht="14.25" x14ac:dyDescent="0.2">
      <c r="A1169">
        <v>36698993</v>
      </c>
      <c r="B1169">
        <v>35</v>
      </c>
      <c r="C1169" t="s">
        <v>25</v>
      </c>
      <c r="D1169" t="s">
        <v>30</v>
      </c>
      <c r="E1169" t="s">
        <v>16</v>
      </c>
      <c r="F1169">
        <f>IF(Table2[[#This Row],[Attrition]]="Yes", 1, 0)</f>
        <v>1</v>
      </c>
      <c r="G1169" t="s">
        <v>21</v>
      </c>
      <c r="H1169" t="s">
        <v>17</v>
      </c>
      <c r="I1169">
        <v>15</v>
      </c>
      <c r="J1169">
        <v>2</v>
      </c>
      <c r="K1169" t="s">
        <v>29</v>
      </c>
      <c r="L1169">
        <v>1</v>
      </c>
      <c r="M1169">
        <v>4</v>
      </c>
      <c r="N1169" s="3">
        <v>5440</v>
      </c>
      <c r="O1169" s="3" t="str">
        <f>IF(Table2[[#This Row],[MonthlyIncome]]&lt;=5000, "$1001 - $5000", IF(Table2[[#This Row],[MonthlyIncome]]&lt;=9000, "$5001 - $9000", IF(Table2[[#This Row],[MonthlyIncome]]&lt;=13000, "$9001 - $13000", IF(Table2[[#This Row],[MonthlyIncome]]&lt;=17000, "$13001 - $17000", IF(Table2[[#This Row],[MonthlyIncome]]&lt;=21000, "$17001 - $21000")))))</f>
        <v>$5001 - $9000</v>
      </c>
      <c r="P1169">
        <v>6</v>
      </c>
      <c r="Q1169">
        <v>2</v>
      </c>
      <c r="R1169">
        <v>2</v>
      </c>
      <c r="S11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70" spans="1:19" ht="14.25" x14ac:dyDescent="0.2">
      <c r="A1170">
        <v>62368230</v>
      </c>
      <c r="B1170">
        <v>24</v>
      </c>
      <c r="C1170" t="s">
        <v>20</v>
      </c>
      <c r="D1170" t="s">
        <v>19</v>
      </c>
      <c r="E1170" t="s">
        <v>22</v>
      </c>
      <c r="F1170">
        <f>IF(Table2[[#This Row],[Attrition]]="Yes", 1, 0)</f>
        <v>0</v>
      </c>
      <c r="G1170" t="s">
        <v>26</v>
      </c>
      <c r="H1170" t="s">
        <v>23</v>
      </c>
      <c r="I1170">
        <v>2</v>
      </c>
      <c r="J1170">
        <v>1</v>
      </c>
      <c r="K1170" t="s">
        <v>37</v>
      </c>
      <c r="L1170">
        <v>1</v>
      </c>
      <c r="M1170">
        <v>4</v>
      </c>
      <c r="N1170" s="3">
        <v>3760</v>
      </c>
      <c r="O1170" s="3" t="str">
        <f>IF(Table2[[#This Row],[MonthlyIncome]]&lt;=5000, "$1001 - $5000", IF(Table2[[#This Row],[MonthlyIncome]]&lt;=9000, "$5001 - $9000", IF(Table2[[#This Row],[MonthlyIncome]]&lt;=13000, "$9001 - $13000", IF(Table2[[#This Row],[MonthlyIncome]]&lt;=17000, "$13001 - $17000", IF(Table2[[#This Row],[MonthlyIncome]]&lt;=21000, "$17001 - $21000")))))</f>
        <v>$1001 - $5000</v>
      </c>
      <c r="P1170">
        <v>1</v>
      </c>
      <c r="Q1170">
        <v>3</v>
      </c>
      <c r="R1170">
        <v>6</v>
      </c>
      <c r="S11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71" spans="1:19" ht="14.25" x14ac:dyDescent="0.2">
      <c r="A1171">
        <v>21384918</v>
      </c>
      <c r="B1171">
        <v>27</v>
      </c>
      <c r="C1171" t="s">
        <v>20</v>
      </c>
      <c r="D1171" t="s">
        <v>24</v>
      </c>
      <c r="E1171" t="s">
        <v>22</v>
      </c>
      <c r="F1171">
        <f>IF(Table2[[#This Row],[Attrition]]="Yes", 1, 0)</f>
        <v>0</v>
      </c>
      <c r="G1171" t="s">
        <v>26</v>
      </c>
      <c r="H1171" t="s">
        <v>23</v>
      </c>
      <c r="I1171">
        <v>8</v>
      </c>
      <c r="J1171">
        <v>3</v>
      </c>
      <c r="K1171" t="s">
        <v>29</v>
      </c>
      <c r="L1171">
        <v>2</v>
      </c>
      <c r="M1171">
        <v>3</v>
      </c>
      <c r="N1171" s="3">
        <v>3517</v>
      </c>
      <c r="O1171" s="3" t="str">
        <f>IF(Table2[[#This Row],[MonthlyIncome]]&lt;=5000, "$1001 - $5000", IF(Table2[[#This Row],[MonthlyIncome]]&lt;=9000, "$5001 - $9000", IF(Table2[[#This Row],[MonthlyIncome]]&lt;=13000, "$9001 - $13000", IF(Table2[[#This Row],[MonthlyIncome]]&lt;=17000, "$13001 - $17000", IF(Table2[[#This Row],[MonthlyIncome]]&lt;=21000, "$17001 - $21000")))))</f>
        <v>$1001 - $5000</v>
      </c>
      <c r="P1171">
        <v>7</v>
      </c>
      <c r="Q1171">
        <v>3</v>
      </c>
      <c r="R1171">
        <v>3</v>
      </c>
      <c r="S11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72" spans="1:19" ht="14.25" x14ac:dyDescent="0.2">
      <c r="A1172">
        <v>87782535</v>
      </c>
      <c r="B1172">
        <v>27</v>
      </c>
      <c r="C1172" t="s">
        <v>25</v>
      </c>
      <c r="D1172" t="s">
        <v>19</v>
      </c>
      <c r="E1172" t="s">
        <v>22</v>
      </c>
      <c r="F1172">
        <f>IF(Table2[[#This Row],[Attrition]]="Yes", 1, 0)</f>
        <v>0</v>
      </c>
      <c r="G1172" t="s">
        <v>26</v>
      </c>
      <c r="H1172" t="s">
        <v>23</v>
      </c>
      <c r="I1172">
        <v>2</v>
      </c>
      <c r="J1172">
        <v>3</v>
      </c>
      <c r="K1172" t="s">
        <v>29</v>
      </c>
      <c r="L1172">
        <v>4</v>
      </c>
      <c r="M1172">
        <v>4</v>
      </c>
      <c r="N1172" s="3">
        <v>2580</v>
      </c>
      <c r="O1172" s="3" t="str">
        <f>IF(Table2[[#This Row],[MonthlyIncome]]&lt;=5000, "$1001 - $5000", IF(Table2[[#This Row],[MonthlyIncome]]&lt;=9000, "$5001 - $9000", IF(Table2[[#This Row],[MonthlyIncome]]&lt;=13000, "$9001 - $13000", IF(Table2[[#This Row],[MonthlyIncome]]&lt;=17000, "$13001 - $17000", IF(Table2[[#This Row],[MonthlyIncome]]&lt;=21000, "$17001 - $21000")))))</f>
        <v>$1001 - $5000</v>
      </c>
      <c r="P1172">
        <v>2</v>
      </c>
      <c r="Q1172">
        <v>2</v>
      </c>
      <c r="R1172">
        <v>4</v>
      </c>
      <c r="S11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73" spans="1:19" ht="14.25" x14ac:dyDescent="0.2">
      <c r="A1173">
        <v>47600541</v>
      </c>
      <c r="B1173">
        <v>40</v>
      </c>
      <c r="C1173" t="s">
        <v>25</v>
      </c>
      <c r="D1173" t="s">
        <v>19</v>
      </c>
      <c r="E1173" t="s">
        <v>16</v>
      </c>
      <c r="F1173">
        <f>IF(Table2[[#This Row],[Attrition]]="Yes", 1, 0)</f>
        <v>1</v>
      </c>
      <c r="G1173" t="s">
        <v>28</v>
      </c>
      <c r="H1173" t="s">
        <v>23</v>
      </c>
      <c r="I1173">
        <v>7</v>
      </c>
      <c r="J1173">
        <v>3</v>
      </c>
      <c r="K1173" t="s">
        <v>18</v>
      </c>
      <c r="L1173">
        <v>1</v>
      </c>
      <c r="M1173">
        <v>1</v>
      </c>
      <c r="N1173" s="3">
        <v>2166</v>
      </c>
      <c r="O1173" s="3" t="str">
        <f>IF(Table2[[#This Row],[MonthlyIncome]]&lt;=5000, "$1001 - $5000", IF(Table2[[#This Row],[MonthlyIncome]]&lt;=9000, "$5001 - $9000", IF(Table2[[#This Row],[MonthlyIncome]]&lt;=13000, "$9001 - $13000", IF(Table2[[#This Row],[MonthlyIncome]]&lt;=17000, "$13001 - $17000", IF(Table2[[#This Row],[MonthlyIncome]]&lt;=21000, "$17001 - $21000")))))</f>
        <v>$1001 - $5000</v>
      </c>
      <c r="P1173">
        <v>3</v>
      </c>
      <c r="Q1173">
        <v>1</v>
      </c>
      <c r="R1173">
        <v>4</v>
      </c>
      <c r="S11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74" spans="1:19" ht="14.25" x14ac:dyDescent="0.2">
      <c r="A1174">
        <v>26744093</v>
      </c>
      <c r="B1174">
        <v>29</v>
      </c>
      <c r="C1174" t="s">
        <v>25</v>
      </c>
      <c r="D1174" t="s">
        <v>19</v>
      </c>
      <c r="E1174" t="s">
        <v>22</v>
      </c>
      <c r="F1174">
        <f>IF(Table2[[#This Row],[Attrition]]="Yes", 1, 0)</f>
        <v>0</v>
      </c>
      <c r="G1174" t="s">
        <v>21</v>
      </c>
      <c r="H1174" t="s">
        <v>17</v>
      </c>
      <c r="I1174">
        <v>10</v>
      </c>
      <c r="J1174">
        <v>3</v>
      </c>
      <c r="K1174" t="s">
        <v>29</v>
      </c>
      <c r="L1174">
        <v>3</v>
      </c>
      <c r="M1174">
        <v>3</v>
      </c>
      <c r="N1174" s="3">
        <v>5869</v>
      </c>
      <c r="O1174" s="3" t="str">
        <f>IF(Table2[[#This Row],[MonthlyIncome]]&lt;=5000, "$1001 - $5000", IF(Table2[[#This Row],[MonthlyIncome]]&lt;=9000, "$5001 - $9000", IF(Table2[[#This Row],[MonthlyIncome]]&lt;=13000, "$9001 - $13000", IF(Table2[[#This Row],[MonthlyIncome]]&lt;=17000, "$13001 - $17000", IF(Table2[[#This Row],[MonthlyIncome]]&lt;=21000, "$17001 - $21000")))))</f>
        <v>$5001 - $9000</v>
      </c>
      <c r="P1174">
        <v>9</v>
      </c>
      <c r="Q1174">
        <v>3</v>
      </c>
      <c r="R1174">
        <v>5</v>
      </c>
      <c r="S11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75" spans="1:19" ht="14.25" x14ac:dyDescent="0.2">
      <c r="A1175">
        <v>55113495</v>
      </c>
      <c r="B1175">
        <v>36</v>
      </c>
      <c r="C1175" t="s">
        <v>20</v>
      </c>
      <c r="D1175" t="s">
        <v>24</v>
      </c>
      <c r="E1175" t="s">
        <v>22</v>
      </c>
      <c r="F1175">
        <f>IF(Table2[[#This Row],[Attrition]]="Yes", 1, 0)</f>
        <v>0</v>
      </c>
      <c r="G1175" t="s">
        <v>32</v>
      </c>
      <c r="H1175" t="s">
        <v>23</v>
      </c>
      <c r="I1175">
        <v>5</v>
      </c>
      <c r="J1175">
        <v>4</v>
      </c>
      <c r="K1175" t="s">
        <v>18</v>
      </c>
      <c r="L1175">
        <v>2</v>
      </c>
      <c r="M1175">
        <v>1</v>
      </c>
      <c r="N1175" s="3">
        <v>8008</v>
      </c>
      <c r="O1175" s="3" t="str">
        <f>IF(Table2[[#This Row],[MonthlyIncome]]&lt;=5000, "$1001 - $5000", IF(Table2[[#This Row],[MonthlyIncome]]&lt;=9000, "$5001 - $9000", IF(Table2[[#This Row],[MonthlyIncome]]&lt;=13000, "$9001 - $13000", IF(Table2[[#This Row],[MonthlyIncome]]&lt;=17000, "$13001 - $17000", IF(Table2[[#This Row],[MonthlyIncome]]&lt;=21000, "$17001 - $21000")))))</f>
        <v>$5001 - $9000</v>
      </c>
      <c r="P1175">
        <v>4</v>
      </c>
      <c r="Q1175">
        <v>3</v>
      </c>
      <c r="R1175">
        <v>3</v>
      </c>
      <c r="S11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76" spans="1:19" ht="14.25" x14ac:dyDescent="0.2">
      <c r="A1176">
        <v>66881320</v>
      </c>
      <c r="B1176">
        <v>25</v>
      </c>
      <c r="C1176" t="s">
        <v>25</v>
      </c>
      <c r="D1176" t="s">
        <v>30</v>
      </c>
      <c r="E1176" t="s">
        <v>22</v>
      </c>
      <c r="F1176">
        <f>IF(Table2[[#This Row],[Attrition]]="Yes", 1, 0)</f>
        <v>0</v>
      </c>
      <c r="G1176" t="s">
        <v>31</v>
      </c>
      <c r="H1176" t="s">
        <v>23</v>
      </c>
      <c r="I1176">
        <v>2</v>
      </c>
      <c r="J1176">
        <v>1</v>
      </c>
      <c r="K1176" t="s">
        <v>18</v>
      </c>
      <c r="L1176">
        <v>4</v>
      </c>
      <c r="M1176">
        <v>3</v>
      </c>
      <c r="N1176" s="3">
        <v>5206</v>
      </c>
      <c r="O1176" s="3" t="str">
        <f>IF(Table2[[#This Row],[MonthlyIncome]]&lt;=5000, "$1001 - $5000", IF(Table2[[#This Row],[MonthlyIncome]]&lt;=9000, "$5001 - $9000", IF(Table2[[#This Row],[MonthlyIncome]]&lt;=13000, "$9001 - $13000", IF(Table2[[#This Row],[MonthlyIncome]]&lt;=17000, "$13001 - $17000", IF(Table2[[#This Row],[MonthlyIncome]]&lt;=21000, "$17001 - $21000")))))</f>
        <v>$5001 - $9000</v>
      </c>
      <c r="P1176">
        <v>1</v>
      </c>
      <c r="Q1176">
        <v>3</v>
      </c>
      <c r="R1176">
        <v>7</v>
      </c>
      <c r="S11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77" spans="1:19" ht="14.25" x14ac:dyDescent="0.2">
      <c r="A1177">
        <v>72465504</v>
      </c>
      <c r="B1177">
        <v>39</v>
      </c>
      <c r="C1177" t="s">
        <v>25</v>
      </c>
      <c r="D1177" t="s">
        <v>24</v>
      </c>
      <c r="E1177" t="s">
        <v>22</v>
      </c>
      <c r="F1177">
        <f>IF(Table2[[#This Row],[Attrition]]="Yes", 1, 0)</f>
        <v>0</v>
      </c>
      <c r="G1177" t="s">
        <v>31</v>
      </c>
      <c r="H1177" t="s">
        <v>23</v>
      </c>
      <c r="I1177">
        <v>12</v>
      </c>
      <c r="J1177">
        <v>3</v>
      </c>
      <c r="K1177" t="s">
        <v>29</v>
      </c>
      <c r="L1177">
        <v>4</v>
      </c>
      <c r="M1177">
        <v>2</v>
      </c>
      <c r="N1177" s="3">
        <v>5295</v>
      </c>
      <c r="O1177" s="3" t="str">
        <f>IF(Table2[[#This Row],[MonthlyIncome]]&lt;=5000, "$1001 - $5000", IF(Table2[[#This Row],[MonthlyIncome]]&lt;=9000, "$5001 - $9000", IF(Table2[[#This Row],[MonthlyIncome]]&lt;=13000, "$9001 - $13000", IF(Table2[[#This Row],[MonthlyIncome]]&lt;=17000, "$13001 - $17000", IF(Table2[[#This Row],[MonthlyIncome]]&lt;=21000, "$17001 - $21000")))))</f>
        <v>$5001 - $9000</v>
      </c>
      <c r="P1177">
        <v>4</v>
      </c>
      <c r="Q1177">
        <v>3</v>
      </c>
      <c r="R1177">
        <v>5</v>
      </c>
      <c r="S11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78" spans="1:19" ht="14.25" x14ac:dyDescent="0.2">
      <c r="A1178">
        <v>17238813</v>
      </c>
      <c r="B1178">
        <v>49</v>
      </c>
      <c r="C1178" t="s">
        <v>20</v>
      </c>
      <c r="D1178" t="s">
        <v>24</v>
      </c>
      <c r="E1178" t="s">
        <v>22</v>
      </c>
      <c r="F1178">
        <f>IF(Table2[[#This Row],[Attrition]]="Yes", 1, 0)</f>
        <v>0</v>
      </c>
      <c r="G1178" t="s">
        <v>35</v>
      </c>
      <c r="H1178" t="s">
        <v>23</v>
      </c>
      <c r="I1178">
        <v>22</v>
      </c>
      <c r="J1178">
        <v>4</v>
      </c>
      <c r="K1178" t="s">
        <v>27</v>
      </c>
      <c r="L1178">
        <v>1</v>
      </c>
      <c r="M1178">
        <v>2</v>
      </c>
      <c r="N1178" s="3">
        <v>16413</v>
      </c>
      <c r="O1178" s="3" t="str">
        <f>IF(Table2[[#This Row],[MonthlyIncome]]&lt;=5000, "$1001 - $5000", IF(Table2[[#This Row],[MonthlyIncome]]&lt;=9000, "$5001 - $9000", IF(Table2[[#This Row],[MonthlyIncome]]&lt;=13000, "$9001 - $13000", IF(Table2[[#This Row],[MonthlyIncome]]&lt;=17000, "$13001 - $17000", IF(Table2[[#This Row],[MonthlyIncome]]&lt;=21000, "$17001 - $21000")))))</f>
        <v>$13001 - $17000</v>
      </c>
      <c r="P1178">
        <v>3</v>
      </c>
      <c r="Q1178">
        <v>3</v>
      </c>
      <c r="R1178">
        <v>4</v>
      </c>
      <c r="S11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79" spans="1:19" ht="14.25" x14ac:dyDescent="0.2">
      <c r="A1179">
        <v>23016003</v>
      </c>
      <c r="B1179">
        <v>50</v>
      </c>
      <c r="C1179" t="s">
        <v>20</v>
      </c>
      <c r="D1179" t="s">
        <v>30</v>
      </c>
      <c r="E1179" t="s">
        <v>22</v>
      </c>
      <c r="F1179">
        <f>IF(Table2[[#This Row],[Attrition]]="Yes", 1, 0)</f>
        <v>0</v>
      </c>
      <c r="G1179" t="s">
        <v>35</v>
      </c>
      <c r="H1179" t="s">
        <v>23</v>
      </c>
      <c r="I1179">
        <v>17</v>
      </c>
      <c r="J1179">
        <v>5</v>
      </c>
      <c r="K1179" t="s">
        <v>18</v>
      </c>
      <c r="L1179">
        <v>4</v>
      </c>
      <c r="M1179">
        <v>1</v>
      </c>
      <c r="N1179" s="3">
        <v>13269</v>
      </c>
      <c r="O1179" s="3" t="str">
        <f>IF(Table2[[#This Row],[MonthlyIncome]]&lt;=5000, "$1001 - $5000", IF(Table2[[#This Row],[MonthlyIncome]]&lt;=9000, "$5001 - $9000", IF(Table2[[#This Row],[MonthlyIncome]]&lt;=13000, "$9001 - $13000", IF(Table2[[#This Row],[MonthlyIncome]]&lt;=17000, "$13001 - $17000", IF(Table2[[#This Row],[MonthlyIncome]]&lt;=21000, "$17001 - $21000")))))</f>
        <v>$13001 - $17000</v>
      </c>
      <c r="P1179">
        <v>5</v>
      </c>
      <c r="Q1179">
        <v>3</v>
      </c>
      <c r="R1179">
        <v>14</v>
      </c>
      <c r="S11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80" spans="1:19" ht="14.25" x14ac:dyDescent="0.2">
      <c r="A1180">
        <v>44579368</v>
      </c>
      <c r="B1180">
        <v>20</v>
      </c>
      <c r="C1180" t="s">
        <v>20</v>
      </c>
      <c r="D1180" t="s">
        <v>19</v>
      </c>
      <c r="E1180" t="s">
        <v>22</v>
      </c>
      <c r="F1180">
        <f>IF(Table2[[#This Row],[Attrition]]="Yes", 1, 0)</f>
        <v>0</v>
      </c>
      <c r="G1180" t="s">
        <v>34</v>
      </c>
      <c r="H1180" t="s">
        <v>17</v>
      </c>
      <c r="I1180">
        <v>2</v>
      </c>
      <c r="J1180">
        <v>3</v>
      </c>
      <c r="K1180" t="s">
        <v>29</v>
      </c>
      <c r="L1180">
        <v>3</v>
      </c>
      <c r="M1180">
        <v>3</v>
      </c>
      <c r="N1180" s="3">
        <v>2783</v>
      </c>
      <c r="O1180" s="3" t="str">
        <f>IF(Table2[[#This Row],[MonthlyIncome]]&lt;=5000, "$1001 - $5000", IF(Table2[[#This Row],[MonthlyIncome]]&lt;=9000, "$5001 - $9000", IF(Table2[[#This Row],[MonthlyIncome]]&lt;=13000, "$9001 - $13000", IF(Table2[[#This Row],[MonthlyIncome]]&lt;=17000, "$13001 - $17000", IF(Table2[[#This Row],[MonthlyIncome]]&lt;=21000, "$17001 - $21000")))))</f>
        <v>$1001 - $5000</v>
      </c>
      <c r="P1180">
        <v>1</v>
      </c>
      <c r="Q1180">
        <v>3</v>
      </c>
      <c r="R1180">
        <v>2</v>
      </c>
      <c r="S11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81" spans="1:19" ht="14.25" x14ac:dyDescent="0.2">
      <c r="A1181">
        <v>32540357</v>
      </c>
      <c r="B1181">
        <v>34</v>
      </c>
      <c r="C1181" t="s">
        <v>20</v>
      </c>
      <c r="D1181" t="s">
        <v>30</v>
      </c>
      <c r="E1181" t="s">
        <v>22</v>
      </c>
      <c r="F1181">
        <f>IF(Table2[[#This Row],[Attrition]]="Yes", 1, 0)</f>
        <v>0</v>
      </c>
      <c r="G1181" t="s">
        <v>26</v>
      </c>
      <c r="H1181" t="s">
        <v>23</v>
      </c>
      <c r="I1181">
        <v>3</v>
      </c>
      <c r="J1181">
        <v>3</v>
      </c>
      <c r="K1181" t="s">
        <v>18</v>
      </c>
      <c r="L1181">
        <v>4</v>
      </c>
      <c r="M1181">
        <v>2</v>
      </c>
      <c r="N1181" s="3">
        <v>5433</v>
      </c>
      <c r="O1181" s="3" t="str">
        <f>IF(Table2[[#This Row],[MonthlyIncome]]&lt;=5000, "$1001 - $5000", IF(Table2[[#This Row],[MonthlyIncome]]&lt;=9000, "$5001 - $9000", IF(Table2[[#This Row],[MonthlyIncome]]&lt;=13000, "$9001 - $13000", IF(Table2[[#This Row],[MonthlyIncome]]&lt;=17000, "$13001 - $17000", IF(Table2[[#This Row],[MonthlyIncome]]&lt;=21000, "$17001 - $21000")))))</f>
        <v>$5001 - $9000</v>
      </c>
      <c r="P1181">
        <v>1</v>
      </c>
      <c r="Q1181">
        <v>3</v>
      </c>
      <c r="R1181">
        <v>11</v>
      </c>
      <c r="S11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82" spans="1:19" ht="14.25" x14ac:dyDescent="0.2">
      <c r="A1182">
        <v>32117617</v>
      </c>
      <c r="B1182">
        <v>36</v>
      </c>
      <c r="C1182" t="s">
        <v>25</v>
      </c>
      <c r="D1182" t="s">
        <v>19</v>
      </c>
      <c r="E1182" t="s">
        <v>22</v>
      </c>
      <c r="F1182">
        <f>IF(Table2[[#This Row],[Attrition]]="Yes", 1, 0)</f>
        <v>0</v>
      </c>
      <c r="G1182" t="s">
        <v>28</v>
      </c>
      <c r="H1182" t="s">
        <v>23</v>
      </c>
      <c r="I1182">
        <v>7</v>
      </c>
      <c r="J1182">
        <v>3</v>
      </c>
      <c r="K1182" t="s">
        <v>18</v>
      </c>
      <c r="L1182">
        <v>1</v>
      </c>
      <c r="M1182">
        <v>2</v>
      </c>
      <c r="N1182" s="3">
        <v>2013</v>
      </c>
      <c r="O1182" s="3" t="str">
        <f>IF(Table2[[#This Row],[MonthlyIncome]]&lt;=5000, "$1001 - $5000", IF(Table2[[#This Row],[MonthlyIncome]]&lt;=9000, "$5001 - $9000", IF(Table2[[#This Row],[MonthlyIncome]]&lt;=13000, "$9001 - $13000", IF(Table2[[#This Row],[MonthlyIncome]]&lt;=17000, "$13001 - $17000", IF(Table2[[#This Row],[MonthlyIncome]]&lt;=21000, "$17001 - $21000")))))</f>
        <v>$1001 - $5000</v>
      </c>
      <c r="P1182">
        <v>2</v>
      </c>
      <c r="Q1182">
        <v>3</v>
      </c>
      <c r="R1182">
        <v>4</v>
      </c>
      <c r="S11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83" spans="1:19" ht="14.25" x14ac:dyDescent="0.2">
      <c r="A1183">
        <v>83995052</v>
      </c>
      <c r="B1183">
        <v>49</v>
      </c>
      <c r="C1183" t="s">
        <v>20</v>
      </c>
      <c r="D1183" t="s">
        <v>24</v>
      </c>
      <c r="E1183" t="s">
        <v>22</v>
      </c>
      <c r="F1183">
        <f>IF(Table2[[#This Row],[Attrition]]="Yes", 1, 0)</f>
        <v>0</v>
      </c>
      <c r="G1183" t="s">
        <v>32</v>
      </c>
      <c r="H1183" t="s">
        <v>23</v>
      </c>
      <c r="I1183">
        <v>6</v>
      </c>
      <c r="J1183">
        <v>1</v>
      </c>
      <c r="K1183" t="s">
        <v>18</v>
      </c>
      <c r="L1183">
        <v>3</v>
      </c>
      <c r="M1183">
        <v>3</v>
      </c>
      <c r="N1183" s="3">
        <v>13966</v>
      </c>
      <c r="O1183" s="3" t="str">
        <f>IF(Table2[[#This Row],[MonthlyIncome]]&lt;=5000, "$1001 - $5000", IF(Table2[[#This Row],[MonthlyIncome]]&lt;=9000, "$5001 - $9000", IF(Table2[[#This Row],[MonthlyIncome]]&lt;=13000, "$9001 - $13000", IF(Table2[[#This Row],[MonthlyIncome]]&lt;=17000, "$13001 - $17000", IF(Table2[[#This Row],[MonthlyIncome]]&lt;=21000, "$17001 - $21000")))))</f>
        <v>$13001 - $17000</v>
      </c>
      <c r="P1183">
        <v>2</v>
      </c>
      <c r="Q1183">
        <v>3</v>
      </c>
      <c r="R1183">
        <v>15</v>
      </c>
      <c r="S11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184" spans="1:19" ht="14.25" x14ac:dyDescent="0.2">
      <c r="A1184">
        <v>24106549</v>
      </c>
      <c r="B1184">
        <v>36</v>
      </c>
      <c r="C1184" t="s">
        <v>20</v>
      </c>
      <c r="D1184" t="s">
        <v>24</v>
      </c>
      <c r="E1184" t="s">
        <v>22</v>
      </c>
      <c r="F1184">
        <f>IF(Table2[[#This Row],[Attrition]]="Yes", 1, 0)</f>
        <v>0</v>
      </c>
      <c r="G1184" t="s">
        <v>31</v>
      </c>
      <c r="H1184" t="s">
        <v>23</v>
      </c>
      <c r="I1184">
        <v>1</v>
      </c>
      <c r="J1184">
        <v>4</v>
      </c>
      <c r="K1184" t="s">
        <v>29</v>
      </c>
      <c r="L1184">
        <v>4</v>
      </c>
      <c r="M1184">
        <v>3</v>
      </c>
      <c r="N1184" s="3">
        <v>4374</v>
      </c>
      <c r="O1184" s="3" t="str">
        <f>IF(Table2[[#This Row],[MonthlyIncome]]&lt;=5000, "$1001 - $5000", IF(Table2[[#This Row],[MonthlyIncome]]&lt;=9000, "$5001 - $9000", IF(Table2[[#This Row],[MonthlyIncome]]&lt;=13000, "$9001 - $13000", IF(Table2[[#This Row],[MonthlyIncome]]&lt;=17000, "$13001 - $17000", IF(Table2[[#This Row],[MonthlyIncome]]&lt;=21000, "$17001 - $21000")))))</f>
        <v>$1001 - $5000</v>
      </c>
      <c r="P1184">
        <v>0</v>
      </c>
      <c r="Q1184">
        <v>3</v>
      </c>
      <c r="R1184">
        <v>3</v>
      </c>
      <c r="S11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85" spans="1:19" ht="14.25" x14ac:dyDescent="0.2">
      <c r="A1185">
        <v>89747054</v>
      </c>
      <c r="B1185">
        <v>36</v>
      </c>
      <c r="C1185" t="s">
        <v>25</v>
      </c>
      <c r="D1185" t="s">
        <v>30</v>
      </c>
      <c r="E1185" t="s">
        <v>22</v>
      </c>
      <c r="F1185">
        <f>IF(Table2[[#This Row],[Attrition]]="Yes", 1, 0)</f>
        <v>0</v>
      </c>
      <c r="G1185" t="s">
        <v>32</v>
      </c>
      <c r="H1185" t="s">
        <v>23</v>
      </c>
      <c r="I1185">
        <v>3</v>
      </c>
      <c r="J1185">
        <v>2</v>
      </c>
      <c r="K1185" t="s">
        <v>18</v>
      </c>
      <c r="L1185">
        <v>4</v>
      </c>
      <c r="M1185">
        <v>1</v>
      </c>
      <c r="N1185" s="3">
        <v>6842</v>
      </c>
      <c r="O1185" s="3" t="str">
        <f>IF(Table2[[#This Row],[MonthlyIncome]]&lt;=5000, "$1001 - $5000", IF(Table2[[#This Row],[MonthlyIncome]]&lt;=9000, "$5001 - $9000", IF(Table2[[#This Row],[MonthlyIncome]]&lt;=13000, "$9001 - $13000", IF(Table2[[#This Row],[MonthlyIncome]]&lt;=17000, "$13001 - $17000", IF(Table2[[#This Row],[MonthlyIncome]]&lt;=21000, "$17001 - $21000")))))</f>
        <v>$5001 - $9000</v>
      </c>
      <c r="P1185">
        <v>6</v>
      </c>
      <c r="Q1185">
        <v>3</v>
      </c>
      <c r="R1185">
        <v>5</v>
      </c>
      <c r="S11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86" spans="1:19" ht="14.25" x14ac:dyDescent="0.2">
      <c r="A1186">
        <v>40073869</v>
      </c>
      <c r="B1186">
        <v>54</v>
      </c>
      <c r="C1186" t="s">
        <v>20</v>
      </c>
      <c r="D1186" t="s">
        <v>24</v>
      </c>
      <c r="E1186" t="s">
        <v>22</v>
      </c>
      <c r="F1186">
        <f>IF(Table2[[#This Row],[Attrition]]="Yes", 1, 0)</f>
        <v>0</v>
      </c>
      <c r="G1186" t="s">
        <v>33</v>
      </c>
      <c r="H1186" t="s">
        <v>23</v>
      </c>
      <c r="I1186">
        <v>22</v>
      </c>
      <c r="J1186">
        <v>5</v>
      </c>
      <c r="K1186" t="s">
        <v>29</v>
      </c>
      <c r="L1186">
        <v>2</v>
      </c>
      <c r="M1186">
        <v>3</v>
      </c>
      <c r="N1186" s="3">
        <v>17426</v>
      </c>
      <c r="O1186" s="3" t="str">
        <f>IF(Table2[[#This Row],[MonthlyIncome]]&lt;=5000, "$1001 - $5000", IF(Table2[[#This Row],[MonthlyIncome]]&lt;=9000, "$5001 - $9000", IF(Table2[[#This Row],[MonthlyIncome]]&lt;=13000, "$9001 - $13000", IF(Table2[[#This Row],[MonthlyIncome]]&lt;=17000, "$13001 - $17000", IF(Table2[[#This Row],[MonthlyIncome]]&lt;=21000, "$17001 - $21000")))))</f>
        <v>$17001 - $21000</v>
      </c>
      <c r="P1186">
        <v>3</v>
      </c>
      <c r="Q1186">
        <v>3</v>
      </c>
      <c r="R1186">
        <v>10</v>
      </c>
      <c r="S11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87" spans="1:19" ht="14.25" x14ac:dyDescent="0.2">
      <c r="A1187">
        <v>15554111</v>
      </c>
      <c r="B1187">
        <v>43</v>
      </c>
      <c r="C1187" t="s">
        <v>25</v>
      </c>
      <c r="D1187" t="s">
        <v>24</v>
      </c>
      <c r="E1187" t="s">
        <v>22</v>
      </c>
      <c r="F1187">
        <f>IF(Table2[[#This Row],[Attrition]]="Yes", 1, 0)</f>
        <v>0</v>
      </c>
      <c r="G1187" t="s">
        <v>35</v>
      </c>
      <c r="H1187" t="s">
        <v>23</v>
      </c>
      <c r="I1187">
        <v>15</v>
      </c>
      <c r="J1187">
        <v>2</v>
      </c>
      <c r="K1187" t="s">
        <v>18</v>
      </c>
      <c r="L1187">
        <v>3</v>
      </c>
      <c r="M1187">
        <v>3</v>
      </c>
      <c r="N1187" s="3">
        <v>17603</v>
      </c>
      <c r="O1187" s="3" t="str">
        <f>IF(Table2[[#This Row],[MonthlyIncome]]&lt;=5000, "$1001 - $5000", IF(Table2[[#This Row],[MonthlyIncome]]&lt;=9000, "$5001 - $9000", IF(Table2[[#This Row],[MonthlyIncome]]&lt;=13000, "$9001 - $13000", IF(Table2[[#This Row],[MonthlyIncome]]&lt;=17000, "$13001 - $17000", IF(Table2[[#This Row],[MonthlyIncome]]&lt;=21000, "$17001 - $21000")))))</f>
        <v>$17001 - $21000</v>
      </c>
      <c r="P1187">
        <v>1</v>
      </c>
      <c r="Q1187">
        <v>3</v>
      </c>
      <c r="R1187">
        <v>14</v>
      </c>
      <c r="S11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88" spans="1:19" ht="14.25" x14ac:dyDescent="0.2">
      <c r="A1188">
        <v>82733754</v>
      </c>
      <c r="B1188">
        <v>35</v>
      </c>
      <c r="C1188" t="s">
        <v>25</v>
      </c>
      <c r="D1188" t="s">
        <v>19</v>
      </c>
      <c r="E1188" t="s">
        <v>16</v>
      </c>
      <c r="F1188">
        <f>IF(Table2[[#This Row],[Attrition]]="Yes", 1, 0)</f>
        <v>1</v>
      </c>
      <c r="G1188" t="s">
        <v>21</v>
      </c>
      <c r="H1188" t="s">
        <v>17</v>
      </c>
      <c r="I1188">
        <v>12</v>
      </c>
      <c r="J1188">
        <v>4</v>
      </c>
      <c r="K1188" t="s">
        <v>27</v>
      </c>
      <c r="L1188">
        <v>4</v>
      </c>
      <c r="M1188">
        <v>4</v>
      </c>
      <c r="N1188" s="3">
        <v>4581</v>
      </c>
      <c r="O1188" s="3" t="str">
        <f>IF(Table2[[#This Row],[MonthlyIncome]]&lt;=5000, "$1001 - $5000", IF(Table2[[#This Row],[MonthlyIncome]]&lt;=9000, "$5001 - $9000", IF(Table2[[#This Row],[MonthlyIncome]]&lt;=13000, "$9001 - $13000", IF(Table2[[#This Row],[MonthlyIncome]]&lt;=17000, "$13001 - $17000", IF(Table2[[#This Row],[MonthlyIncome]]&lt;=21000, "$17001 - $21000")))))</f>
        <v>$1001 - $5000</v>
      </c>
      <c r="P1188">
        <v>3</v>
      </c>
      <c r="Q1188">
        <v>4</v>
      </c>
      <c r="R1188">
        <v>11</v>
      </c>
      <c r="S11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89" spans="1:19" ht="14.25" x14ac:dyDescent="0.2">
      <c r="A1189">
        <v>67174144</v>
      </c>
      <c r="B1189">
        <v>38</v>
      </c>
      <c r="C1189" t="s">
        <v>25</v>
      </c>
      <c r="D1189" t="s">
        <v>24</v>
      </c>
      <c r="E1189" t="s">
        <v>22</v>
      </c>
      <c r="F1189">
        <f>IF(Table2[[#This Row],[Attrition]]="Yes", 1, 0)</f>
        <v>0</v>
      </c>
      <c r="G1189" t="s">
        <v>26</v>
      </c>
      <c r="H1189" t="s">
        <v>23</v>
      </c>
      <c r="I1189">
        <v>1</v>
      </c>
      <c r="J1189">
        <v>3</v>
      </c>
      <c r="K1189" t="s">
        <v>18</v>
      </c>
      <c r="L1189">
        <v>4</v>
      </c>
      <c r="M1189">
        <v>4</v>
      </c>
      <c r="N1189" s="3">
        <v>4735</v>
      </c>
      <c r="O1189" s="3" t="str">
        <f>IF(Table2[[#This Row],[MonthlyIncome]]&lt;=5000, "$1001 - $5000", IF(Table2[[#This Row],[MonthlyIncome]]&lt;=9000, "$5001 - $9000", IF(Table2[[#This Row],[MonthlyIncome]]&lt;=13000, "$9001 - $13000", IF(Table2[[#This Row],[MonthlyIncome]]&lt;=17000, "$13001 - $17000", IF(Table2[[#This Row],[MonthlyIncome]]&lt;=21000, "$17001 - $21000")))))</f>
        <v>$1001 - $5000</v>
      </c>
      <c r="P1189">
        <v>7</v>
      </c>
      <c r="Q1189">
        <v>4</v>
      </c>
      <c r="R1189">
        <v>13</v>
      </c>
      <c r="S11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90" spans="1:19" ht="14.25" x14ac:dyDescent="0.2">
      <c r="A1190">
        <v>21976776</v>
      </c>
      <c r="B1190">
        <v>29</v>
      </c>
      <c r="C1190" t="s">
        <v>25</v>
      </c>
      <c r="D1190" t="s">
        <v>30</v>
      </c>
      <c r="E1190" t="s">
        <v>22</v>
      </c>
      <c r="F1190">
        <f>IF(Table2[[#This Row],[Attrition]]="Yes", 1, 0)</f>
        <v>0</v>
      </c>
      <c r="G1190" t="s">
        <v>21</v>
      </c>
      <c r="H1190" t="s">
        <v>17</v>
      </c>
      <c r="I1190">
        <v>5</v>
      </c>
      <c r="J1190">
        <v>3</v>
      </c>
      <c r="K1190" t="s">
        <v>29</v>
      </c>
      <c r="L1190">
        <v>1</v>
      </c>
      <c r="M1190">
        <v>2</v>
      </c>
      <c r="N1190" s="3">
        <v>4187</v>
      </c>
      <c r="O1190" s="3" t="str">
        <f>IF(Table2[[#This Row],[MonthlyIncome]]&lt;=5000, "$1001 - $5000", IF(Table2[[#This Row],[MonthlyIncome]]&lt;=9000, "$5001 - $9000", IF(Table2[[#This Row],[MonthlyIncome]]&lt;=13000, "$9001 - $13000", IF(Table2[[#This Row],[MonthlyIncome]]&lt;=17000, "$13001 - $17000", IF(Table2[[#This Row],[MonthlyIncome]]&lt;=21000, "$17001 - $21000")))))</f>
        <v>$1001 - $5000</v>
      </c>
      <c r="P1190">
        <v>1</v>
      </c>
      <c r="Q1190">
        <v>2</v>
      </c>
      <c r="R1190">
        <v>10</v>
      </c>
      <c r="S11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91" spans="1:19" ht="14.25" x14ac:dyDescent="0.2">
      <c r="A1191">
        <v>74335325</v>
      </c>
      <c r="B1191">
        <v>33</v>
      </c>
      <c r="C1191" t="s">
        <v>25</v>
      </c>
      <c r="D1191" t="s">
        <v>30</v>
      </c>
      <c r="E1191" t="s">
        <v>22</v>
      </c>
      <c r="F1191">
        <f>IF(Table2[[#This Row],[Attrition]]="Yes", 1, 0)</f>
        <v>0</v>
      </c>
      <c r="G1191" t="s">
        <v>21</v>
      </c>
      <c r="H1191" t="s">
        <v>17</v>
      </c>
      <c r="I1191">
        <v>2</v>
      </c>
      <c r="J1191">
        <v>4</v>
      </c>
      <c r="K1191" t="s">
        <v>29</v>
      </c>
      <c r="L1191">
        <v>4</v>
      </c>
      <c r="M1191">
        <v>4</v>
      </c>
      <c r="N1191" s="3">
        <v>5505</v>
      </c>
      <c r="O1191" s="3" t="str">
        <f>IF(Table2[[#This Row],[MonthlyIncome]]&lt;=5000, "$1001 - $5000", IF(Table2[[#This Row],[MonthlyIncome]]&lt;=9000, "$5001 - $9000", IF(Table2[[#This Row],[MonthlyIncome]]&lt;=13000, "$9001 - $13000", IF(Table2[[#This Row],[MonthlyIncome]]&lt;=17000, "$13001 - $17000", IF(Table2[[#This Row],[MonthlyIncome]]&lt;=21000, "$17001 - $21000")))))</f>
        <v>$5001 - $9000</v>
      </c>
      <c r="P1191">
        <v>1</v>
      </c>
      <c r="Q1191">
        <v>3</v>
      </c>
      <c r="R1191">
        <v>6</v>
      </c>
      <c r="S11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92" spans="1:19" ht="14.25" x14ac:dyDescent="0.2">
      <c r="A1192">
        <v>58803058</v>
      </c>
      <c r="B1192">
        <v>32</v>
      </c>
      <c r="C1192" t="s">
        <v>25</v>
      </c>
      <c r="D1192" t="s">
        <v>30</v>
      </c>
      <c r="E1192" t="s">
        <v>22</v>
      </c>
      <c r="F1192">
        <f>IF(Table2[[#This Row],[Attrition]]="Yes", 1, 0)</f>
        <v>0</v>
      </c>
      <c r="G1192" t="s">
        <v>26</v>
      </c>
      <c r="H1192" t="s">
        <v>23</v>
      </c>
      <c r="I1192">
        <v>2</v>
      </c>
      <c r="J1192">
        <v>3</v>
      </c>
      <c r="K1192" t="s">
        <v>29</v>
      </c>
      <c r="L1192">
        <v>4</v>
      </c>
      <c r="M1192">
        <v>2</v>
      </c>
      <c r="N1192" s="3">
        <v>5470</v>
      </c>
      <c r="O1192" s="3" t="str">
        <f>IF(Table2[[#This Row],[MonthlyIncome]]&lt;=5000, "$1001 - $5000", IF(Table2[[#This Row],[MonthlyIncome]]&lt;=9000, "$5001 - $9000", IF(Table2[[#This Row],[MonthlyIncome]]&lt;=13000, "$9001 - $13000", IF(Table2[[#This Row],[MonthlyIncome]]&lt;=17000, "$13001 - $17000", IF(Table2[[#This Row],[MonthlyIncome]]&lt;=21000, "$17001 - $21000")))))</f>
        <v>$5001 - $9000</v>
      </c>
      <c r="P1192">
        <v>0</v>
      </c>
      <c r="Q1192">
        <v>2</v>
      </c>
      <c r="R1192">
        <v>9</v>
      </c>
      <c r="S11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93" spans="1:19" ht="14.25" x14ac:dyDescent="0.2">
      <c r="A1193">
        <v>52141669</v>
      </c>
      <c r="B1193">
        <v>31</v>
      </c>
      <c r="C1193" t="s">
        <v>20</v>
      </c>
      <c r="D1193" t="s">
        <v>24</v>
      </c>
      <c r="E1193" t="s">
        <v>22</v>
      </c>
      <c r="F1193">
        <f>IF(Table2[[#This Row],[Attrition]]="Yes", 1, 0)</f>
        <v>0</v>
      </c>
      <c r="G1193" t="s">
        <v>21</v>
      </c>
      <c r="H1193" t="s">
        <v>17</v>
      </c>
      <c r="I1193">
        <v>5</v>
      </c>
      <c r="J1193">
        <v>4</v>
      </c>
      <c r="K1193" t="s">
        <v>18</v>
      </c>
      <c r="L1193">
        <v>1</v>
      </c>
      <c r="M1193">
        <v>4</v>
      </c>
      <c r="N1193" s="3">
        <v>5476</v>
      </c>
      <c r="O1193" s="3" t="str">
        <f>IF(Table2[[#This Row],[MonthlyIncome]]&lt;=5000, "$1001 - $5000", IF(Table2[[#This Row],[MonthlyIncome]]&lt;=9000, "$5001 - $9000", IF(Table2[[#This Row],[MonthlyIncome]]&lt;=13000, "$9001 - $13000", IF(Table2[[#This Row],[MonthlyIncome]]&lt;=17000, "$13001 - $17000", IF(Table2[[#This Row],[MonthlyIncome]]&lt;=21000, "$17001 - $21000")))))</f>
        <v>$5001 - $9000</v>
      </c>
      <c r="P1193">
        <v>1</v>
      </c>
      <c r="Q1193">
        <v>3</v>
      </c>
      <c r="R1193">
        <v>10</v>
      </c>
      <c r="S11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194" spans="1:19" ht="14.25" x14ac:dyDescent="0.2">
      <c r="A1194">
        <v>84898696</v>
      </c>
      <c r="B1194">
        <v>49</v>
      </c>
      <c r="C1194" t="s">
        <v>20</v>
      </c>
      <c r="D1194" t="s">
        <v>30</v>
      </c>
      <c r="E1194" t="s">
        <v>22</v>
      </c>
      <c r="F1194">
        <f>IF(Table2[[#This Row],[Attrition]]="Yes", 1, 0)</f>
        <v>0</v>
      </c>
      <c r="G1194" t="s">
        <v>28</v>
      </c>
      <c r="H1194" t="s">
        <v>23</v>
      </c>
      <c r="I1194">
        <v>16</v>
      </c>
      <c r="J1194">
        <v>3</v>
      </c>
      <c r="K1194" t="s">
        <v>29</v>
      </c>
      <c r="L1194">
        <v>4</v>
      </c>
      <c r="M1194">
        <v>1</v>
      </c>
      <c r="N1194" s="3">
        <v>2587</v>
      </c>
      <c r="O1194" s="3" t="str">
        <f>IF(Table2[[#This Row],[MonthlyIncome]]&lt;=5000, "$1001 - $5000", IF(Table2[[#This Row],[MonthlyIncome]]&lt;=9000, "$5001 - $9000", IF(Table2[[#This Row],[MonthlyIncome]]&lt;=13000, "$9001 - $13000", IF(Table2[[#This Row],[MonthlyIncome]]&lt;=17000, "$13001 - $17000", IF(Table2[[#This Row],[MonthlyIncome]]&lt;=21000, "$17001 - $21000")))))</f>
        <v>$1001 - $5000</v>
      </c>
      <c r="P1194">
        <v>4</v>
      </c>
      <c r="Q1194">
        <v>2</v>
      </c>
      <c r="R1194">
        <v>2</v>
      </c>
      <c r="S11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95" spans="1:19" ht="14.25" x14ac:dyDescent="0.2">
      <c r="A1195">
        <v>77122209</v>
      </c>
      <c r="B1195">
        <v>38</v>
      </c>
      <c r="C1195" t="s">
        <v>20</v>
      </c>
      <c r="D1195" t="s">
        <v>19</v>
      </c>
      <c r="E1195" t="s">
        <v>22</v>
      </c>
      <c r="F1195">
        <f>IF(Table2[[#This Row],[Attrition]]="Yes", 1, 0)</f>
        <v>0</v>
      </c>
      <c r="G1195" t="s">
        <v>28</v>
      </c>
      <c r="H1195" t="s">
        <v>23</v>
      </c>
      <c r="I1195">
        <v>2</v>
      </c>
      <c r="J1195">
        <v>3</v>
      </c>
      <c r="K1195" t="s">
        <v>29</v>
      </c>
      <c r="L1195">
        <v>4</v>
      </c>
      <c r="M1195">
        <v>2</v>
      </c>
      <c r="N1195" s="3">
        <v>2440</v>
      </c>
      <c r="O1195" s="3" t="str">
        <f>IF(Table2[[#This Row],[MonthlyIncome]]&lt;=5000, "$1001 - $5000", IF(Table2[[#This Row],[MonthlyIncome]]&lt;=9000, "$5001 - $9000", IF(Table2[[#This Row],[MonthlyIncome]]&lt;=13000, "$9001 - $13000", IF(Table2[[#This Row],[MonthlyIncome]]&lt;=17000, "$13001 - $17000", IF(Table2[[#This Row],[MonthlyIncome]]&lt;=21000, "$17001 - $21000")))))</f>
        <v>$1001 - $5000</v>
      </c>
      <c r="P1195">
        <v>1</v>
      </c>
      <c r="Q1195">
        <v>3</v>
      </c>
      <c r="R1195">
        <v>4</v>
      </c>
      <c r="S11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96" spans="1:19" ht="14.25" x14ac:dyDescent="0.2">
      <c r="A1196">
        <v>70568573</v>
      </c>
      <c r="B1196">
        <v>47</v>
      </c>
      <c r="C1196" t="s">
        <v>20</v>
      </c>
      <c r="D1196" t="s">
        <v>30</v>
      </c>
      <c r="E1196" t="s">
        <v>22</v>
      </c>
      <c r="F1196">
        <f>IF(Table2[[#This Row],[Attrition]]="Yes", 1, 0)</f>
        <v>0</v>
      </c>
      <c r="G1196" t="s">
        <v>33</v>
      </c>
      <c r="H1196" t="s">
        <v>17</v>
      </c>
      <c r="I1196">
        <v>2</v>
      </c>
      <c r="J1196">
        <v>4</v>
      </c>
      <c r="K1196" t="s">
        <v>18</v>
      </c>
      <c r="L1196">
        <v>2</v>
      </c>
      <c r="M1196">
        <v>2</v>
      </c>
      <c r="N1196" s="3">
        <v>15972</v>
      </c>
      <c r="O1196" s="3" t="str">
        <f>IF(Table2[[#This Row],[MonthlyIncome]]&lt;=5000, "$1001 - $5000", IF(Table2[[#This Row],[MonthlyIncome]]&lt;=9000, "$5001 - $9000", IF(Table2[[#This Row],[MonthlyIncome]]&lt;=13000, "$9001 - $13000", IF(Table2[[#This Row],[MonthlyIncome]]&lt;=17000, "$13001 - $17000", IF(Table2[[#This Row],[MonthlyIncome]]&lt;=21000, "$17001 - $21000")))))</f>
        <v>$13001 - $17000</v>
      </c>
      <c r="P1196">
        <v>6</v>
      </c>
      <c r="Q1196">
        <v>3</v>
      </c>
      <c r="R1196">
        <v>3</v>
      </c>
      <c r="S11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97" spans="1:19" ht="14.25" x14ac:dyDescent="0.2">
      <c r="A1197">
        <v>63361015</v>
      </c>
      <c r="B1197">
        <v>49</v>
      </c>
      <c r="C1197" t="s">
        <v>25</v>
      </c>
      <c r="D1197" t="s">
        <v>19</v>
      </c>
      <c r="E1197" t="s">
        <v>22</v>
      </c>
      <c r="F1197">
        <f>IF(Table2[[#This Row],[Attrition]]="Yes", 1, 0)</f>
        <v>0</v>
      </c>
      <c r="G1197" t="s">
        <v>33</v>
      </c>
      <c r="H1197" t="s">
        <v>23</v>
      </c>
      <c r="I1197">
        <v>1</v>
      </c>
      <c r="J1197">
        <v>3</v>
      </c>
      <c r="K1197" t="s">
        <v>18</v>
      </c>
      <c r="L1197">
        <v>3</v>
      </c>
      <c r="M1197">
        <v>3</v>
      </c>
      <c r="N1197" s="3">
        <v>15379</v>
      </c>
      <c r="O1197" s="3" t="str">
        <f>IF(Table2[[#This Row],[MonthlyIncome]]&lt;=5000, "$1001 - $5000", IF(Table2[[#This Row],[MonthlyIncome]]&lt;=9000, "$5001 - $9000", IF(Table2[[#This Row],[MonthlyIncome]]&lt;=13000, "$9001 - $13000", IF(Table2[[#This Row],[MonthlyIncome]]&lt;=17000, "$13001 - $17000", IF(Table2[[#This Row],[MonthlyIncome]]&lt;=21000, "$17001 - $21000")))))</f>
        <v>$13001 - $17000</v>
      </c>
      <c r="P1197">
        <v>4</v>
      </c>
      <c r="Q1197">
        <v>3</v>
      </c>
      <c r="R1197">
        <v>8</v>
      </c>
      <c r="S11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198" spans="1:19" ht="14.25" x14ac:dyDescent="0.2">
      <c r="A1198">
        <v>82638834</v>
      </c>
      <c r="B1198">
        <v>41</v>
      </c>
      <c r="C1198" t="s">
        <v>25</v>
      </c>
      <c r="D1198" t="s">
        <v>19</v>
      </c>
      <c r="E1198" t="s">
        <v>22</v>
      </c>
      <c r="F1198">
        <f>IF(Table2[[#This Row],[Attrition]]="Yes", 1, 0)</f>
        <v>0</v>
      </c>
      <c r="G1198" t="s">
        <v>21</v>
      </c>
      <c r="H1198" t="s">
        <v>17</v>
      </c>
      <c r="I1198">
        <v>23</v>
      </c>
      <c r="J1198">
        <v>2</v>
      </c>
      <c r="K1198" t="s">
        <v>18</v>
      </c>
      <c r="L1198">
        <v>4</v>
      </c>
      <c r="M1198">
        <v>3</v>
      </c>
      <c r="N1198" s="3">
        <v>7082</v>
      </c>
      <c r="O1198" s="3" t="str">
        <f>IF(Table2[[#This Row],[MonthlyIncome]]&lt;=5000, "$1001 - $5000", IF(Table2[[#This Row],[MonthlyIncome]]&lt;=9000, "$5001 - $9000", IF(Table2[[#This Row],[MonthlyIncome]]&lt;=13000, "$9001 - $13000", IF(Table2[[#This Row],[MonthlyIncome]]&lt;=17000, "$13001 - $17000", IF(Table2[[#This Row],[MonthlyIncome]]&lt;=21000, "$17001 - $21000")))))</f>
        <v>$5001 - $9000</v>
      </c>
      <c r="P1198">
        <v>3</v>
      </c>
      <c r="Q1198">
        <v>3</v>
      </c>
      <c r="R1198">
        <v>2</v>
      </c>
      <c r="S11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199" spans="1:19" ht="14.25" x14ac:dyDescent="0.2">
      <c r="A1199">
        <v>44473018</v>
      </c>
      <c r="B1199">
        <v>20</v>
      </c>
      <c r="C1199" t="s">
        <v>25</v>
      </c>
      <c r="D1199" t="s">
        <v>19</v>
      </c>
      <c r="E1199" t="s">
        <v>22</v>
      </c>
      <c r="F1199">
        <f>IF(Table2[[#This Row],[Attrition]]="Yes", 1, 0)</f>
        <v>0</v>
      </c>
      <c r="G1199" t="s">
        <v>34</v>
      </c>
      <c r="H1199" t="s">
        <v>17</v>
      </c>
      <c r="I1199">
        <v>9</v>
      </c>
      <c r="J1199">
        <v>1</v>
      </c>
      <c r="K1199" t="s">
        <v>18</v>
      </c>
      <c r="L1199">
        <v>4</v>
      </c>
      <c r="M1199">
        <v>1</v>
      </c>
      <c r="N1199" s="3">
        <v>2728</v>
      </c>
      <c r="O1199" s="3" t="str">
        <f>IF(Table2[[#This Row],[MonthlyIncome]]&lt;=5000, "$1001 - $5000", IF(Table2[[#This Row],[MonthlyIncome]]&lt;=9000, "$5001 - $9000", IF(Table2[[#This Row],[MonthlyIncome]]&lt;=13000, "$9001 - $13000", IF(Table2[[#This Row],[MonthlyIncome]]&lt;=17000, "$13001 - $17000", IF(Table2[[#This Row],[MonthlyIncome]]&lt;=21000, "$17001 - $21000")))))</f>
        <v>$1001 - $5000</v>
      </c>
      <c r="P1199">
        <v>1</v>
      </c>
      <c r="Q1199">
        <v>3</v>
      </c>
      <c r="R1199">
        <v>2</v>
      </c>
      <c r="S11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00" spans="1:19" ht="14.25" x14ac:dyDescent="0.2">
      <c r="A1200">
        <v>38452887</v>
      </c>
      <c r="B1200">
        <v>33</v>
      </c>
      <c r="C1200" t="s">
        <v>20</v>
      </c>
      <c r="D1200" t="s">
        <v>30</v>
      </c>
      <c r="E1200" t="s">
        <v>22</v>
      </c>
      <c r="F1200">
        <f>IF(Table2[[#This Row],[Attrition]]="Yes", 1, 0)</f>
        <v>0</v>
      </c>
      <c r="G1200" t="s">
        <v>21</v>
      </c>
      <c r="H1200" t="s">
        <v>17</v>
      </c>
      <c r="I1200">
        <v>16</v>
      </c>
      <c r="J1200">
        <v>3</v>
      </c>
      <c r="K1200" t="s">
        <v>18</v>
      </c>
      <c r="L1200">
        <v>3</v>
      </c>
      <c r="M1200">
        <v>4</v>
      </c>
      <c r="N1200" s="3">
        <v>5368</v>
      </c>
      <c r="O1200" s="3" t="str">
        <f>IF(Table2[[#This Row],[MonthlyIncome]]&lt;=5000, "$1001 - $5000", IF(Table2[[#This Row],[MonthlyIncome]]&lt;=9000, "$5001 - $9000", IF(Table2[[#This Row],[MonthlyIncome]]&lt;=13000, "$9001 - $13000", IF(Table2[[#This Row],[MonthlyIncome]]&lt;=17000, "$13001 - $17000", IF(Table2[[#This Row],[MonthlyIncome]]&lt;=21000, "$17001 - $21000")))))</f>
        <v>$5001 - $9000</v>
      </c>
      <c r="P1200">
        <v>1</v>
      </c>
      <c r="Q1200">
        <v>3</v>
      </c>
      <c r="R1200">
        <v>6</v>
      </c>
      <c r="S12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01" spans="1:19" ht="14.25" x14ac:dyDescent="0.2">
      <c r="A1201">
        <v>50086558</v>
      </c>
      <c r="B1201">
        <v>36</v>
      </c>
      <c r="C1201" t="s">
        <v>25</v>
      </c>
      <c r="D1201" t="s">
        <v>24</v>
      </c>
      <c r="E1201" t="s">
        <v>22</v>
      </c>
      <c r="F1201">
        <f>IF(Table2[[#This Row],[Attrition]]="Yes", 1, 0)</f>
        <v>0</v>
      </c>
      <c r="G1201" t="s">
        <v>32</v>
      </c>
      <c r="H1201" t="s">
        <v>23</v>
      </c>
      <c r="I1201">
        <v>26</v>
      </c>
      <c r="J1201">
        <v>4</v>
      </c>
      <c r="K1201" t="s">
        <v>18</v>
      </c>
      <c r="L1201">
        <v>1</v>
      </c>
      <c r="M1201">
        <v>3</v>
      </c>
      <c r="N1201" s="3">
        <v>5347</v>
      </c>
      <c r="O1201" s="3" t="str">
        <f>IF(Table2[[#This Row],[MonthlyIncome]]&lt;=5000, "$1001 - $5000", IF(Table2[[#This Row],[MonthlyIncome]]&lt;=9000, "$5001 - $9000", IF(Table2[[#This Row],[MonthlyIncome]]&lt;=13000, "$9001 - $13000", IF(Table2[[#This Row],[MonthlyIncome]]&lt;=17000, "$13001 - $17000", IF(Table2[[#This Row],[MonthlyIncome]]&lt;=21000, "$17001 - $21000")))))</f>
        <v>$5001 - $9000</v>
      </c>
      <c r="P1201">
        <v>6</v>
      </c>
      <c r="Q1201">
        <v>2</v>
      </c>
      <c r="R1201">
        <v>3</v>
      </c>
      <c r="S12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02" spans="1:19" ht="14.25" x14ac:dyDescent="0.2">
      <c r="A1202">
        <v>81418791</v>
      </c>
      <c r="B1202">
        <v>44</v>
      </c>
      <c r="C1202" t="s">
        <v>20</v>
      </c>
      <c r="D1202" t="s">
        <v>30</v>
      </c>
      <c r="E1202" t="s">
        <v>22</v>
      </c>
      <c r="F1202">
        <f>IF(Table2[[#This Row],[Attrition]]="Yes", 1, 0)</f>
        <v>0</v>
      </c>
      <c r="G1202" t="s">
        <v>38</v>
      </c>
      <c r="H1202" t="s">
        <v>38</v>
      </c>
      <c r="I1202">
        <v>1</v>
      </c>
      <c r="J1202">
        <v>3</v>
      </c>
      <c r="K1202" t="s">
        <v>18</v>
      </c>
      <c r="L1202">
        <v>3</v>
      </c>
      <c r="M1202">
        <v>4</v>
      </c>
      <c r="N1202" s="3">
        <v>3195</v>
      </c>
      <c r="O1202" s="3" t="str">
        <f>IF(Table2[[#This Row],[MonthlyIncome]]&lt;=5000, "$1001 - $5000", IF(Table2[[#This Row],[MonthlyIncome]]&lt;=9000, "$5001 - $9000", IF(Table2[[#This Row],[MonthlyIncome]]&lt;=13000, "$9001 - $13000", IF(Table2[[#This Row],[MonthlyIncome]]&lt;=17000, "$13001 - $17000", IF(Table2[[#This Row],[MonthlyIncome]]&lt;=21000, "$17001 - $21000")))))</f>
        <v>$1001 - $5000</v>
      </c>
      <c r="P1202">
        <v>4</v>
      </c>
      <c r="Q1202">
        <v>3</v>
      </c>
      <c r="R1202">
        <v>2</v>
      </c>
      <c r="S12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03" spans="1:19" ht="14.25" x14ac:dyDescent="0.2">
      <c r="A1203">
        <v>23195007</v>
      </c>
      <c r="B1203">
        <v>23</v>
      </c>
      <c r="C1203" t="s">
        <v>25</v>
      </c>
      <c r="D1203" t="s">
        <v>19</v>
      </c>
      <c r="E1203" t="s">
        <v>16</v>
      </c>
      <c r="F1203">
        <f>IF(Table2[[#This Row],[Attrition]]="Yes", 1, 0)</f>
        <v>1</v>
      </c>
      <c r="G1203" t="s">
        <v>28</v>
      </c>
      <c r="H1203" t="s">
        <v>23</v>
      </c>
      <c r="I1203">
        <v>8</v>
      </c>
      <c r="J1203">
        <v>1</v>
      </c>
      <c r="K1203" t="s">
        <v>29</v>
      </c>
      <c r="L1203">
        <v>4</v>
      </c>
      <c r="M1203">
        <v>3</v>
      </c>
      <c r="N1203" s="3">
        <v>3989</v>
      </c>
      <c r="O1203" s="3" t="str">
        <f>IF(Table2[[#This Row],[MonthlyIncome]]&lt;=5000, "$1001 - $5000", IF(Table2[[#This Row],[MonthlyIncome]]&lt;=9000, "$5001 - $9000", IF(Table2[[#This Row],[MonthlyIncome]]&lt;=13000, "$9001 - $13000", IF(Table2[[#This Row],[MonthlyIncome]]&lt;=17000, "$13001 - $17000", IF(Table2[[#This Row],[MonthlyIncome]]&lt;=21000, "$17001 - $21000")))))</f>
        <v>$1001 - $5000</v>
      </c>
      <c r="P1203">
        <v>1</v>
      </c>
      <c r="Q1203">
        <v>3</v>
      </c>
      <c r="R1203">
        <v>5</v>
      </c>
      <c r="S12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04" spans="1:19" ht="14.25" x14ac:dyDescent="0.2">
      <c r="A1204">
        <v>34522899</v>
      </c>
      <c r="B1204">
        <v>38</v>
      </c>
      <c r="C1204" t="s">
        <v>20</v>
      </c>
      <c r="D1204" t="s">
        <v>24</v>
      </c>
      <c r="E1204" t="s">
        <v>22</v>
      </c>
      <c r="F1204">
        <f>IF(Table2[[#This Row],[Attrition]]="Yes", 1, 0)</f>
        <v>0</v>
      </c>
      <c r="G1204" t="s">
        <v>28</v>
      </c>
      <c r="H1204" t="s">
        <v>23</v>
      </c>
      <c r="I1204">
        <v>4</v>
      </c>
      <c r="J1204">
        <v>2</v>
      </c>
      <c r="K1204" t="s">
        <v>29</v>
      </c>
      <c r="L1204">
        <v>4</v>
      </c>
      <c r="M1204">
        <v>3</v>
      </c>
      <c r="N1204" s="3">
        <v>3306</v>
      </c>
      <c r="O1204" s="3" t="str">
        <f>IF(Table2[[#This Row],[MonthlyIncome]]&lt;=5000, "$1001 - $5000", IF(Table2[[#This Row],[MonthlyIncome]]&lt;=9000, "$5001 - $9000", IF(Table2[[#This Row],[MonthlyIncome]]&lt;=13000, "$9001 - $13000", IF(Table2[[#This Row],[MonthlyIncome]]&lt;=17000, "$13001 - $17000", IF(Table2[[#This Row],[MonthlyIncome]]&lt;=21000, "$17001 - $21000")))))</f>
        <v>$1001 - $5000</v>
      </c>
      <c r="P1204">
        <v>7</v>
      </c>
      <c r="Q1204">
        <v>2</v>
      </c>
      <c r="R1204">
        <v>0</v>
      </c>
      <c r="S12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05" spans="1:19" ht="14.25" x14ac:dyDescent="0.2">
      <c r="A1205">
        <v>57355680</v>
      </c>
      <c r="B1205">
        <v>53</v>
      </c>
      <c r="C1205" t="s">
        <v>25</v>
      </c>
      <c r="D1205" t="s">
        <v>24</v>
      </c>
      <c r="E1205" t="s">
        <v>22</v>
      </c>
      <c r="F1205">
        <f>IF(Table2[[#This Row],[Attrition]]="Yes", 1, 0)</f>
        <v>0</v>
      </c>
      <c r="G1205" t="s">
        <v>32</v>
      </c>
      <c r="H1205" t="s">
        <v>23</v>
      </c>
      <c r="I1205">
        <v>24</v>
      </c>
      <c r="J1205">
        <v>4</v>
      </c>
      <c r="K1205" t="s">
        <v>29</v>
      </c>
      <c r="L1205">
        <v>2</v>
      </c>
      <c r="M1205">
        <v>4</v>
      </c>
      <c r="N1205" s="3">
        <v>7005</v>
      </c>
      <c r="O1205" s="3" t="str">
        <f>IF(Table2[[#This Row],[MonthlyIncome]]&lt;=5000, "$1001 - $5000", IF(Table2[[#This Row],[MonthlyIncome]]&lt;=9000, "$5001 - $9000", IF(Table2[[#This Row],[MonthlyIncome]]&lt;=13000, "$9001 - $13000", IF(Table2[[#This Row],[MonthlyIncome]]&lt;=17000, "$13001 - $17000", IF(Table2[[#This Row],[MonthlyIncome]]&lt;=21000, "$17001 - $21000")))))</f>
        <v>$5001 - $9000</v>
      </c>
      <c r="P1205">
        <v>3</v>
      </c>
      <c r="Q1205">
        <v>3</v>
      </c>
      <c r="R1205">
        <v>4</v>
      </c>
      <c r="S12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06" spans="1:19" ht="14.25" x14ac:dyDescent="0.2">
      <c r="A1206">
        <v>27007460</v>
      </c>
      <c r="B1206">
        <v>48</v>
      </c>
      <c r="C1206" t="s">
        <v>20</v>
      </c>
      <c r="D1206" t="s">
        <v>24</v>
      </c>
      <c r="E1206" t="s">
        <v>16</v>
      </c>
      <c r="F1206">
        <f>IF(Table2[[#This Row],[Attrition]]="Yes", 1, 0)</f>
        <v>1</v>
      </c>
      <c r="G1206" t="s">
        <v>34</v>
      </c>
      <c r="H1206" t="s">
        <v>17</v>
      </c>
      <c r="I1206">
        <v>7</v>
      </c>
      <c r="J1206">
        <v>2</v>
      </c>
      <c r="K1206" t="s">
        <v>29</v>
      </c>
      <c r="L1206">
        <v>4</v>
      </c>
      <c r="M1206">
        <v>3</v>
      </c>
      <c r="N1206" s="3">
        <v>2655</v>
      </c>
      <c r="O1206" s="3" t="str">
        <f>IF(Table2[[#This Row],[MonthlyIncome]]&lt;=5000, "$1001 - $5000", IF(Table2[[#This Row],[MonthlyIncome]]&lt;=9000, "$5001 - $9000", IF(Table2[[#This Row],[MonthlyIncome]]&lt;=13000, "$9001 - $13000", IF(Table2[[#This Row],[MonthlyIncome]]&lt;=17000, "$13001 - $17000", IF(Table2[[#This Row],[MonthlyIncome]]&lt;=21000, "$17001 - $21000")))))</f>
        <v>$1001 - $5000</v>
      </c>
      <c r="P1206">
        <v>2</v>
      </c>
      <c r="Q1206">
        <v>3</v>
      </c>
      <c r="R1206">
        <v>9</v>
      </c>
      <c r="S12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07" spans="1:19" ht="14.25" x14ac:dyDescent="0.2">
      <c r="A1207">
        <v>51455504</v>
      </c>
      <c r="B1207">
        <v>32</v>
      </c>
      <c r="C1207" t="s">
        <v>25</v>
      </c>
      <c r="D1207" t="s">
        <v>19</v>
      </c>
      <c r="E1207" t="s">
        <v>16</v>
      </c>
      <c r="F1207">
        <f>IF(Table2[[#This Row],[Attrition]]="Yes", 1, 0)</f>
        <v>1</v>
      </c>
      <c r="G1207" t="s">
        <v>28</v>
      </c>
      <c r="H1207" t="s">
        <v>23</v>
      </c>
      <c r="I1207">
        <v>2</v>
      </c>
      <c r="J1207">
        <v>4</v>
      </c>
      <c r="K1207" t="s">
        <v>18</v>
      </c>
      <c r="L1207">
        <v>4</v>
      </c>
      <c r="M1207">
        <v>2</v>
      </c>
      <c r="N1207" s="3">
        <v>1393</v>
      </c>
      <c r="O1207" s="3" t="str">
        <f>IF(Table2[[#This Row],[MonthlyIncome]]&lt;=5000, "$1001 - $5000", IF(Table2[[#This Row],[MonthlyIncome]]&lt;=9000, "$5001 - $9000", IF(Table2[[#This Row],[MonthlyIncome]]&lt;=13000, "$9001 - $13000", IF(Table2[[#This Row],[MonthlyIncome]]&lt;=17000, "$13001 - $17000", IF(Table2[[#This Row],[MonthlyIncome]]&lt;=21000, "$17001 - $21000")))))</f>
        <v>$1001 - $5000</v>
      </c>
      <c r="P1207">
        <v>1</v>
      </c>
      <c r="Q1207">
        <v>3</v>
      </c>
      <c r="R1207">
        <v>1</v>
      </c>
      <c r="S12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08" spans="1:19" ht="14.25" x14ac:dyDescent="0.2">
      <c r="A1208">
        <v>75729004</v>
      </c>
      <c r="B1208">
        <v>26</v>
      </c>
      <c r="C1208" t="s">
        <v>25</v>
      </c>
      <c r="D1208" t="s">
        <v>19</v>
      </c>
      <c r="E1208" t="s">
        <v>22</v>
      </c>
      <c r="F1208">
        <f>IF(Table2[[#This Row],[Attrition]]="Yes", 1, 0)</f>
        <v>0</v>
      </c>
      <c r="G1208" t="s">
        <v>28</v>
      </c>
      <c r="H1208" t="s">
        <v>23</v>
      </c>
      <c r="I1208">
        <v>7</v>
      </c>
      <c r="J1208">
        <v>3</v>
      </c>
      <c r="K1208" t="s">
        <v>29</v>
      </c>
      <c r="L1208">
        <v>4</v>
      </c>
      <c r="M1208">
        <v>4</v>
      </c>
      <c r="N1208" s="3">
        <v>2570</v>
      </c>
      <c r="O1208" s="3" t="str">
        <f>IF(Table2[[#This Row],[MonthlyIncome]]&lt;=5000, "$1001 - $5000", IF(Table2[[#This Row],[MonthlyIncome]]&lt;=9000, "$5001 - $9000", IF(Table2[[#This Row],[MonthlyIncome]]&lt;=13000, "$9001 - $13000", IF(Table2[[#This Row],[MonthlyIncome]]&lt;=17000, "$13001 - $17000", IF(Table2[[#This Row],[MonthlyIncome]]&lt;=21000, "$17001 - $21000")))))</f>
        <v>$1001 - $5000</v>
      </c>
      <c r="P1208">
        <v>1</v>
      </c>
      <c r="Q1208">
        <v>3</v>
      </c>
      <c r="R1208">
        <v>7</v>
      </c>
      <c r="S12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09" spans="1:19" ht="14.25" x14ac:dyDescent="0.2">
      <c r="A1209">
        <v>49439375</v>
      </c>
      <c r="B1209">
        <v>55</v>
      </c>
      <c r="C1209" t="s">
        <v>25</v>
      </c>
      <c r="D1209" t="s">
        <v>30</v>
      </c>
      <c r="E1209" t="s">
        <v>22</v>
      </c>
      <c r="F1209">
        <f>IF(Table2[[#This Row],[Attrition]]="Yes", 1, 0)</f>
        <v>0</v>
      </c>
      <c r="G1209" t="s">
        <v>26</v>
      </c>
      <c r="H1209" t="s">
        <v>23</v>
      </c>
      <c r="I1209">
        <v>22</v>
      </c>
      <c r="J1209">
        <v>3</v>
      </c>
      <c r="K1209" t="s">
        <v>37</v>
      </c>
      <c r="L1209">
        <v>1</v>
      </c>
      <c r="M1209">
        <v>2</v>
      </c>
      <c r="N1209" s="3">
        <v>3537</v>
      </c>
      <c r="O1209" s="3" t="str">
        <f>IF(Table2[[#This Row],[MonthlyIncome]]&lt;=5000, "$1001 - $5000", IF(Table2[[#This Row],[MonthlyIncome]]&lt;=9000, "$5001 - $9000", IF(Table2[[#This Row],[MonthlyIncome]]&lt;=13000, "$9001 - $13000", IF(Table2[[#This Row],[MonthlyIncome]]&lt;=17000, "$13001 - $17000", IF(Table2[[#This Row],[MonthlyIncome]]&lt;=21000, "$17001 - $21000")))))</f>
        <v>$1001 - $5000</v>
      </c>
      <c r="P1209">
        <v>5</v>
      </c>
      <c r="Q1209">
        <v>3</v>
      </c>
      <c r="R1209">
        <v>4</v>
      </c>
      <c r="S12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10" spans="1:19" ht="14.25" x14ac:dyDescent="0.2">
      <c r="A1210">
        <v>59983964</v>
      </c>
      <c r="B1210">
        <v>34</v>
      </c>
      <c r="C1210" t="s">
        <v>25</v>
      </c>
      <c r="D1210" t="s">
        <v>24</v>
      </c>
      <c r="E1210" t="s">
        <v>22</v>
      </c>
      <c r="F1210">
        <f>IF(Table2[[#This Row],[Attrition]]="Yes", 1, 0)</f>
        <v>0</v>
      </c>
      <c r="G1210" t="s">
        <v>28</v>
      </c>
      <c r="H1210" t="s">
        <v>23</v>
      </c>
      <c r="I1210">
        <v>5</v>
      </c>
      <c r="J1210">
        <v>2</v>
      </c>
      <c r="K1210" t="s">
        <v>29</v>
      </c>
      <c r="L1210">
        <v>2</v>
      </c>
      <c r="M1210">
        <v>4</v>
      </c>
      <c r="N1210" s="3">
        <v>3986</v>
      </c>
      <c r="O1210" s="3" t="str">
        <f>IF(Table2[[#This Row],[MonthlyIncome]]&lt;=5000, "$1001 - $5000", IF(Table2[[#This Row],[MonthlyIncome]]&lt;=9000, "$5001 - $9000", IF(Table2[[#This Row],[MonthlyIncome]]&lt;=13000, "$9001 - $13000", IF(Table2[[#This Row],[MonthlyIncome]]&lt;=17000, "$13001 - $17000", IF(Table2[[#This Row],[MonthlyIncome]]&lt;=21000, "$17001 - $21000")))))</f>
        <v>$1001 - $5000</v>
      </c>
      <c r="P1210">
        <v>1</v>
      </c>
      <c r="Q1210">
        <v>4</v>
      </c>
      <c r="R1210">
        <v>15</v>
      </c>
      <c r="S12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211" spans="1:19" ht="14.25" x14ac:dyDescent="0.2">
      <c r="A1211">
        <v>51679989</v>
      </c>
      <c r="B1211">
        <v>60</v>
      </c>
      <c r="C1211" t="s">
        <v>25</v>
      </c>
      <c r="D1211" t="s">
        <v>30</v>
      </c>
      <c r="E1211" t="s">
        <v>22</v>
      </c>
      <c r="F1211">
        <f>IF(Table2[[#This Row],[Attrition]]="Yes", 1, 0)</f>
        <v>0</v>
      </c>
      <c r="G1211" t="s">
        <v>32</v>
      </c>
      <c r="H1211" t="s">
        <v>23</v>
      </c>
      <c r="I1211">
        <v>1</v>
      </c>
      <c r="J1211">
        <v>4</v>
      </c>
      <c r="K1211" t="s">
        <v>29</v>
      </c>
      <c r="L1211">
        <v>3</v>
      </c>
      <c r="M1211">
        <v>4</v>
      </c>
      <c r="N1211" s="3">
        <v>10883</v>
      </c>
      <c r="O1211" s="3" t="str">
        <f>IF(Table2[[#This Row],[MonthlyIncome]]&lt;=5000, "$1001 - $5000", IF(Table2[[#This Row],[MonthlyIncome]]&lt;=9000, "$5001 - $9000", IF(Table2[[#This Row],[MonthlyIncome]]&lt;=13000, "$9001 - $13000", IF(Table2[[#This Row],[MonthlyIncome]]&lt;=17000, "$13001 - $17000", IF(Table2[[#This Row],[MonthlyIncome]]&lt;=21000, "$17001 - $21000")))))</f>
        <v>$9001 - $13000</v>
      </c>
      <c r="P1211">
        <v>3</v>
      </c>
      <c r="Q1211">
        <v>4</v>
      </c>
      <c r="R1211">
        <v>1</v>
      </c>
      <c r="S12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12" spans="1:19" ht="14.25" x14ac:dyDescent="0.2">
      <c r="A1212">
        <v>10275434</v>
      </c>
      <c r="B1212">
        <v>33</v>
      </c>
      <c r="C1212" t="s">
        <v>25</v>
      </c>
      <c r="D1212" t="s">
        <v>24</v>
      </c>
      <c r="E1212" t="s">
        <v>22</v>
      </c>
      <c r="F1212">
        <f>IF(Table2[[#This Row],[Attrition]]="Yes", 1, 0)</f>
        <v>0</v>
      </c>
      <c r="G1212" t="s">
        <v>28</v>
      </c>
      <c r="H1212" t="s">
        <v>23</v>
      </c>
      <c r="I1212">
        <v>21</v>
      </c>
      <c r="J1212">
        <v>3</v>
      </c>
      <c r="K1212" t="s">
        <v>29</v>
      </c>
      <c r="L1212">
        <v>2</v>
      </c>
      <c r="M1212">
        <v>2</v>
      </c>
      <c r="N1212" s="3">
        <v>2028</v>
      </c>
      <c r="O1212" s="3" t="str">
        <f>IF(Table2[[#This Row],[MonthlyIncome]]&lt;=5000, "$1001 - $5000", IF(Table2[[#This Row],[MonthlyIncome]]&lt;=9000, "$5001 - $9000", IF(Table2[[#This Row],[MonthlyIncome]]&lt;=13000, "$9001 - $13000", IF(Table2[[#This Row],[MonthlyIncome]]&lt;=17000, "$13001 - $17000", IF(Table2[[#This Row],[MonthlyIncome]]&lt;=21000, "$17001 - $21000")))))</f>
        <v>$1001 - $5000</v>
      </c>
      <c r="P1212">
        <v>1</v>
      </c>
      <c r="Q1212">
        <v>3</v>
      </c>
      <c r="R1212">
        <v>14</v>
      </c>
      <c r="S12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13" spans="1:19" ht="14.25" x14ac:dyDescent="0.2">
      <c r="A1213">
        <v>17778780</v>
      </c>
      <c r="B1213">
        <v>37</v>
      </c>
      <c r="C1213" t="s">
        <v>25</v>
      </c>
      <c r="D1213" t="s">
        <v>30</v>
      </c>
      <c r="E1213" t="s">
        <v>22</v>
      </c>
      <c r="F1213">
        <f>IF(Table2[[#This Row],[Attrition]]="Yes", 1, 0)</f>
        <v>0</v>
      </c>
      <c r="G1213" t="s">
        <v>21</v>
      </c>
      <c r="H1213" t="s">
        <v>17</v>
      </c>
      <c r="I1213">
        <v>1</v>
      </c>
      <c r="J1213">
        <v>4</v>
      </c>
      <c r="K1213" t="s">
        <v>29</v>
      </c>
      <c r="L1213">
        <v>3</v>
      </c>
      <c r="M1213">
        <v>4</v>
      </c>
      <c r="N1213" s="3">
        <v>9525</v>
      </c>
      <c r="O1213" s="3" t="str">
        <f>IF(Table2[[#This Row],[MonthlyIncome]]&lt;=5000, "$1001 - $5000", IF(Table2[[#This Row],[MonthlyIncome]]&lt;=9000, "$5001 - $9000", IF(Table2[[#This Row],[MonthlyIncome]]&lt;=13000, "$9001 - $13000", IF(Table2[[#This Row],[MonthlyIncome]]&lt;=17000, "$13001 - $17000", IF(Table2[[#This Row],[MonthlyIncome]]&lt;=21000, "$17001 - $21000")))))</f>
        <v>$9001 - $13000</v>
      </c>
      <c r="P1213">
        <v>1</v>
      </c>
      <c r="Q1213">
        <v>2</v>
      </c>
      <c r="R1213">
        <v>6</v>
      </c>
      <c r="S12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14" spans="1:19" ht="14.25" x14ac:dyDescent="0.2">
      <c r="A1214">
        <v>65866576</v>
      </c>
      <c r="B1214">
        <v>34</v>
      </c>
      <c r="C1214" t="s">
        <v>20</v>
      </c>
      <c r="D1214" t="s">
        <v>24</v>
      </c>
      <c r="E1214" t="s">
        <v>22</v>
      </c>
      <c r="F1214">
        <f>IF(Table2[[#This Row],[Attrition]]="Yes", 1, 0)</f>
        <v>0</v>
      </c>
      <c r="G1214" t="s">
        <v>26</v>
      </c>
      <c r="H1214" t="s">
        <v>23</v>
      </c>
      <c r="I1214">
        <v>19</v>
      </c>
      <c r="J1214">
        <v>3</v>
      </c>
      <c r="K1214" t="s">
        <v>18</v>
      </c>
      <c r="L1214">
        <v>2</v>
      </c>
      <c r="M1214">
        <v>4</v>
      </c>
      <c r="N1214" s="3">
        <v>2929</v>
      </c>
      <c r="O1214" s="3" t="str">
        <f>IF(Table2[[#This Row],[MonthlyIncome]]&lt;=5000, "$1001 - $5000", IF(Table2[[#This Row],[MonthlyIncome]]&lt;=9000, "$5001 - $9000", IF(Table2[[#This Row],[MonthlyIncome]]&lt;=13000, "$9001 - $13000", IF(Table2[[#This Row],[MonthlyIncome]]&lt;=17000, "$13001 - $17000", IF(Table2[[#This Row],[MonthlyIncome]]&lt;=21000, "$17001 - $21000")))))</f>
        <v>$1001 - $5000</v>
      </c>
      <c r="P1214">
        <v>1</v>
      </c>
      <c r="Q1214">
        <v>3</v>
      </c>
      <c r="R1214">
        <v>10</v>
      </c>
      <c r="S12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15" spans="1:19" ht="14.25" x14ac:dyDescent="0.2">
      <c r="A1215">
        <v>26706440</v>
      </c>
      <c r="B1215">
        <v>23</v>
      </c>
      <c r="C1215" t="s">
        <v>25</v>
      </c>
      <c r="D1215" t="s">
        <v>30</v>
      </c>
      <c r="E1215" t="s">
        <v>16</v>
      </c>
      <c r="F1215">
        <f>IF(Table2[[#This Row],[Attrition]]="Yes", 1, 0)</f>
        <v>1</v>
      </c>
      <c r="G1215" t="s">
        <v>34</v>
      </c>
      <c r="H1215" t="s">
        <v>17</v>
      </c>
      <c r="I1215">
        <v>7</v>
      </c>
      <c r="J1215">
        <v>3</v>
      </c>
      <c r="K1215" t="s">
        <v>18</v>
      </c>
      <c r="L1215">
        <v>3</v>
      </c>
      <c r="M1215">
        <v>4</v>
      </c>
      <c r="N1215" s="3">
        <v>2275</v>
      </c>
      <c r="O1215" s="3" t="str">
        <f>IF(Table2[[#This Row],[MonthlyIncome]]&lt;=5000, "$1001 - $5000", IF(Table2[[#This Row],[MonthlyIncome]]&lt;=9000, "$5001 - $9000", IF(Table2[[#This Row],[MonthlyIncome]]&lt;=13000, "$9001 - $13000", IF(Table2[[#This Row],[MonthlyIncome]]&lt;=17000, "$13001 - $17000", IF(Table2[[#This Row],[MonthlyIncome]]&lt;=21000, "$17001 - $21000")))))</f>
        <v>$1001 - $5000</v>
      </c>
      <c r="P1215">
        <v>1</v>
      </c>
      <c r="Q1215">
        <v>3</v>
      </c>
      <c r="R1215">
        <v>3</v>
      </c>
      <c r="S12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16" spans="1:19" ht="14.25" x14ac:dyDescent="0.2">
      <c r="A1216">
        <v>72577699</v>
      </c>
      <c r="B1216">
        <v>44</v>
      </c>
      <c r="C1216" t="s">
        <v>20</v>
      </c>
      <c r="D1216" t="s">
        <v>24</v>
      </c>
      <c r="E1216" t="s">
        <v>22</v>
      </c>
      <c r="F1216">
        <f>IF(Table2[[#This Row],[Attrition]]="Yes", 1, 0)</f>
        <v>0</v>
      </c>
      <c r="G1216" t="s">
        <v>32</v>
      </c>
      <c r="H1216" t="s">
        <v>23</v>
      </c>
      <c r="I1216">
        <v>2</v>
      </c>
      <c r="J1216">
        <v>3</v>
      </c>
      <c r="K1216" t="s">
        <v>18</v>
      </c>
      <c r="L1216">
        <v>3</v>
      </c>
      <c r="M1216">
        <v>4</v>
      </c>
      <c r="N1216" s="3">
        <v>7879</v>
      </c>
      <c r="O1216" s="3" t="str">
        <f>IF(Table2[[#This Row],[MonthlyIncome]]&lt;=5000, "$1001 - $5000", IF(Table2[[#This Row],[MonthlyIncome]]&lt;=9000, "$5001 - $9000", IF(Table2[[#This Row],[MonthlyIncome]]&lt;=13000, "$9001 - $13000", IF(Table2[[#This Row],[MonthlyIncome]]&lt;=17000, "$13001 - $17000", IF(Table2[[#This Row],[MonthlyIncome]]&lt;=21000, "$17001 - $21000")))))</f>
        <v>$5001 - $9000</v>
      </c>
      <c r="P1216">
        <v>1</v>
      </c>
      <c r="Q1216">
        <v>3</v>
      </c>
      <c r="R1216">
        <v>8</v>
      </c>
      <c r="S12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17" spans="1:19" ht="14.25" x14ac:dyDescent="0.2">
      <c r="A1217">
        <v>86927284</v>
      </c>
      <c r="B1217">
        <v>35</v>
      </c>
      <c r="C1217" t="s">
        <v>25</v>
      </c>
      <c r="D1217" t="s">
        <v>19</v>
      </c>
      <c r="E1217" t="s">
        <v>22</v>
      </c>
      <c r="F1217">
        <f>IF(Table2[[#This Row],[Attrition]]="Yes", 1, 0)</f>
        <v>0</v>
      </c>
      <c r="G1217" t="s">
        <v>26</v>
      </c>
      <c r="H1217" t="s">
        <v>23</v>
      </c>
      <c r="I1217">
        <v>2</v>
      </c>
      <c r="J1217">
        <v>4</v>
      </c>
      <c r="K1217" t="s">
        <v>29</v>
      </c>
      <c r="L1217">
        <v>1</v>
      </c>
      <c r="M1217">
        <v>4</v>
      </c>
      <c r="N1217" s="3">
        <v>4930</v>
      </c>
      <c r="O1217" s="3" t="str">
        <f>IF(Table2[[#This Row],[MonthlyIncome]]&lt;=5000, "$1001 - $5000", IF(Table2[[#This Row],[MonthlyIncome]]&lt;=9000, "$5001 - $9000", IF(Table2[[#This Row],[MonthlyIncome]]&lt;=13000, "$9001 - $13000", IF(Table2[[#This Row],[MonthlyIncome]]&lt;=17000, "$13001 - $17000", IF(Table2[[#This Row],[MonthlyIncome]]&lt;=21000, "$17001 - $21000")))))</f>
        <v>$1001 - $5000</v>
      </c>
      <c r="P1217">
        <v>0</v>
      </c>
      <c r="Q1217">
        <v>4</v>
      </c>
      <c r="R1217">
        <v>5</v>
      </c>
      <c r="S12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18" spans="1:19" ht="14.25" x14ac:dyDescent="0.2">
      <c r="A1218">
        <v>46541321</v>
      </c>
      <c r="B1218">
        <v>43</v>
      </c>
      <c r="C1218" t="s">
        <v>25</v>
      </c>
      <c r="D1218" t="s">
        <v>24</v>
      </c>
      <c r="E1218" t="s">
        <v>22</v>
      </c>
      <c r="F1218">
        <f>IF(Table2[[#This Row],[Attrition]]="Yes", 1, 0)</f>
        <v>0</v>
      </c>
      <c r="G1218" t="s">
        <v>21</v>
      </c>
      <c r="H1218" t="s">
        <v>17</v>
      </c>
      <c r="I1218">
        <v>2</v>
      </c>
      <c r="J1218">
        <v>3</v>
      </c>
      <c r="K1218" t="s">
        <v>29</v>
      </c>
      <c r="L1218">
        <v>4</v>
      </c>
      <c r="M1218">
        <v>4</v>
      </c>
      <c r="N1218" s="3">
        <v>7847</v>
      </c>
      <c r="O1218" s="3" t="str">
        <f>IF(Table2[[#This Row],[MonthlyIncome]]&lt;=5000, "$1001 - $5000", IF(Table2[[#This Row],[MonthlyIncome]]&lt;=9000, "$5001 - $9000", IF(Table2[[#This Row],[MonthlyIncome]]&lt;=13000, "$9001 - $13000", IF(Table2[[#This Row],[MonthlyIncome]]&lt;=17000, "$13001 - $17000", IF(Table2[[#This Row],[MonthlyIncome]]&lt;=21000, "$17001 - $21000")))))</f>
        <v>$5001 - $9000</v>
      </c>
      <c r="P1218">
        <v>1</v>
      </c>
      <c r="Q1218">
        <v>3</v>
      </c>
      <c r="R1218">
        <v>10</v>
      </c>
      <c r="S12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19" spans="1:19" ht="14.25" x14ac:dyDescent="0.2">
      <c r="A1219">
        <v>30696756</v>
      </c>
      <c r="B1219">
        <v>24</v>
      </c>
      <c r="C1219" t="s">
        <v>25</v>
      </c>
      <c r="D1219" t="s">
        <v>24</v>
      </c>
      <c r="E1219" t="s">
        <v>22</v>
      </c>
      <c r="F1219">
        <f>IF(Table2[[#This Row],[Attrition]]="Yes", 1, 0)</f>
        <v>0</v>
      </c>
      <c r="G1219" t="s">
        <v>26</v>
      </c>
      <c r="H1219" t="s">
        <v>23</v>
      </c>
      <c r="I1219">
        <v>9</v>
      </c>
      <c r="J1219">
        <v>3</v>
      </c>
      <c r="K1219" t="s">
        <v>29</v>
      </c>
      <c r="L1219">
        <v>3</v>
      </c>
      <c r="M1219">
        <v>3</v>
      </c>
      <c r="N1219" s="3">
        <v>4401</v>
      </c>
      <c r="O1219" s="3" t="str">
        <f>IF(Table2[[#This Row],[MonthlyIncome]]&lt;=5000, "$1001 - $5000", IF(Table2[[#This Row],[MonthlyIncome]]&lt;=9000, "$5001 - $9000", IF(Table2[[#This Row],[MonthlyIncome]]&lt;=13000, "$9001 - $13000", IF(Table2[[#This Row],[MonthlyIncome]]&lt;=17000, "$13001 - $17000", IF(Table2[[#This Row],[MonthlyIncome]]&lt;=21000, "$17001 - $21000")))))</f>
        <v>$1001 - $5000</v>
      </c>
      <c r="P1219">
        <v>1</v>
      </c>
      <c r="Q1219">
        <v>3</v>
      </c>
      <c r="R1219">
        <v>5</v>
      </c>
      <c r="S12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20" spans="1:19" ht="14.25" x14ac:dyDescent="0.2">
      <c r="A1220">
        <v>12281953</v>
      </c>
      <c r="B1220">
        <v>41</v>
      </c>
      <c r="C1220" t="s">
        <v>25</v>
      </c>
      <c r="D1220" t="s">
        <v>19</v>
      </c>
      <c r="E1220" t="s">
        <v>22</v>
      </c>
      <c r="F1220">
        <f>IF(Table2[[#This Row],[Attrition]]="Yes", 1, 0)</f>
        <v>0</v>
      </c>
      <c r="G1220" t="s">
        <v>21</v>
      </c>
      <c r="H1220" t="s">
        <v>17</v>
      </c>
      <c r="I1220">
        <v>6</v>
      </c>
      <c r="J1220">
        <v>3</v>
      </c>
      <c r="K1220" t="s">
        <v>36</v>
      </c>
      <c r="L1220">
        <v>4</v>
      </c>
      <c r="M1220">
        <v>3</v>
      </c>
      <c r="N1220" s="3">
        <v>9241</v>
      </c>
      <c r="O1220" s="3" t="str">
        <f>IF(Table2[[#This Row],[MonthlyIncome]]&lt;=5000, "$1001 - $5000", IF(Table2[[#This Row],[MonthlyIncome]]&lt;=9000, "$5001 - $9000", IF(Table2[[#This Row],[MonthlyIncome]]&lt;=13000, "$9001 - $13000", IF(Table2[[#This Row],[MonthlyIncome]]&lt;=17000, "$13001 - $17000", IF(Table2[[#This Row],[MonthlyIncome]]&lt;=21000, "$17001 - $21000")))))</f>
        <v>$9001 - $13000</v>
      </c>
      <c r="P1220">
        <v>1</v>
      </c>
      <c r="Q1220">
        <v>3</v>
      </c>
      <c r="R1220">
        <v>10</v>
      </c>
      <c r="S12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21" spans="1:19" ht="14.25" x14ac:dyDescent="0.2">
      <c r="A1221">
        <v>86281214</v>
      </c>
      <c r="B1221">
        <v>29</v>
      </c>
      <c r="C1221" t="s">
        <v>20</v>
      </c>
      <c r="D1221" t="s">
        <v>24</v>
      </c>
      <c r="E1221" t="s">
        <v>22</v>
      </c>
      <c r="F1221">
        <f>IF(Table2[[#This Row],[Attrition]]="Yes", 1, 0)</f>
        <v>0</v>
      </c>
      <c r="G1221" t="s">
        <v>28</v>
      </c>
      <c r="H1221" t="s">
        <v>23</v>
      </c>
      <c r="I1221">
        <v>9</v>
      </c>
      <c r="J1221">
        <v>4</v>
      </c>
      <c r="K1221" t="s">
        <v>29</v>
      </c>
      <c r="L1221">
        <v>4</v>
      </c>
      <c r="M1221">
        <v>3</v>
      </c>
      <c r="N1221" s="3">
        <v>2974</v>
      </c>
      <c r="O1221" s="3" t="str">
        <f>IF(Table2[[#This Row],[MonthlyIncome]]&lt;=5000, "$1001 - $5000", IF(Table2[[#This Row],[MonthlyIncome]]&lt;=9000, "$5001 - $9000", IF(Table2[[#This Row],[MonthlyIncome]]&lt;=13000, "$9001 - $13000", IF(Table2[[#This Row],[MonthlyIncome]]&lt;=17000, "$13001 - $17000", IF(Table2[[#This Row],[MonthlyIncome]]&lt;=21000, "$17001 - $21000")))))</f>
        <v>$1001 - $5000</v>
      </c>
      <c r="P1221">
        <v>9</v>
      </c>
      <c r="Q1221">
        <v>3</v>
      </c>
      <c r="R1221">
        <v>5</v>
      </c>
      <c r="S12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22" spans="1:19" ht="14.25" x14ac:dyDescent="0.2">
      <c r="A1222">
        <v>60428429</v>
      </c>
      <c r="B1222">
        <v>36</v>
      </c>
      <c r="C1222" t="s">
        <v>20</v>
      </c>
      <c r="D1222" t="s">
        <v>19</v>
      </c>
      <c r="E1222" t="s">
        <v>22</v>
      </c>
      <c r="F1222">
        <f>IF(Table2[[#This Row],[Attrition]]="Yes", 1, 0)</f>
        <v>0</v>
      </c>
      <c r="G1222" t="s">
        <v>34</v>
      </c>
      <c r="H1222" t="s">
        <v>17</v>
      </c>
      <c r="I1222">
        <v>2</v>
      </c>
      <c r="J1222">
        <v>4</v>
      </c>
      <c r="K1222" t="s">
        <v>18</v>
      </c>
      <c r="L1222">
        <v>3</v>
      </c>
      <c r="M1222">
        <v>4</v>
      </c>
      <c r="N1222" s="3">
        <v>4502</v>
      </c>
      <c r="O1222" s="3" t="str">
        <f>IF(Table2[[#This Row],[MonthlyIncome]]&lt;=5000, "$1001 - $5000", IF(Table2[[#This Row],[MonthlyIncome]]&lt;=9000, "$5001 - $9000", IF(Table2[[#This Row],[MonthlyIncome]]&lt;=13000, "$9001 - $13000", IF(Table2[[#This Row],[MonthlyIncome]]&lt;=17000, "$13001 - $17000", IF(Table2[[#This Row],[MonthlyIncome]]&lt;=21000, "$17001 - $21000")))))</f>
        <v>$1001 - $5000</v>
      </c>
      <c r="P1222">
        <v>3</v>
      </c>
      <c r="Q1222">
        <v>2</v>
      </c>
      <c r="R1222">
        <v>13</v>
      </c>
      <c r="S12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23" spans="1:19" ht="14.25" x14ac:dyDescent="0.2">
      <c r="A1223">
        <v>37230566</v>
      </c>
      <c r="B1223">
        <v>45</v>
      </c>
      <c r="C1223" t="s">
        <v>25</v>
      </c>
      <c r="D1223" t="s">
        <v>24</v>
      </c>
      <c r="E1223" t="s">
        <v>22</v>
      </c>
      <c r="F1223">
        <f>IF(Table2[[#This Row],[Attrition]]="Yes", 1, 0)</f>
        <v>0</v>
      </c>
      <c r="G1223" t="s">
        <v>32</v>
      </c>
      <c r="H1223" t="s">
        <v>23</v>
      </c>
      <c r="I1223">
        <v>1</v>
      </c>
      <c r="J1223">
        <v>1</v>
      </c>
      <c r="K1223" t="s">
        <v>18</v>
      </c>
      <c r="L1223">
        <v>3</v>
      </c>
      <c r="M1223">
        <v>3</v>
      </c>
      <c r="N1223" s="3">
        <v>10748</v>
      </c>
      <c r="O1223" s="3" t="str">
        <f>IF(Table2[[#This Row],[MonthlyIncome]]&lt;=5000, "$1001 - $5000", IF(Table2[[#This Row],[MonthlyIncome]]&lt;=9000, "$5001 - $9000", IF(Table2[[#This Row],[MonthlyIncome]]&lt;=13000, "$9001 - $13000", IF(Table2[[#This Row],[MonthlyIncome]]&lt;=17000, "$13001 - $17000", IF(Table2[[#This Row],[MonthlyIncome]]&lt;=21000, "$17001 - $21000")))))</f>
        <v>$9001 - $13000</v>
      </c>
      <c r="P1223">
        <v>3</v>
      </c>
      <c r="Q1223">
        <v>2</v>
      </c>
      <c r="R1223">
        <v>23</v>
      </c>
      <c r="S12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224" spans="1:19" ht="14.25" x14ac:dyDescent="0.2">
      <c r="A1224">
        <v>73968184</v>
      </c>
      <c r="B1224">
        <v>24</v>
      </c>
      <c r="C1224" t="s">
        <v>25</v>
      </c>
      <c r="D1224" t="s">
        <v>24</v>
      </c>
      <c r="E1224" t="s">
        <v>16</v>
      </c>
      <c r="F1224">
        <f>IF(Table2[[#This Row],[Attrition]]="Yes", 1, 0)</f>
        <v>1</v>
      </c>
      <c r="G1224" t="s">
        <v>38</v>
      </c>
      <c r="H1224" t="s">
        <v>38</v>
      </c>
      <c r="I1224">
        <v>22</v>
      </c>
      <c r="J1224">
        <v>1</v>
      </c>
      <c r="K1224" t="s">
        <v>38</v>
      </c>
      <c r="L1224">
        <v>4</v>
      </c>
      <c r="M1224">
        <v>3</v>
      </c>
      <c r="N1224" s="3">
        <v>1555</v>
      </c>
      <c r="O1224" s="3" t="str">
        <f>IF(Table2[[#This Row],[MonthlyIncome]]&lt;=5000, "$1001 - $5000", IF(Table2[[#This Row],[MonthlyIncome]]&lt;=9000, "$5001 - $9000", IF(Table2[[#This Row],[MonthlyIncome]]&lt;=13000, "$9001 - $13000", IF(Table2[[#This Row],[MonthlyIncome]]&lt;=17000, "$13001 - $17000", IF(Table2[[#This Row],[MonthlyIncome]]&lt;=21000, "$17001 - $21000")))))</f>
        <v>$1001 - $5000</v>
      </c>
      <c r="P1224">
        <v>1</v>
      </c>
      <c r="Q1224">
        <v>3</v>
      </c>
      <c r="R1224">
        <v>1</v>
      </c>
      <c r="S12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25" spans="1:19" ht="14.25" x14ac:dyDescent="0.2">
      <c r="A1225">
        <v>43907913</v>
      </c>
      <c r="B1225">
        <v>47</v>
      </c>
      <c r="C1225" t="s">
        <v>25</v>
      </c>
      <c r="D1225" t="s">
        <v>24</v>
      </c>
      <c r="E1225" t="s">
        <v>16</v>
      </c>
      <c r="F1225">
        <f>IF(Table2[[#This Row],[Attrition]]="Yes", 1, 0)</f>
        <v>1</v>
      </c>
      <c r="G1225" t="s">
        <v>21</v>
      </c>
      <c r="H1225" t="s">
        <v>17</v>
      </c>
      <c r="I1225">
        <v>9</v>
      </c>
      <c r="J1225">
        <v>3</v>
      </c>
      <c r="K1225" t="s">
        <v>18</v>
      </c>
      <c r="L1225">
        <v>3</v>
      </c>
      <c r="M1225">
        <v>3</v>
      </c>
      <c r="N1225" s="3">
        <v>12936</v>
      </c>
      <c r="O1225" s="3" t="str">
        <f>IF(Table2[[#This Row],[MonthlyIncome]]&lt;=5000, "$1001 - $5000", IF(Table2[[#This Row],[MonthlyIncome]]&lt;=9000, "$5001 - $9000", IF(Table2[[#This Row],[MonthlyIncome]]&lt;=13000, "$9001 - $13000", IF(Table2[[#This Row],[MonthlyIncome]]&lt;=17000, "$13001 - $17000", IF(Table2[[#This Row],[MonthlyIncome]]&lt;=21000, "$17001 - $21000")))))</f>
        <v>$9001 - $13000</v>
      </c>
      <c r="P1225">
        <v>7</v>
      </c>
      <c r="Q1225">
        <v>1</v>
      </c>
      <c r="R1225">
        <v>23</v>
      </c>
      <c r="S12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226" spans="1:19" ht="14.25" x14ac:dyDescent="0.2">
      <c r="A1226">
        <v>17277496</v>
      </c>
      <c r="B1226">
        <v>26</v>
      </c>
      <c r="C1226" t="s">
        <v>25</v>
      </c>
      <c r="D1226" t="s">
        <v>24</v>
      </c>
      <c r="E1226" t="s">
        <v>22</v>
      </c>
      <c r="F1226">
        <f>IF(Table2[[#This Row],[Attrition]]="Yes", 1, 0)</f>
        <v>0</v>
      </c>
      <c r="G1226" t="s">
        <v>28</v>
      </c>
      <c r="H1226" t="s">
        <v>23</v>
      </c>
      <c r="I1226">
        <v>17</v>
      </c>
      <c r="J1226">
        <v>4</v>
      </c>
      <c r="K1226" t="s">
        <v>29</v>
      </c>
      <c r="L1226">
        <v>4</v>
      </c>
      <c r="M1226">
        <v>3</v>
      </c>
      <c r="N1226" s="3">
        <v>2305</v>
      </c>
      <c r="O1226" s="3" t="str">
        <f>IF(Table2[[#This Row],[MonthlyIncome]]&lt;=5000, "$1001 - $5000", IF(Table2[[#This Row],[MonthlyIncome]]&lt;=9000, "$5001 - $9000", IF(Table2[[#This Row],[MonthlyIncome]]&lt;=13000, "$9001 - $13000", IF(Table2[[#This Row],[MonthlyIncome]]&lt;=17000, "$13001 - $17000", IF(Table2[[#This Row],[MonthlyIncome]]&lt;=21000, "$17001 - $21000")))))</f>
        <v>$1001 - $5000</v>
      </c>
      <c r="P1226">
        <v>1</v>
      </c>
      <c r="Q1226">
        <v>4</v>
      </c>
      <c r="R1226">
        <v>3</v>
      </c>
      <c r="S12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27" spans="1:19" ht="14.25" x14ac:dyDescent="0.2">
      <c r="A1227">
        <v>12938710</v>
      </c>
      <c r="B1227">
        <v>45</v>
      </c>
      <c r="C1227" t="s">
        <v>20</v>
      </c>
      <c r="D1227" t="s">
        <v>19</v>
      </c>
      <c r="E1227" t="s">
        <v>22</v>
      </c>
      <c r="F1227">
        <f>IF(Table2[[#This Row],[Attrition]]="Yes", 1, 0)</f>
        <v>0</v>
      </c>
      <c r="G1227" t="s">
        <v>35</v>
      </c>
      <c r="H1227" t="s">
        <v>23</v>
      </c>
      <c r="I1227">
        <v>28</v>
      </c>
      <c r="J1227">
        <v>2</v>
      </c>
      <c r="K1227" t="s">
        <v>37</v>
      </c>
      <c r="L1227">
        <v>4</v>
      </c>
      <c r="M1227">
        <v>2</v>
      </c>
      <c r="N1227" s="3">
        <v>16704</v>
      </c>
      <c r="O1227" s="3" t="str">
        <f>IF(Table2[[#This Row],[MonthlyIncome]]&lt;=5000, "$1001 - $5000", IF(Table2[[#This Row],[MonthlyIncome]]&lt;=9000, "$5001 - $9000", IF(Table2[[#This Row],[MonthlyIncome]]&lt;=13000, "$9001 - $13000", IF(Table2[[#This Row],[MonthlyIncome]]&lt;=17000, "$13001 - $17000", IF(Table2[[#This Row],[MonthlyIncome]]&lt;=21000, "$17001 - $21000")))))</f>
        <v>$13001 - $17000</v>
      </c>
      <c r="P1227">
        <v>1</v>
      </c>
      <c r="Q1227">
        <v>3</v>
      </c>
      <c r="R1227">
        <v>21</v>
      </c>
      <c r="S12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228" spans="1:19" ht="14.25" x14ac:dyDescent="0.2">
      <c r="A1228">
        <v>80671851</v>
      </c>
      <c r="B1228">
        <v>32</v>
      </c>
      <c r="C1228" t="s">
        <v>25</v>
      </c>
      <c r="D1228" t="s">
        <v>24</v>
      </c>
      <c r="E1228" t="s">
        <v>22</v>
      </c>
      <c r="F1228">
        <f>IF(Table2[[#This Row],[Attrition]]="Yes", 1, 0)</f>
        <v>0</v>
      </c>
      <c r="G1228" t="s">
        <v>26</v>
      </c>
      <c r="H1228" t="s">
        <v>23</v>
      </c>
      <c r="I1228">
        <v>10</v>
      </c>
      <c r="J1228">
        <v>3</v>
      </c>
      <c r="K1228" t="s">
        <v>18</v>
      </c>
      <c r="L1228">
        <v>1</v>
      </c>
      <c r="M1228">
        <v>3</v>
      </c>
      <c r="N1228" s="3">
        <v>3433</v>
      </c>
      <c r="O1228" s="3" t="str">
        <f>IF(Table2[[#This Row],[MonthlyIncome]]&lt;=5000, "$1001 - $5000", IF(Table2[[#This Row],[MonthlyIncome]]&lt;=9000, "$5001 - $9000", IF(Table2[[#This Row],[MonthlyIncome]]&lt;=13000, "$9001 - $13000", IF(Table2[[#This Row],[MonthlyIncome]]&lt;=17000, "$13001 - $17000", IF(Table2[[#This Row],[MonthlyIncome]]&lt;=21000, "$17001 - $21000")))))</f>
        <v>$1001 - $5000</v>
      </c>
      <c r="P1228">
        <v>6</v>
      </c>
      <c r="Q1228">
        <v>2</v>
      </c>
      <c r="R1228">
        <v>5</v>
      </c>
      <c r="S12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29" spans="1:19" ht="14.25" x14ac:dyDescent="0.2">
      <c r="A1229">
        <v>69763581</v>
      </c>
      <c r="B1229">
        <v>31</v>
      </c>
      <c r="C1229" t="s">
        <v>25</v>
      </c>
      <c r="D1229" t="s">
        <v>24</v>
      </c>
      <c r="E1229" t="s">
        <v>22</v>
      </c>
      <c r="F1229">
        <f>IF(Table2[[#This Row],[Attrition]]="Yes", 1, 0)</f>
        <v>0</v>
      </c>
      <c r="G1229" t="s">
        <v>28</v>
      </c>
      <c r="H1229" t="s">
        <v>23</v>
      </c>
      <c r="I1229">
        <v>2</v>
      </c>
      <c r="J1229">
        <v>4</v>
      </c>
      <c r="K1229" t="s">
        <v>18</v>
      </c>
      <c r="L1229">
        <v>2</v>
      </c>
      <c r="M1229">
        <v>3</v>
      </c>
      <c r="N1229" s="3">
        <v>3477</v>
      </c>
      <c r="O1229" s="3" t="str">
        <f>IF(Table2[[#This Row],[MonthlyIncome]]&lt;=5000, "$1001 - $5000", IF(Table2[[#This Row],[MonthlyIncome]]&lt;=9000, "$5001 - $9000", IF(Table2[[#This Row],[MonthlyIncome]]&lt;=13000, "$9001 - $13000", IF(Table2[[#This Row],[MonthlyIncome]]&lt;=17000, "$13001 - $17000", IF(Table2[[#This Row],[MonthlyIncome]]&lt;=21000, "$17001 - $21000")))))</f>
        <v>$1001 - $5000</v>
      </c>
      <c r="P1229">
        <v>1</v>
      </c>
      <c r="Q1229">
        <v>4</v>
      </c>
      <c r="R1229">
        <v>5</v>
      </c>
      <c r="S12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30" spans="1:19" ht="14.25" x14ac:dyDescent="0.2">
      <c r="A1230">
        <v>43317897</v>
      </c>
      <c r="B1230">
        <v>41</v>
      </c>
      <c r="C1230" t="s">
        <v>25</v>
      </c>
      <c r="D1230" t="s">
        <v>24</v>
      </c>
      <c r="E1230" t="s">
        <v>22</v>
      </c>
      <c r="F1230">
        <f>IF(Table2[[#This Row],[Attrition]]="Yes", 1, 0)</f>
        <v>0</v>
      </c>
      <c r="G1230" t="s">
        <v>38</v>
      </c>
      <c r="H1230" t="s">
        <v>38</v>
      </c>
      <c r="I1230">
        <v>4</v>
      </c>
      <c r="J1230">
        <v>3</v>
      </c>
      <c r="K1230" t="s">
        <v>38</v>
      </c>
      <c r="L1230">
        <v>3</v>
      </c>
      <c r="M1230">
        <v>2</v>
      </c>
      <c r="N1230" s="3">
        <v>6430</v>
      </c>
      <c r="O1230" s="3" t="str">
        <f>IF(Table2[[#This Row],[MonthlyIncome]]&lt;=5000, "$1001 - $5000", IF(Table2[[#This Row],[MonthlyIncome]]&lt;=9000, "$5001 - $9000", IF(Table2[[#This Row],[MonthlyIncome]]&lt;=13000, "$9001 - $13000", IF(Table2[[#This Row],[MonthlyIncome]]&lt;=17000, "$13001 - $17000", IF(Table2[[#This Row],[MonthlyIncome]]&lt;=21000, "$17001 - $21000")))))</f>
        <v>$5001 - $9000</v>
      </c>
      <c r="P1230">
        <v>6</v>
      </c>
      <c r="Q1230">
        <v>3</v>
      </c>
      <c r="R1230">
        <v>3</v>
      </c>
      <c r="S12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31" spans="1:19" ht="14.25" x14ac:dyDescent="0.2">
      <c r="A1231">
        <v>29341766</v>
      </c>
      <c r="B1231">
        <v>40</v>
      </c>
      <c r="C1231" t="s">
        <v>20</v>
      </c>
      <c r="D1231" t="s">
        <v>24</v>
      </c>
      <c r="E1231" t="s">
        <v>22</v>
      </c>
      <c r="F1231">
        <f>IF(Table2[[#This Row],[Attrition]]="Yes", 1, 0)</f>
        <v>0</v>
      </c>
      <c r="G1231" t="s">
        <v>31</v>
      </c>
      <c r="H1231" t="s">
        <v>23</v>
      </c>
      <c r="I1231">
        <v>8</v>
      </c>
      <c r="J1231">
        <v>2</v>
      </c>
      <c r="K1231" t="s">
        <v>18</v>
      </c>
      <c r="L1231">
        <v>2</v>
      </c>
      <c r="M1231">
        <v>1</v>
      </c>
      <c r="N1231" s="3">
        <v>6516</v>
      </c>
      <c r="O1231" s="3" t="str">
        <f>IF(Table2[[#This Row],[MonthlyIncome]]&lt;=5000, "$1001 - $5000", IF(Table2[[#This Row],[MonthlyIncome]]&lt;=9000, "$5001 - $9000", IF(Table2[[#This Row],[MonthlyIncome]]&lt;=13000, "$9001 - $13000", IF(Table2[[#This Row],[MonthlyIncome]]&lt;=17000, "$13001 - $17000", IF(Table2[[#This Row],[MonthlyIncome]]&lt;=21000, "$17001 - $21000")))))</f>
        <v>$5001 - $9000</v>
      </c>
      <c r="P1231">
        <v>2</v>
      </c>
      <c r="Q1231">
        <v>3</v>
      </c>
      <c r="R1231">
        <v>1</v>
      </c>
      <c r="S12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32" spans="1:19" ht="14.25" x14ac:dyDescent="0.2">
      <c r="A1232">
        <v>51170581</v>
      </c>
      <c r="B1232">
        <v>24</v>
      </c>
      <c r="C1232" t="s">
        <v>25</v>
      </c>
      <c r="D1232" t="s">
        <v>30</v>
      </c>
      <c r="E1232" t="s">
        <v>22</v>
      </c>
      <c r="F1232">
        <f>IF(Table2[[#This Row],[Attrition]]="Yes", 1, 0)</f>
        <v>0</v>
      </c>
      <c r="G1232" t="s">
        <v>28</v>
      </c>
      <c r="H1232" t="s">
        <v>23</v>
      </c>
      <c r="I1232">
        <v>29</v>
      </c>
      <c r="J1232">
        <v>1</v>
      </c>
      <c r="K1232" t="s">
        <v>29</v>
      </c>
      <c r="L1232">
        <v>2</v>
      </c>
      <c r="M1232">
        <v>1</v>
      </c>
      <c r="N1232" s="3">
        <v>3907</v>
      </c>
      <c r="O1232" s="3" t="str">
        <f>IF(Table2[[#This Row],[MonthlyIncome]]&lt;=5000, "$1001 - $5000", IF(Table2[[#This Row],[MonthlyIncome]]&lt;=9000, "$5001 - $9000", IF(Table2[[#This Row],[MonthlyIncome]]&lt;=13000, "$9001 - $13000", IF(Table2[[#This Row],[MonthlyIncome]]&lt;=17000, "$13001 - $17000", IF(Table2[[#This Row],[MonthlyIncome]]&lt;=21000, "$17001 - $21000")))))</f>
        <v>$1001 - $5000</v>
      </c>
      <c r="P1232">
        <v>1</v>
      </c>
      <c r="Q1232">
        <v>4</v>
      </c>
      <c r="R1232">
        <v>6</v>
      </c>
      <c r="S12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33" spans="1:19" ht="14.25" x14ac:dyDescent="0.2">
      <c r="A1233">
        <v>28257227</v>
      </c>
      <c r="B1233">
        <v>46</v>
      </c>
      <c r="C1233" t="s">
        <v>25</v>
      </c>
      <c r="D1233" t="s">
        <v>19</v>
      </c>
      <c r="E1233" t="s">
        <v>22</v>
      </c>
      <c r="F1233">
        <f>IF(Table2[[#This Row],[Attrition]]="Yes", 1, 0)</f>
        <v>0</v>
      </c>
      <c r="G1233" t="s">
        <v>32</v>
      </c>
      <c r="H1233" t="s">
        <v>23</v>
      </c>
      <c r="I1233">
        <v>13</v>
      </c>
      <c r="J1233">
        <v>4</v>
      </c>
      <c r="K1233" t="s">
        <v>18</v>
      </c>
      <c r="L1233">
        <v>3</v>
      </c>
      <c r="M1233">
        <v>2</v>
      </c>
      <c r="N1233" s="3">
        <v>5562</v>
      </c>
      <c r="O1233" s="3" t="str">
        <f>IF(Table2[[#This Row],[MonthlyIncome]]&lt;=5000, "$1001 - $5000", IF(Table2[[#This Row],[MonthlyIncome]]&lt;=9000, "$5001 - $9000", IF(Table2[[#This Row],[MonthlyIncome]]&lt;=13000, "$9001 - $13000", IF(Table2[[#This Row],[MonthlyIncome]]&lt;=17000, "$13001 - $17000", IF(Table2[[#This Row],[MonthlyIncome]]&lt;=21000, "$17001 - $21000")))))</f>
        <v>$5001 - $9000</v>
      </c>
      <c r="P1233">
        <v>6</v>
      </c>
      <c r="Q1233">
        <v>3</v>
      </c>
      <c r="R1233">
        <v>10</v>
      </c>
      <c r="S12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34" spans="1:19" ht="14.25" x14ac:dyDescent="0.2">
      <c r="A1234">
        <v>22832553</v>
      </c>
      <c r="B1234">
        <v>35</v>
      </c>
      <c r="C1234" t="s">
        <v>25</v>
      </c>
      <c r="D1234" t="s">
        <v>24</v>
      </c>
      <c r="E1234" t="s">
        <v>22</v>
      </c>
      <c r="F1234">
        <f>IF(Table2[[#This Row],[Attrition]]="Yes", 1, 0)</f>
        <v>0</v>
      </c>
      <c r="G1234" t="s">
        <v>31</v>
      </c>
      <c r="H1234" t="s">
        <v>23</v>
      </c>
      <c r="I1234">
        <v>27</v>
      </c>
      <c r="J1234">
        <v>4</v>
      </c>
      <c r="K1234" t="s">
        <v>18</v>
      </c>
      <c r="L1234">
        <v>4</v>
      </c>
      <c r="M1234">
        <v>3</v>
      </c>
      <c r="N1234" s="3">
        <v>6883</v>
      </c>
      <c r="O1234" s="3" t="str">
        <f>IF(Table2[[#This Row],[MonthlyIncome]]&lt;=5000, "$1001 - $5000", IF(Table2[[#This Row],[MonthlyIncome]]&lt;=9000, "$5001 - $9000", IF(Table2[[#This Row],[MonthlyIncome]]&lt;=13000, "$9001 - $13000", IF(Table2[[#This Row],[MonthlyIncome]]&lt;=17000, "$13001 - $17000", IF(Table2[[#This Row],[MonthlyIncome]]&lt;=21000, "$17001 - $21000")))))</f>
        <v>$5001 - $9000</v>
      </c>
      <c r="P1234">
        <v>2</v>
      </c>
      <c r="Q1234">
        <v>3</v>
      </c>
      <c r="R1234">
        <v>7</v>
      </c>
      <c r="S12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35" spans="1:19" ht="14.25" x14ac:dyDescent="0.2">
      <c r="A1235">
        <v>73763690</v>
      </c>
      <c r="B1235">
        <v>30</v>
      </c>
      <c r="C1235" t="s">
        <v>25</v>
      </c>
      <c r="D1235" t="s">
        <v>24</v>
      </c>
      <c r="E1235" t="s">
        <v>22</v>
      </c>
      <c r="F1235">
        <f>IF(Table2[[#This Row],[Attrition]]="Yes", 1, 0)</f>
        <v>0</v>
      </c>
      <c r="G1235" t="s">
        <v>26</v>
      </c>
      <c r="H1235" t="s">
        <v>23</v>
      </c>
      <c r="I1235">
        <v>16</v>
      </c>
      <c r="J1235">
        <v>1</v>
      </c>
      <c r="K1235" t="s">
        <v>18</v>
      </c>
      <c r="L1235">
        <v>2</v>
      </c>
      <c r="M1235">
        <v>4</v>
      </c>
      <c r="N1235" s="3">
        <v>2862</v>
      </c>
      <c r="O1235" s="3" t="str">
        <f>IF(Table2[[#This Row],[MonthlyIncome]]&lt;=5000, "$1001 - $5000", IF(Table2[[#This Row],[MonthlyIncome]]&lt;=9000, "$5001 - $9000", IF(Table2[[#This Row],[MonthlyIncome]]&lt;=13000, "$9001 - $13000", IF(Table2[[#This Row],[MonthlyIncome]]&lt;=17000, "$13001 - $17000", IF(Table2[[#This Row],[MonthlyIncome]]&lt;=21000, "$17001 - $21000")))))</f>
        <v>$1001 - $5000</v>
      </c>
      <c r="P1235">
        <v>1</v>
      </c>
      <c r="Q1235">
        <v>2</v>
      </c>
      <c r="R1235">
        <v>10</v>
      </c>
      <c r="S12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36" spans="1:19" ht="14.25" x14ac:dyDescent="0.2">
      <c r="A1236">
        <v>35873819</v>
      </c>
      <c r="B1236">
        <v>47</v>
      </c>
      <c r="C1236" t="s">
        <v>25</v>
      </c>
      <c r="D1236" t="s">
        <v>24</v>
      </c>
      <c r="E1236" t="s">
        <v>22</v>
      </c>
      <c r="F1236">
        <f>IF(Table2[[#This Row],[Attrition]]="Yes", 1, 0)</f>
        <v>0</v>
      </c>
      <c r="G1236" t="s">
        <v>21</v>
      </c>
      <c r="H1236" t="s">
        <v>17</v>
      </c>
      <c r="I1236">
        <v>2</v>
      </c>
      <c r="J1236">
        <v>4</v>
      </c>
      <c r="K1236" t="s">
        <v>36</v>
      </c>
      <c r="L1236">
        <v>3</v>
      </c>
      <c r="M1236">
        <v>2</v>
      </c>
      <c r="N1236" s="3">
        <v>4978</v>
      </c>
      <c r="O1236" s="3" t="str">
        <f>IF(Table2[[#This Row],[MonthlyIncome]]&lt;=5000, "$1001 - $5000", IF(Table2[[#This Row],[MonthlyIncome]]&lt;=9000, "$5001 - $9000", IF(Table2[[#This Row],[MonthlyIncome]]&lt;=13000, "$9001 - $13000", IF(Table2[[#This Row],[MonthlyIncome]]&lt;=17000, "$13001 - $17000", IF(Table2[[#This Row],[MonthlyIncome]]&lt;=21000, "$17001 - $21000")))))</f>
        <v>$1001 - $5000</v>
      </c>
      <c r="P1236">
        <v>7</v>
      </c>
      <c r="Q1236">
        <v>1</v>
      </c>
      <c r="R1236">
        <v>1</v>
      </c>
      <c r="S12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37" spans="1:19" ht="14.25" x14ac:dyDescent="0.2">
      <c r="A1237">
        <v>87228738</v>
      </c>
      <c r="B1237">
        <v>46</v>
      </c>
      <c r="C1237" t="s">
        <v>25</v>
      </c>
      <c r="D1237" t="s">
        <v>30</v>
      </c>
      <c r="E1237" t="s">
        <v>22</v>
      </c>
      <c r="F1237">
        <f>IF(Table2[[#This Row],[Attrition]]="Yes", 1, 0)</f>
        <v>0</v>
      </c>
      <c r="G1237" t="s">
        <v>21</v>
      </c>
      <c r="H1237" t="s">
        <v>17</v>
      </c>
      <c r="I1237">
        <v>2</v>
      </c>
      <c r="J1237">
        <v>3</v>
      </c>
      <c r="K1237" t="s">
        <v>18</v>
      </c>
      <c r="L1237">
        <v>3</v>
      </c>
      <c r="M1237">
        <v>4</v>
      </c>
      <c r="N1237" s="3">
        <v>10368</v>
      </c>
      <c r="O1237" s="3" t="str">
        <f>IF(Table2[[#This Row],[MonthlyIncome]]&lt;=5000, "$1001 - $5000", IF(Table2[[#This Row],[MonthlyIncome]]&lt;=9000, "$5001 - $9000", IF(Table2[[#This Row],[MonthlyIncome]]&lt;=13000, "$9001 - $13000", IF(Table2[[#This Row],[MonthlyIncome]]&lt;=17000, "$13001 - $17000", IF(Table2[[#This Row],[MonthlyIncome]]&lt;=21000, "$17001 - $21000")))))</f>
        <v>$9001 - $13000</v>
      </c>
      <c r="P1237">
        <v>4</v>
      </c>
      <c r="Q1237">
        <v>2</v>
      </c>
      <c r="R1237">
        <v>10</v>
      </c>
      <c r="S12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38" spans="1:19" ht="14.25" x14ac:dyDescent="0.2">
      <c r="A1238">
        <v>24820528</v>
      </c>
      <c r="B1238">
        <v>36</v>
      </c>
      <c r="C1238" t="s">
        <v>25</v>
      </c>
      <c r="D1238" t="s">
        <v>30</v>
      </c>
      <c r="E1238" t="s">
        <v>16</v>
      </c>
      <c r="F1238">
        <f>IF(Table2[[#This Row],[Attrition]]="Yes", 1, 0)</f>
        <v>1</v>
      </c>
      <c r="G1238" t="s">
        <v>21</v>
      </c>
      <c r="H1238" t="s">
        <v>17</v>
      </c>
      <c r="I1238">
        <v>13</v>
      </c>
      <c r="J1238">
        <v>5</v>
      </c>
      <c r="K1238" t="s">
        <v>36</v>
      </c>
      <c r="L1238">
        <v>2</v>
      </c>
      <c r="M1238">
        <v>1</v>
      </c>
      <c r="N1238" s="3">
        <v>6134</v>
      </c>
      <c r="O1238" s="3" t="str">
        <f>IF(Table2[[#This Row],[MonthlyIncome]]&lt;=5000, "$1001 - $5000", IF(Table2[[#This Row],[MonthlyIncome]]&lt;=9000, "$5001 - $9000", IF(Table2[[#This Row],[MonthlyIncome]]&lt;=13000, "$9001 - $13000", IF(Table2[[#This Row],[MonthlyIncome]]&lt;=17000, "$13001 - $17000", IF(Table2[[#This Row],[MonthlyIncome]]&lt;=21000, "$17001 - $21000")))))</f>
        <v>$5001 - $9000</v>
      </c>
      <c r="P1238">
        <v>5</v>
      </c>
      <c r="Q1238">
        <v>3</v>
      </c>
      <c r="R1238">
        <v>2</v>
      </c>
      <c r="S12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39" spans="1:19" ht="14.25" x14ac:dyDescent="0.2">
      <c r="A1239">
        <v>49127499</v>
      </c>
      <c r="B1239">
        <v>32</v>
      </c>
      <c r="C1239" t="s">
        <v>25</v>
      </c>
      <c r="D1239" t="s">
        <v>19</v>
      </c>
      <c r="E1239" t="s">
        <v>16</v>
      </c>
      <c r="F1239">
        <f>IF(Table2[[#This Row],[Attrition]]="Yes", 1, 0)</f>
        <v>1</v>
      </c>
      <c r="G1239" t="s">
        <v>21</v>
      </c>
      <c r="H1239" t="s">
        <v>17</v>
      </c>
      <c r="I1239">
        <v>1</v>
      </c>
      <c r="J1239">
        <v>2</v>
      </c>
      <c r="K1239" t="s">
        <v>18</v>
      </c>
      <c r="L1239">
        <v>1</v>
      </c>
      <c r="M1239">
        <v>2</v>
      </c>
      <c r="N1239" s="3">
        <v>6735</v>
      </c>
      <c r="O1239" s="3" t="str">
        <f>IF(Table2[[#This Row],[MonthlyIncome]]&lt;=5000, "$1001 - $5000", IF(Table2[[#This Row],[MonthlyIncome]]&lt;=9000, "$5001 - $9000", IF(Table2[[#This Row],[MonthlyIncome]]&lt;=13000, "$9001 - $13000", IF(Table2[[#This Row],[MonthlyIncome]]&lt;=17000, "$13001 - $17000", IF(Table2[[#This Row],[MonthlyIncome]]&lt;=21000, "$17001 - $21000")))))</f>
        <v>$5001 - $9000</v>
      </c>
      <c r="P1239">
        <v>6</v>
      </c>
      <c r="Q1239">
        <v>3</v>
      </c>
      <c r="R1239">
        <v>0</v>
      </c>
      <c r="S12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40" spans="1:19" ht="14.25" x14ac:dyDescent="0.2">
      <c r="A1240">
        <v>14364986</v>
      </c>
      <c r="B1240">
        <v>23</v>
      </c>
      <c r="C1240" t="s">
        <v>20</v>
      </c>
      <c r="D1240" t="s">
        <v>19</v>
      </c>
      <c r="E1240" t="s">
        <v>22</v>
      </c>
      <c r="F1240">
        <f>IF(Table2[[#This Row],[Attrition]]="Yes", 1, 0)</f>
        <v>0</v>
      </c>
      <c r="G1240" t="s">
        <v>28</v>
      </c>
      <c r="H1240" t="s">
        <v>23</v>
      </c>
      <c r="I1240">
        <v>4</v>
      </c>
      <c r="J1240">
        <v>1</v>
      </c>
      <c r="K1240" t="s">
        <v>29</v>
      </c>
      <c r="L1240">
        <v>3</v>
      </c>
      <c r="M1240">
        <v>2</v>
      </c>
      <c r="N1240" s="3">
        <v>3295</v>
      </c>
      <c r="O1240" s="3" t="str">
        <f>IF(Table2[[#This Row],[MonthlyIncome]]&lt;=5000, "$1001 - $5000", IF(Table2[[#This Row],[MonthlyIncome]]&lt;=9000, "$5001 - $9000", IF(Table2[[#This Row],[MonthlyIncome]]&lt;=13000, "$9001 - $13000", IF(Table2[[#This Row],[MonthlyIncome]]&lt;=17000, "$13001 - $17000", IF(Table2[[#This Row],[MonthlyIncome]]&lt;=21000, "$17001 - $21000")))))</f>
        <v>$1001 - $5000</v>
      </c>
      <c r="P1240">
        <v>1</v>
      </c>
      <c r="Q1240">
        <v>1</v>
      </c>
      <c r="R1240">
        <v>3</v>
      </c>
      <c r="S12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41" spans="1:19" ht="14.25" x14ac:dyDescent="0.2">
      <c r="A1241">
        <v>73749406</v>
      </c>
      <c r="B1241">
        <v>31</v>
      </c>
      <c r="C1241" t="s">
        <v>20</v>
      </c>
      <c r="D1241" t="s">
        <v>19</v>
      </c>
      <c r="E1241" t="s">
        <v>22</v>
      </c>
      <c r="F1241">
        <f>IF(Table2[[#This Row],[Attrition]]="Yes", 1, 0)</f>
        <v>0</v>
      </c>
      <c r="G1241" t="s">
        <v>31</v>
      </c>
      <c r="H1241" t="s">
        <v>23</v>
      </c>
      <c r="I1241">
        <v>24</v>
      </c>
      <c r="J1241">
        <v>1</v>
      </c>
      <c r="K1241" t="s">
        <v>37</v>
      </c>
      <c r="L1241">
        <v>4</v>
      </c>
      <c r="M1241">
        <v>4</v>
      </c>
      <c r="N1241" s="3">
        <v>5238</v>
      </c>
      <c r="O1241" s="3" t="str">
        <f>IF(Table2[[#This Row],[MonthlyIncome]]&lt;=5000, "$1001 - $5000", IF(Table2[[#This Row],[MonthlyIncome]]&lt;=9000, "$5001 - $9000", IF(Table2[[#This Row],[MonthlyIncome]]&lt;=13000, "$9001 - $13000", IF(Table2[[#This Row],[MonthlyIncome]]&lt;=17000, "$13001 - $17000", IF(Table2[[#This Row],[MonthlyIncome]]&lt;=21000, "$17001 - $21000")))))</f>
        <v>$5001 - $9000</v>
      </c>
      <c r="P1241">
        <v>2</v>
      </c>
      <c r="Q1241">
        <v>2</v>
      </c>
      <c r="R1241">
        <v>5</v>
      </c>
      <c r="S12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42" spans="1:19" ht="14.25" x14ac:dyDescent="0.2">
      <c r="A1242">
        <v>30056059</v>
      </c>
      <c r="B1242">
        <v>39</v>
      </c>
      <c r="C1242" t="s">
        <v>25</v>
      </c>
      <c r="D1242" t="s">
        <v>24</v>
      </c>
      <c r="E1242" t="s">
        <v>22</v>
      </c>
      <c r="F1242">
        <f>IF(Table2[[#This Row],[Attrition]]="Yes", 1, 0)</f>
        <v>0</v>
      </c>
      <c r="G1242" t="s">
        <v>28</v>
      </c>
      <c r="H1242" t="s">
        <v>23</v>
      </c>
      <c r="I1242">
        <v>1</v>
      </c>
      <c r="J1242">
        <v>3</v>
      </c>
      <c r="K1242" t="s">
        <v>18</v>
      </c>
      <c r="L1242">
        <v>4</v>
      </c>
      <c r="M1242">
        <v>4</v>
      </c>
      <c r="N1242" s="3">
        <v>6472</v>
      </c>
      <c r="O1242" s="3" t="str">
        <f>IF(Table2[[#This Row],[MonthlyIncome]]&lt;=5000, "$1001 - $5000", IF(Table2[[#This Row],[MonthlyIncome]]&lt;=9000, "$5001 - $9000", IF(Table2[[#This Row],[MonthlyIncome]]&lt;=13000, "$9001 - $13000", IF(Table2[[#This Row],[MonthlyIncome]]&lt;=17000, "$13001 - $17000", IF(Table2[[#This Row],[MonthlyIncome]]&lt;=21000, "$17001 - $21000")))))</f>
        <v>$5001 - $9000</v>
      </c>
      <c r="P1242">
        <v>1</v>
      </c>
      <c r="Q1242">
        <v>3</v>
      </c>
      <c r="R1242">
        <v>9</v>
      </c>
      <c r="S12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43" spans="1:19" ht="14.25" x14ac:dyDescent="0.2">
      <c r="A1243">
        <v>50634072</v>
      </c>
      <c r="B1243">
        <v>32</v>
      </c>
      <c r="C1243" t="s">
        <v>25</v>
      </c>
      <c r="D1243" t="s">
        <v>24</v>
      </c>
      <c r="E1243" t="s">
        <v>22</v>
      </c>
      <c r="F1243">
        <f>IF(Table2[[#This Row],[Attrition]]="Yes", 1, 0)</f>
        <v>0</v>
      </c>
      <c r="G1243" t="s">
        <v>21</v>
      </c>
      <c r="H1243" t="s">
        <v>17</v>
      </c>
      <c r="I1243">
        <v>19</v>
      </c>
      <c r="J1243">
        <v>3</v>
      </c>
      <c r="K1243" t="s">
        <v>18</v>
      </c>
      <c r="L1243">
        <v>4</v>
      </c>
      <c r="M1243">
        <v>3</v>
      </c>
      <c r="N1243" s="3">
        <v>9610</v>
      </c>
      <c r="O1243" s="3" t="str">
        <f>IF(Table2[[#This Row],[MonthlyIncome]]&lt;=5000, "$1001 - $5000", IF(Table2[[#This Row],[MonthlyIncome]]&lt;=9000, "$5001 - $9000", IF(Table2[[#This Row],[MonthlyIncome]]&lt;=13000, "$9001 - $13000", IF(Table2[[#This Row],[MonthlyIncome]]&lt;=17000, "$13001 - $17000", IF(Table2[[#This Row],[MonthlyIncome]]&lt;=21000, "$17001 - $21000")))))</f>
        <v>$9001 - $13000</v>
      </c>
      <c r="P1243">
        <v>3</v>
      </c>
      <c r="Q1243">
        <v>1</v>
      </c>
      <c r="R1243">
        <v>4</v>
      </c>
      <c r="S12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44" spans="1:19" ht="14.25" x14ac:dyDescent="0.2">
      <c r="A1244">
        <v>71687572</v>
      </c>
      <c r="B1244">
        <v>40</v>
      </c>
      <c r="C1244" t="s">
        <v>25</v>
      </c>
      <c r="D1244" t="s">
        <v>19</v>
      </c>
      <c r="E1244" t="s">
        <v>22</v>
      </c>
      <c r="F1244">
        <f>IF(Table2[[#This Row],[Attrition]]="Yes", 1, 0)</f>
        <v>0</v>
      </c>
      <c r="G1244" t="s">
        <v>33</v>
      </c>
      <c r="H1244" t="s">
        <v>17</v>
      </c>
      <c r="I1244">
        <v>7</v>
      </c>
      <c r="J1244">
        <v>4</v>
      </c>
      <c r="K1244" t="s">
        <v>29</v>
      </c>
      <c r="L1244">
        <v>2</v>
      </c>
      <c r="M1244">
        <v>2</v>
      </c>
      <c r="N1244" s="3">
        <v>19833</v>
      </c>
      <c r="O1244" s="3" t="str">
        <f>IF(Table2[[#This Row],[MonthlyIncome]]&lt;=5000, "$1001 - $5000", IF(Table2[[#This Row],[MonthlyIncome]]&lt;=9000, "$5001 - $9000", IF(Table2[[#This Row],[MonthlyIncome]]&lt;=13000, "$9001 - $13000", IF(Table2[[#This Row],[MonthlyIncome]]&lt;=17000, "$13001 - $17000", IF(Table2[[#This Row],[MonthlyIncome]]&lt;=21000, "$17001 - $21000")))))</f>
        <v>$17001 - $21000</v>
      </c>
      <c r="P1244">
        <v>1</v>
      </c>
      <c r="Q1244">
        <v>2</v>
      </c>
      <c r="R1244">
        <v>21</v>
      </c>
      <c r="S12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245" spans="1:19" ht="14.25" x14ac:dyDescent="0.2">
      <c r="A1245">
        <v>55944495</v>
      </c>
      <c r="B1245">
        <v>45</v>
      </c>
      <c r="C1245" t="s">
        <v>20</v>
      </c>
      <c r="D1245" t="s">
        <v>24</v>
      </c>
      <c r="E1245" t="s">
        <v>22</v>
      </c>
      <c r="F1245">
        <f>IF(Table2[[#This Row],[Attrition]]="Yes", 1, 0)</f>
        <v>0</v>
      </c>
      <c r="G1245" t="s">
        <v>38</v>
      </c>
      <c r="H1245" t="s">
        <v>38</v>
      </c>
      <c r="I1245">
        <v>4</v>
      </c>
      <c r="J1245">
        <v>3</v>
      </c>
      <c r="K1245" t="s">
        <v>18</v>
      </c>
      <c r="L1245">
        <v>3</v>
      </c>
      <c r="M1245">
        <v>3</v>
      </c>
      <c r="N1245" s="3">
        <v>9756</v>
      </c>
      <c r="O1245" s="3" t="str">
        <f>IF(Table2[[#This Row],[MonthlyIncome]]&lt;=5000, "$1001 - $5000", IF(Table2[[#This Row],[MonthlyIncome]]&lt;=9000, "$5001 - $9000", IF(Table2[[#This Row],[MonthlyIncome]]&lt;=13000, "$9001 - $13000", IF(Table2[[#This Row],[MonthlyIncome]]&lt;=17000, "$13001 - $17000", IF(Table2[[#This Row],[MonthlyIncome]]&lt;=21000, "$17001 - $21000")))))</f>
        <v>$9001 - $13000</v>
      </c>
      <c r="P1245">
        <v>4</v>
      </c>
      <c r="Q1245">
        <v>4</v>
      </c>
      <c r="R1245">
        <v>5</v>
      </c>
      <c r="S12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46" spans="1:19" ht="14.25" x14ac:dyDescent="0.2">
      <c r="A1246">
        <v>36706029</v>
      </c>
      <c r="B1246">
        <v>30</v>
      </c>
      <c r="C1246" t="s">
        <v>20</v>
      </c>
      <c r="D1246" t="s">
        <v>19</v>
      </c>
      <c r="E1246" t="s">
        <v>22</v>
      </c>
      <c r="F1246">
        <f>IF(Table2[[#This Row],[Attrition]]="Yes", 1, 0)</f>
        <v>0</v>
      </c>
      <c r="G1246" t="s">
        <v>26</v>
      </c>
      <c r="H1246" t="s">
        <v>23</v>
      </c>
      <c r="I1246">
        <v>2</v>
      </c>
      <c r="J1246">
        <v>4</v>
      </c>
      <c r="K1246" t="s">
        <v>37</v>
      </c>
      <c r="L1246">
        <v>4</v>
      </c>
      <c r="M1246">
        <v>1</v>
      </c>
      <c r="N1246" s="3">
        <v>4968</v>
      </c>
      <c r="O1246" s="3" t="str">
        <f>IF(Table2[[#This Row],[MonthlyIncome]]&lt;=5000, "$1001 - $5000", IF(Table2[[#This Row],[MonthlyIncome]]&lt;=9000, "$5001 - $9000", IF(Table2[[#This Row],[MonthlyIncome]]&lt;=13000, "$9001 - $13000", IF(Table2[[#This Row],[MonthlyIncome]]&lt;=17000, "$13001 - $17000", IF(Table2[[#This Row],[MonthlyIncome]]&lt;=21000, "$17001 - $21000")))))</f>
        <v>$1001 - $5000</v>
      </c>
      <c r="P1246">
        <v>0</v>
      </c>
      <c r="Q1246">
        <v>3</v>
      </c>
      <c r="R1246">
        <v>9</v>
      </c>
      <c r="S12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47" spans="1:19" ht="14.25" x14ac:dyDescent="0.2">
      <c r="A1247">
        <v>85809768</v>
      </c>
      <c r="B1247">
        <v>24</v>
      </c>
      <c r="C1247" t="s">
        <v>25</v>
      </c>
      <c r="D1247" t="s">
        <v>24</v>
      </c>
      <c r="E1247" t="s">
        <v>22</v>
      </c>
      <c r="F1247">
        <f>IF(Table2[[#This Row],[Attrition]]="Yes", 1, 0)</f>
        <v>0</v>
      </c>
      <c r="G1247" t="s">
        <v>38</v>
      </c>
      <c r="H1247" t="s">
        <v>38</v>
      </c>
      <c r="I1247">
        <v>10</v>
      </c>
      <c r="J1247">
        <v>3</v>
      </c>
      <c r="K1247" t="s">
        <v>29</v>
      </c>
      <c r="L1247">
        <v>1</v>
      </c>
      <c r="M1247">
        <v>4</v>
      </c>
      <c r="N1247" s="3">
        <v>2145</v>
      </c>
      <c r="O1247" s="3" t="str">
        <f>IF(Table2[[#This Row],[MonthlyIncome]]&lt;=5000, "$1001 - $5000", IF(Table2[[#This Row],[MonthlyIncome]]&lt;=9000, "$5001 - $9000", IF(Table2[[#This Row],[MonthlyIncome]]&lt;=13000, "$9001 - $13000", IF(Table2[[#This Row],[MonthlyIncome]]&lt;=17000, "$13001 - $17000", IF(Table2[[#This Row],[MonthlyIncome]]&lt;=21000, "$17001 - $21000")))))</f>
        <v>$1001 - $5000</v>
      </c>
      <c r="P1247">
        <v>0</v>
      </c>
      <c r="Q1247">
        <v>3</v>
      </c>
      <c r="R1247">
        <v>2</v>
      </c>
      <c r="S12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48" spans="1:19" ht="14.25" x14ac:dyDescent="0.2">
      <c r="A1248">
        <v>73426228</v>
      </c>
      <c r="B1248">
        <v>30</v>
      </c>
      <c r="C1248" t="s">
        <v>20</v>
      </c>
      <c r="D1248" t="s">
        <v>30</v>
      </c>
      <c r="E1248" t="s">
        <v>16</v>
      </c>
      <c r="F1248">
        <f>IF(Table2[[#This Row],[Attrition]]="Yes", 1, 0)</f>
        <v>1</v>
      </c>
      <c r="G1248" t="s">
        <v>38</v>
      </c>
      <c r="H1248" t="s">
        <v>38</v>
      </c>
      <c r="I1248">
        <v>8</v>
      </c>
      <c r="J1248">
        <v>3</v>
      </c>
      <c r="K1248" t="s">
        <v>38</v>
      </c>
      <c r="L1248">
        <v>3</v>
      </c>
      <c r="M1248">
        <v>4</v>
      </c>
      <c r="N1248" s="3">
        <v>2180</v>
      </c>
      <c r="O1248" s="3" t="str">
        <f>IF(Table2[[#This Row],[MonthlyIncome]]&lt;=5000, "$1001 - $5000", IF(Table2[[#This Row],[MonthlyIncome]]&lt;=9000, "$5001 - $9000", IF(Table2[[#This Row],[MonthlyIncome]]&lt;=13000, "$9001 - $13000", IF(Table2[[#This Row],[MonthlyIncome]]&lt;=17000, "$13001 - $17000", IF(Table2[[#This Row],[MonthlyIncome]]&lt;=21000, "$17001 - $21000")))))</f>
        <v>$1001 - $5000</v>
      </c>
      <c r="P1248">
        <v>6</v>
      </c>
      <c r="Q1248">
        <v>2</v>
      </c>
      <c r="R1248">
        <v>4</v>
      </c>
      <c r="S12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49" spans="1:19" ht="14.25" x14ac:dyDescent="0.2">
      <c r="A1249">
        <v>55685805</v>
      </c>
      <c r="B1249">
        <v>31</v>
      </c>
      <c r="C1249" t="s">
        <v>25</v>
      </c>
      <c r="D1249" t="s">
        <v>24</v>
      </c>
      <c r="E1249" t="s">
        <v>22</v>
      </c>
      <c r="F1249">
        <f>IF(Table2[[#This Row],[Attrition]]="Yes", 1, 0)</f>
        <v>0</v>
      </c>
      <c r="G1249" t="s">
        <v>21</v>
      </c>
      <c r="H1249" t="s">
        <v>17</v>
      </c>
      <c r="I1249">
        <v>5</v>
      </c>
      <c r="J1249">
        <v>3</v>
      </c>
      <c r="K1249" t="s">
        <v>37</v>
      </c>
      <c r="L1249">
        <v>1</v>
      </c>
      <c r="M1249">
        <v>3</v>
      </c>
      <c r="N1249" s="3">
        <v>8346</v>
      </c>
      <c r="O1249" s="3" t="str">
        <f>IF(Table2[[#This Row],[MonthlyIncome]]&lt;=5000, "$1001 - $5000", IF(Table2[[#This Row],[MonthlyIncome]]&lt;=9000, "$5001 - $9000", IF(Table2[[#This Row],[MonthlyIncome]]&lt;=13000, "$9001 - $13000", IF(Table2[[#This Row],[MonthlyIncome]]&lt;=17000, "$13001 - $17000", IF(Table2[[#This Row],[MonthlyIncome]]&lt;=21000, "$17001 - $21000")))))</f>
        <v>$5001 - $9000</v>
      </c>
      <c r="P1249">
        <v>1</v>
      </c>
      <c r="Q1249">
        <v>3</v>
      </c>
      <c r="R1249">
        <v>5</v>
      </c>
      <c r="S12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50" spans="1:19" ht="14.25" x14ac:dyDescent="0.2">
      <c r="A1250">
        <v>11907717</v>
      </c>
      <c r="B1250">
        <v>27</v>
      </c>
      <c r="C1250" t="s">
        <v>20</v>
      </c>
      <c r="D1250" t="s">
        <v>19</v>
      </c>
      <c r="E1250" t="s">
        <v>22</v>
      </c>
      <c r="F1250">
        <f>IF(Table2[[#This Row],[Attrition]]="Yes", 1, 0)</f>
        <v>0</v>
      </c>
      <c r="G1250" t="s">
        <v>26</v>
      </c>
      <c r="H1250" t="s">
        <v>23</v>
      </c>
      <c r="I1250">
        <v>8</v>
      </c>
      <c r="J1250">
        <v>3</v>
      </c>
      <c r="K1250" t="s">
        <v>29</v>
      </c>
      <c r="L1250">
        <v>3</v>
      </c>
      <c r="M1250">
        <v>4</v>
      </c>
      <c r="N1250" s="3">
        <v>3445</v>
      </c>
      <c r="O1250" s="3" t="str">
        <f>IF(Table2[[#This Row],[MonthlyIncome]]&lt;=5000, "$1001 - $5000", IF(Table2[[#This Row],[MonthlyIncome]]&lt;=9000, "$5001 - $9000", IF(Table2[[#This Row],[MonthlyIncome]]&lt;=13000, "$9001 - $13000", IF(Table2[[#This Row],[MonthlyIncome]]&lt;=17000, "$13001 - $17000", IF(Table2[[#This Row],[MonthlyIncome]]&lt;=21000, "$17001 - $21000")))))</f>
        <v>$1001 - $5000</v>
      </c>
      <c r="P1250">
        <v>1</v>
      </c>
      <c r="Q1250">
        <v>2</v>
      </c>
      <c r="R1250">
        <v>6</v>
      </c>
      <c r="S12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51" spans="1:19" ht="14.25" x14ac:dyDescent="0.2">
      <c r="A1251">
        <v>53986582</v>
      </c>
      <c r="B1251">
        <v>29</v>
      </c>
      <c r="C1251" t="s">
        <v>20</v>
      </c>
      <c r="D1251" t="s">
        <v>19</v>
      </c>
      <c r="E1251" t="s">
        <v>16</v>
      </c>
      <c r="F1251">
        <f>IF(Table2[[#This Row],[Attrition]]="Yes", 1, 0)</f>
        <v>1</v>
      </c>
      <c r="G1251" t="s">
        <v>34</v>
      </c>
      <c r="H1251" t="s">
        <v>17</v>
      </c>
      <c r="I1251">
        <v>9</v>
      </c>
      <c r="J1251">
        <v>3</v>
      </c>
      <c r="K1251" t="s">
        <v>36</v>
      </c>
      <c r="L1251">
        <v>2</v>
      </c>
      <c r="M1251">
        <v>2</v>
      </c>
      <c r="N1251" s="3">
        <v>2760</v>
      </c>
      <c r="O1251" s="3" t="str">
        <f>IF(Table2[[#This Row],[MonthlyIncome]]&lt;=5000, "$1001 - $5000", IF(Table2[[#This Row],[MonthlyIncome]]&lt;=9000, "$5001 - $9000", IF(Table2[[#This Row],[MonthlyIncome]]&lt;=13000, "$9001 - $13000", IF(Table2[[#This Row],[MonthlyIncome]]&lt;=17000, "$13001 - $17000", IF(Table2[[#This Row],[MonthlyIncome]]&lt;=21000, "$17001 - $21000")))))</f>
        <v>$1001 - $5000</v>
      </c>
      <c r="P1251">
        <v>1</v>
      </c>
      <c r="Q1251">
        <v>3</v>
      </c>
      <c r="R1251">
        <v>2</v>
      </c>
      <c r="S12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52" spans="1:19" ht="14.25" x14ac:dyDescent="0.2">
      <c r="A1252">
        <v>86980543</v>
      </c>
      <c r="B1252">
        <v>29</v>
      </c>
      <c r="C1252" t="s">
        <v>25</v>
      </c>
      <c r="D1252" t="s">
        <v>19</v>
      </c>
      <c r="E1252" t="s">
        <v>22</v>
      </c>
      <c r="F1252">
        <f>IF(Table2[[#This Row],[Attrition]]="Yes", 1, 0)</f>
        <v>0</v>
      </c>
      <c r="G1252" t="s">
        <v>32</v>
      </c>
      <c r="H1252" t="s">
        <v>23</v>
      </c>
      <c r="I1252">
        <v>1</v>
      </c>
      <c r="J1252">
        <v>3</v>
      </c>
      <c r="K1252" t="s">
        <v>18</v>
      </c>
      <c r="L1252">
        <v>4</v>
      </c>
      <c r="M1252">
        <v>3</v>
      </c>
      <c r="N1252" s="3">
        <v>6294</v>
      </c>
      <c r="O1252" s="3" t="str">
        <f>IF(Table2[[#This Row],[MonthlyIncome]]&lt;=5000, "$1001 - $5000", IF(Table2[[#This Row],[MonthlyIncome]]&lt;=9000, "$5001 - $9000", IF(Table2[[#This Row],[MonthlyIncome]]&lt;=13000, "$9001 - $13000", IF(Table2[[#This Row],[MonthlyIncome]]&lt;=17000, "$13001 - $17000", IF(Table2[[#This Row],[MonthlyIncome]]&lt;=21000, "$17001 - $21000")))))</f>
        <v>$5001 - $9000</v>
      </c>
      <c r="P1252">
        <v>8</v>
      </c>
      <c r="Q1252">
        <v>4</v>
      </c>
      <c r="R1252">
        <v>3</v>
      </c>
      <c r="S12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53" spans="1:19" ht="14.25" x14ac:dyDescent="0.2">
      <c r="A1253">
        <v>13335265</v>
      </c>
      <c r="B1253">
        <v>30</v>
      </c>
      <c r="C1253" t="s">
        <v>25</v>
      </c>
      <c r="D1253" t="s">
        <v>30</v>
      </c>
      <c r="E1253" t="s">
        <v>22</v>
      </c>
      <c r="F1253">
        <f>IF(Table2[[#This Row],[Attrition]]="Yes", 1, 0)</f>
        <v>0</v>
      </c>
      <c r="G1253" t="s">
        <v>21</v>
      </c>
      <c r="H1253" t="s">
        <v>17</v>
      </c>
      <c r="I1253">
        <v>15</v>
      </c>
      <c r="J1253">
        <v>2</v>
      </c>
      <c r="K1253" t="s">
        <v>36</v>
      </c>
      <c r="L1253">
        <v>3</v>
      </c>
      <c r="M1253">
        <v>1</v>
      </c>
      <c r="N1253" s="3">
        <v>7140</v>
      </c>
      <c r="O1253" s="3" t="str">
        <f>IF(Table2[[#This Row],[MonthlyIncome]]&lt;=5000, "$1001 - $5000", IF(Table2[[#This Row],[MonthlyIncome]]&lt;=9000, "$5001 - $9000", IF(Table2[[#This Row],[MonthlyIncome]]&lt;=13000, "$9001 - $13000", IF(Table2[[#This Row],[MonthlyIncome]]&lt;=17000, "$13001 - $17000", IF(Table2[[#This Row],[MonthlyIncome]]&lt;=21000, "$17001 - $21000")))))</f>
        <v>$5001 - $9000</v>
      </c>
      <c r="P1253">
        <v>2</v>
      </c>
      <c r="Q1253">
        <v>3</v>
      </c>
      <c r="R1253">
        <v>7</v>
      </c>
      <c r="S12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54" spans="1:19" ht="14.25" x14ac:dyDescent="0.2">
      <c r="A1254">
        <v>42997510</v>
      </c>
      <c r="B1254">
        <v>34</v>
      </c>
      <c r="C1254" t="s">
        <v>25</v>
      </c>
      <c r="D1254" t="s">
        <v>24</v>
      </c>
      <c r="E1254" t="s">
        <v>22</v>
      </c>
      <c r="F1254">
        <f>IF(Table2[[#This Row],[Attrition]]="Yes", 1, 0)</f>
        <v>0</v>
      </c>
      <c r="G1254" t="s">
        <v>26</v>
      </c>
      <c r="H1254" t="s">
        <v>23</v>
      </c>
      <c r="I1254">
        <v>2</v>
      </c>
      <c r="J1254">
        <v>4</v>
      </c>
      <c r="K1254" t="s">
        <v>29</v>
      </c>
      <c r="L1254">
        <v>4</v>
      </c>
      <c r="M1254">
        <v>4</v>
      </c>
      <c r="N1254" s="3">
        <v>2932</v>
      </c>
      <c r="O1254" s="3" t="str">
        <f>IF(Table2[[#This Row],[MonthlyIncome]]&lt;=5000, "$1001 - $5000", IF(Table2[[#This Row],[MonthlyIncome]]&lt;=9000, "$5001 - $9000", IF(Table2[[#This Row],[MonthlyIncome]]&lt;=13000, "$9001 - $13000", IF(Table2[[#This Row],[MonthlyIncome]]&lt;=17000, "$13001 - $17000", IF(Table2[[#This Row],[MonthlyIncome]]&lt;=21000, "$17001 - $21000")))))</f>
        <v>$1001 - $5000</v>
      </c>
      <c r="P1254">
        <v>0</v>
      </c>
      <c r="Q1254">
        <v>3</v>
      </c>
      <c r="R1254">
        <v>5</v>
      </c>
      <c r="S12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55" spans="1:19" ht="14.25" x14ac:dyDescent="0.2">
      <c r="A1255">
        <v>22123286</v>
      </c>
      <c r="B1255">
        <v>33</v>
      </c>
      <c r="C1255" t="s">
        <v>20</v>
      </c>
      <c r="D1255" t="s">
        <v>19</v>
      </c>
      <c r="E1255" t="s">
        <v>22</v>
      </c>
      <c r="F1255">
        <f>IF(Table2[[#This Row],[Attrition]]="Yes", 1, 0)</f>
        <v>0</v>
      </c>
      <c r="G1255" t="s">
        <v>21</v>
      </c>
      <c r="H1255" t="s">
        <v>17</v>
      </c>
      <c r="I1255">
        <v>2</v>
      </c>
      <c r="J1255">
        <v>3</v>
      </c>
      <c r="K1255" t="s">
        <v>36</v>
      </c>
      <c r="L1255">
        <v>4</v>
      </c>
      <c r="M1255">
        <v>2</v>
      </c>
      <c r="N1255" s="3">
        <v>5147</v>
      </c>
      <c r="O1255" s="3" t="str">
        <f>IF(Table2[[#This Row],[MonthlyIncome]]&lt;=5000, "$1001 - $5000", IF(Table2[[#This Row],[MonthlyIncome]]&lt;=9000, "$5001 - $9000", IF(Table2[[#This Row],[MonthlyIncome]]&lt;=13000, "$9001 - $13000", IF(Table2[[#This Row],[MonthlyIncome]]&lt;=17000, "$13001 - $17000", IF(Table2[[#This Row],[MonthlyIncome]]&lt;=21000, "$17001 - $21000")))))</f>
        <v>$5001 - $9000</v>
      </c>
      <c r="P1255">
        <v>8</v>
      </c>
      <c r="Q1255">
        <v>2</v>
      </c>
      <c r="R1255">
        <v>11</v>
      </c>
      <c r="S12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56" spans="1:19" ht="14.25" x14ac:dyDescent="0.2">
      <c r="A1256">
        <v>14852502</v>
      </c>
      <c r="B1256">
        <v>49</v>
      </c>
      <c r="C1256" t="s">
        <v>20</v>
      </c>
      <c r="D1256" t="s">
        <v>19</v>
      </c>
      <c r="E1256" t="s">
        <v>22</v>
      </c>
      <c r="F1256">
        <f>IF(Table2[[#This Row],[Attrition]]="Yes", 1, 0)</f>
        <v>0</v>
      </c>
      <c r="G1256" t="s">
        <v>21</v>
      </c>
      <c r="H1256" t="s">
        <v>17</v>
      </c>
      <c r="I1256">
        <v>11</v>
      </c>
      <c r="J1256">
        <v>4</v>
      </c>
      <c r="K1256" t="s">
        <v>36</v>
      </c>
      <c r="L1256">
        <v>4</v>
      </c>
      <c r="M1256">
        <v>4</v>
      </c>
      <c r="N1256" s="3">
        <v>4507</v>
      </c>
      <c r="O1256" s="3" t="str">
        <f>IF(Table2[[#This Row],[MonthlyIncome]]&lt;=5000, "$1001 - $5000", IF(Table2[[#This Row],[MonthlyIncome]]&lt;=9000, "$5001 - $9000", IF(Table2[[#This Row],[MonthlyIncome]]&lt;=13000, "$9001 - $13000", IF(Table2[[#This Row],[MonthlyIncome]]&lt;=17000, "$13001 - $17000", IF(Table2[[#This Row],[MonthlyIncome]]&lt;=21000, "$17001 - $21000")))))</f>
        <v>$1001 - $5000</v>
      </c>
      <c r="P1256">
        <v>3</v>
      </c>
      <c r="Q1256">
        <v>4</v>
      </c>
      <c r="R1256">
        <v>5</v>
      </c>
      <c r="S12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57" spans="1:19" ht="14.25" x14ac:dyDescent="0.2">
      <c r="A1257">
        <v>39828297</v>
      </c>
      <c r="B1257">
        <v>33</v>
      </c>
      <c r="C1257" t="s">
        <v>20</v>
      </c>
      <c r="D1257" t="s">
        <v>19</v>
      </c>
      <c r="E1257" t="s">
        <v>16</v>
      </c>
      <c r="F1257">
        <f>IF(Table2[[#This Row],[Attrition]]="Yes", 1, 0)</f>
        <v>1</v>
      </c>
      <c r="G1257" t="s">
        <v>21</v>
      </c>
      <c r="H1257" t="s">
        <v>17</v>
      </c>
      <c r="I1257">
        <v>16</v>
      </c>
      <c r="J1257">
        <v>3</v>
      </c>
      <c r="K1257" t="s">
        <v>18</v>
      </c>
      <c r="L1257">
        <v>1</v>
      </c>
      <c r="M1257">
        <v>1</v>
      </c>
      <c r="N1257" s="3">
        <v>8564</v>
      </c>
      <c r="O1257" s="3" t="str">
        <f>IF(Table2[[#This Row],[MonthlyIncome]]&lt;=5000, "$1001 - $5000", IF(Table2[[#This Row],[MonthlyIncome]]&lt;=9000, "$5001 - $9000", IF(Table2[[#This Row],[MonthlyIncome]]&lt;=13000, "$9001 - $13000", IF(Table2[[#This Row],[MonthlyIncome]]&lt;=17000, "$13001 - $17000", IF(Table2[[#This Row],[MonthlyIncome]]&lt;=21000, "$17001 - $21000")))))</f>
        <v>$5001 - $9000</v>
      </c>
      <c r="P1257">
        <v>2</v>
      </c>
      <c r="Q1257">
        <v>2</v>
      </c>
      <c r="R1257">
        <v>0</v>
      </c>
      <c r="S12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58" spans="1:19" ht="14.25" x14ac:dyDescent="0.2">
      <c r="A1258">
        <v>66436407</v>
      </c>
      <c r="B1258">
        <v>38</v>
      </c>
      <c r="C1258" t="s">
        <v>20</v>
      </c>
      <c r="D1258" t="s">
        <v>24</v>
      </c>
      <c r="E1258" t="s">
        <v>22</v>
      </c>
      <c r="F1258">
        <f>IF(Table2[[#This Row],[Attrition]]="Yes", 1, 0)</f>
        <v>0</v>
      </c>
      <c r="G1258" t="s">
        <v>28</v>
      </c>
      <c r="H1258" t="s">
        <v>23</v>
      </c>
      <c r="I1258">
        <v>2</v>
      </c>
      <c r="J1258">
        <v>2</v>
      </c>
      <c r="K1258" t="s">
        <v>29</v>
      </c>
      <c r="L1258">
        <v>3</v>
      </c>
      <c r="M1258">
        <v>2</v>
      </c>
      <c r="N1258" s="3">
        <v>2468</v>
      </c>
      <c r="O1258" s="3" t="str">
        <f>IF(Table2[[#This Row],[MonthlyIncome]]&lt;=5000, "$1001 - $5000", IF(Table2[[#This Row],[MonthlyIncome]]&lt;=9000, "$5001 - $9000", IF(Table2[[#This Row],[MonthlyIncome]]&lt;=13000, "$9001 - $13000", IF(Table2[[#This Row],[MonthlyIncome]]&lt;=17000, "$13001 - $17000", IF(Table2[[#This Row],[MonthlyIncome]]&lt;=21000, "$17001 - $21000")))))</f>
        <v>$1001 - $5000</v>
      </c>
      <c r="P1258">
        <v>4</v>
      </c>
      <c r="Q1258">
        <v>2</v>
      </c>
      <c r="R1258">
        <v>6</v>
      </c>
      <c r="S12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59" spans="1:19" ht="14.25" x14ac:dyDescent="0.2">
      <c r="A1259">
        <v>12187305</v>
      </c>
      <c r="B1259">
        <v>31</v>
      </c>
      <c r="C1259" t="s">
        <v>25</v>
      </c>
      <c r="D1259" t="s">
        <v>24</v>
      </c>
      <c r="E1259" t="s">
        <v>16</v>
      </c>
      <c r="F1259">
        <f>IF(Table2[[#This Row],[Attrition]]="Yes", 1, 0)</f>
        <v>1</v>
      </c>
      <c r="G1259" t="s">
        <v>21</v>
      </c>
      <c r="H1259" t="s">
        <v>17</v>
      </c>
      <c r="I1259">
        <v>16</v>
      </c>
      <c r="J1259">
        <v>4</v>
      </c>
      <c r="K1259" t="s">
        <v>36</v>
      </c>
      <c r="L1259">
        <v>1</v>
      </c>
      <c r="M1259">
        <v>3</v>
      </c>
      <c r="N1259" s="3">
        <v>8161</v>
      </c>
      <c r="O1259" s="3" t="str">
        <f>IF(Table2[[#This Row],[MonthlyIncome]]&lt;=5000, "$1001 - $5000", IF(Table2[[#This Row],[MonthlyIncome]]&lt;=9000, "$5001 - $9000", IF(Table2[[#This Row],[MonthlyIncome]]&lt;=13000, "$9001 - $13000", IF(Table2[[#This Row],[MonthlyIncome]]&lt;=17000, "$13001 - $17000", IF(Table2[[#This Row],[MonthlyIncome]]&lt;=21000, "$17001 - $21000")))))</f>
        <v>$5001 - $9000</v>
      </c>
      <c r="P1259">
        <v>2</v>
      </c>
      <c r="Q1259">
        <v>3</v>
      </c>
      <c r="R1259">
        <v>1</v>
      </c>
      <c r="S12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60" spans="1:19" ht="14.25" x14ac:dyDescent="0.2">
      <c r="A1260">
        <v>86466364</v>
      </c>
      <c r="B1260">
        <v>29</v>
      </c>
      <c r="C1260" t="s">
        <v>20</v>
      </c>
      <c r="D1260" t="s">
        <v>30</v>
      </c>
      <c r="E1260" t="s">
        <v>22</v>
      </c>
      <c r="F1260">
        <f>IF(Table2[[#This Row],[Attrition]]="Yes", 1, 0)</f>
        <v>0</v>
      </c>
      <c r="G1260" t="s">
        <v>26</v>
      </c>
      <c r="H1260" t="s">
        <v>23</v>
      </c>
      <c r="I1260">
        <v>4</v>
      </c>
      <c r="J1260">
        <v>3</v>
      </c>
      <c r="K1260" t="s">
        <v>37</v>
      </c>
      <c r="L1260">
        <v>4</v>
      </c>
      <c r="M1260">
        <v>1</v>
      </c>
      <c r="N1260" s="3">
        <v>2109</v>
      </c>
      <c r="O1260" s="3" t="str">
        <f>IF(Table2[[#This Row],[MonthlyIncome]]&lt;=5000, "$1001 - $5000", IF(Table2[[#This Row],[MonthlyIncome]]&lt;=9000, "$5001 - $9000", IF(Table2[[#This Row],[MonthlyIncome]]&lt;=13000, "$9001 - $13000", IF(Table2[[#This Row],[MonthlyIncome]]&lt;=17000, "$13001 - $17000", IF(Table2[[#This Row],[MonthlyIncome]]&lt;=21000, "$17001 - $21000")))))</f>
        <v>$1001 - $5000</v>
      </c>
      <c r="P1260">
        <v>1</v>
      </c>
      <c r="Q1260">
        <v>3</v>
      </c>
      <c r="R1260">
        <v>1</v>
      </c>
      <c r="S12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61" spans="1:19" ht="14.25" x14ac:dyDescent="0.2">
      <c r="A1261">
        <v>67158784</v>
      </c>
      <c r="B1261">
        <v>30</v>
      </c>
      <c r="C1261" t="s">
        <v>25</v>
      </c>
      <c r="D1261" t="s">
        <v>24</v>
      </c>
      <c r="E1261" t="s">
        <v>22</v>
      </c>
      <c r="F1261">
        <f>IF(Table2[[#This Row],[Attrition]]="Yes", 1, 0)</f>
        <v>0</v>
      </c>
      <c r="G1261" t="s">
        <v>32</v>
      </c>
      <c r="H1261" t="s">
        <v>23</v>
      </c>
      <c r="I1261">
        <v>16</v>
      </c>
      <c r="J1261">
        <v>3</v>
      </c>
      <c r="K1261" t="s">
        <v>18</v>
      </c>
      <c r="L1261">
        <v>3</v>
      </c>
      <c r="M1261">
        <v>3</v>
      </c>
      <c r="N1261" s="3">
        <v>5294</v>
      </c>
      <c r="O1261" s="3" t="str">
        <f>IF(Table2[[#This Row],[MonthlyIncome]]&lt;=5000, "$1001 - $5000", IF(Table2[[#This Row],[MonthlyIncome]]&lt;=9000, "$5001 - $9000", IF(Table2[[#This Row],[MonthlyIncome]]&lt;=13000, "$9001 - $13000", IF(Table2[[#This Row],[MonthlyIncome]]&lt;=17000, "$13001 - $17000", IF(Table2[[#This Row],[MonthlyIncome]]&lt;=21000, "$17001 - $21000")))))</f>
        <v>$5001 - $9000</v>
      </c>
      <c r="P1261">
        <v>3</v>
      </c>
      <c r="Q1261">
        <v>3</v>
      </c>
      <c r="R1261">
        <v>7</v>
      </c>
      <c r="S12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62" spans="1:19" ht="14.25" x14ac:dyDescent="0.2">
      <c r="A1262">
        <v>19817878</v>
      </c>
      <c r="B1262">
        <v>32</v>
      </c>
      <c r="C1262" t="s">
        <v>25</v>
      </c>
      <c r="D1262" t="s">
        <v>19</v>
      </c>
      <c r="E1262" t="s">
        <v>22</v>
      </c>
      <c r="F1262">
        <f>IF(Table2[[#This Row],[Attrition]]="Yes", 1, 0)</f>
        <v>0</v>
      </c>
      <c r="G1262" t="s">
        <v>26</v>
      </c>
      <c r="H1262" t="s">
        <v>23</v>
      </c>
      <c r="I1262">
        <v>5</v>
      </c>
      <c r="J1262">
        <v>4</v>
      </c>
      <c r="K1262" t="s">
        <v>37</v>
      </c>
      <c r="L1262">
        <v>2</v>
      </c>
      <c r="M1262">
        <v>2</v>
      </c>
      <c r="N1262" s="3">
        <v>2718</v>
      </c>
      <c r="O1262" s="3" t="str">
        <f>IF(Table2[[#This Row],[MonthlyIncome]]&lt;=5000, "$1001 - $5000", IF(Table2[[#This Row],[MonthlyIncome]]&lt;=9000, "$5001 - $9000", IF(Table2[[#This Row],[MonthlyIncome]]&lt;=13000, "$9001 - $13000", IF(Table2[[#This Row],[MonthlyIncome]]&lt;=17000, "$13001 - $17000", IF(Table2[[#This Row],[MonthlyIncome]]&lt;=21000, "$17001 - $21000")))))</f>
        <v>$1001 - $5000</v>
      </c>
      <c r="P1262">
        <v>2</v>
      </c>
      <c r="Q1262">
        <v>3</v>
      </c>
      <c r="R1262">
        <v>7</v>
      </c>
      <c r="S12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63" spans="1:19" ht="14.25" x14ac:dyDescent="0.2">
      <c r="A1263">
        <v>68896715</v>
      </c>
      <c r="B1263">
        <v>38</v>
      </c>
      <c r="C1263" t="s">
        <v>25</v>
      </c>
      <c r="D1263" t="s">
        <v>24</v>
      </c>
      <c r="E1263" t="s">
        <v>22</v>
      </c>
      <c r="F1263">
        <f>IF(Table2[[#This Row],[Attrition]]="Yes", 1, 0)</f>
        <v>0</v>
      </c>
      <c r="G1263" t="s">
        <v>32</v>
      </c>
      <c r="H1263" t="s">
        <v>23</v>
      </c>
      <c r="I1263">
        <v>18</v>
      </c>
      <c r="J1263">
        <v>3</v>
      </c>
      <c r="K1263" t="s">
        <v>29</v>
      </c>
      <c r="L1263">
        <v>2</v>
      </c>
      <c r="M1263">
        <v>4</v>
      </c>
      <c r="N1263" s="3">
        <v>5811</v>
      </c>
      <c r="O1263" s="3" t="str">
        <f>IF(Table2[[#This Row],[MonthlyIncome]]&lt;=5000, "$1001 - $5000", IF(Table2[[#This Row],[MonthlyIncome]]&lt;=9000, "$5001 - $9000", IF(Table2[[#This Row],[MonthlyIncome]]&lt;=13000, "$9001 - $13000", IF(Table2[[#This Row],[MonthlyIncome]]&lt;=17000, "$13001 - $17000", IF(Table2[[#This Row],[MonthlyIncome]]&lt;=21000, "$17001 - $21000")))))</f>
        <v>$5001 - $9000</v>
      </c>
      <c r="P1263">
        <v>3</v>
      </c>
      <c r="Q1263">
        <v>3</v>
      </c>
      <c r="R1263">
        <v>1</v>
      </c>
      <c r="S12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64" spans="1:19" ht="14.25" x14ac:dyDescent="0.2">
      <c r="A1264">
        <v>88243070</v>
      </c>
      <c r="B1264">
        <v>43</v>
      </c>
      <c r="C1264" t="s">
        <v>25</v>
      </c>
      <c r="D1264" t="s">
        <v>24</v>
      </c>
      <c r="E1264" t="s">
        <v>16</v>
      </c>
      <c r="F1264">
        <f>IF(Table2[[#This Row],[Attrition]]="Yes", 1, 0)</f>
        <v>1</v>
      </c>
      <c r="G1264" t="s">
        <v>26</v>
      </c>
      <c r="H1264" t="s">
        <v>23</v>
      </c>
      <c r="I1264">
        <v>17</v>
      </c>
      <c r="J1264">
        <v>3</v>
      </c>
      <c r="K1264" t="s">
        <v>37</v>
      </c>
      <c r="L1264">
        <v>3</v>
      </c>
      <c r="M1264">
        <v>3</v>
      </c>
      <c r="N1264" s="3">
        <v>2437</v>
      </c>
      <c r="O1264" s="3" t="str">
        <f>IF(Table2[[#This Row],[MonthlyIncome]]&lt;=5000, "$1001 - $5000", IF(Table2[[#This Row],[MonthlyIncome]]&lt;=9000, "$5001 - $9000", IF(Table2[[#This Row],[MonthlyIncome]]&lt;=13000, "$9001 - $13000", IF(Table2[[#This Row],[MonthlyIncome]]&lt;=17000, "$13001 - $17000", IF(Table2[[#This Row],[MonthlyIncome]]&lt;=21000, "$17001 - $21000")))))</f>
        <v>$1001 - $5000</v>
      </c>
      <c r="P1264">
        <v>9</v>
      </c>
      <c r="Q1264">
        <v>3</v>
      </c>
      <c r="R1264">
        <v>1</v>
      </c>
      <c r="S12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65" spans="1:19" ht="14.25" x14ac:dyDescent="0.2">
      <c r="A1265">
        <v>84414840</v>
      </c>
      <c r="B1265">
        <v>42</v>
      </c>
      <c r="C1265" t="s">
        <v>25</v>
      </c>
      <c r="D1265" t="s">
        <v>30</v>
      </c>
      <c r="E1265" t="s">
        <v>22</v>
      </c>
      <c r="F1265">
        <f>IF(Table2[[#This Row],[Attrition]]="Yes", 1, 0)</f>
        <v>0</v>
      </c>
      <c r="G1265" t="s">
        <v>28</v>
      </c>
      <c r="H1265" t="s">
        <v>23</v>
      </c>
      <c r="I1265">
        <v>12</v>
      </c>
      <c r="J1265">
        <v>3</v>
      </c>
      <c r="K1265" t="s">
        <v>29</v>
      </c>
      <c r="L1265">
        <v>2</v>
      </c>
      <c r="M1265">
        <v>2</v>
      </c>
      <c r="N1265" s="3">
        <v>2766</v>
      </c>
      <c r="O1265" s="3" t="str">
        <f>IF(Table2[[#This Row],[MonthlyIncome]]&lt;=5000, "$1001 - $5000", IF(Table2[[#This Row],[MonthlyIncome]]&lt;=9000, "$5001 - $9000", IF(Table2[[#This Row],[MonthlyIncome]]&lt;=13000, "$9001 - $13000", IF(Table2[[#This Row],[MonthlyIncome]]&lt;=17000, "$13001 - $17000", IF(Table2[[#This Row],[MonthlyIncome]]&lt;=21000, "$17001 - $21000")))))</f>
        <v>$1001 - $5000</v>
      </c>
      <c r="P1265">
        <v>8</v>
      </c>
      <c r="Q1265">
        <v>2</v>
      </c>
      <c r="R1265">
        <v>5</v>
      </c>
      <c r="S12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66" spans="1:19" ht="14.25" x14ac:dyDescent="0.2">
      <c r="A1266">
        <v>35299743</v>
      </c>
      <c r="B1266">
        <v>55</v>
      </c>
      <c r="C1266" t="s">
        <v>25</v>
      </c>
      <c r="D1266" t="s">
        <v>24</v>
      </c>
      <c r="E1266" t="s">
        <v>22</v>
      </c>
      <c r="F1266">
        <f>IF(Table2[[#This Row],[Attrition]]="Yes", 1, 0)</f>
        <v>0</v>
      </c>
      <c r="G1266" t="s">
        <v>35</v>
      </c>
      <c r="H1266" t="s">
        <v>23</v>
      </c>
      <c r="I1266">
        <v>2</v>
      </c>
      <c r="J1266">
        <v>3</v>
      </c>
      <c r="K1266" t="s">
        <v>29</v>
      </c>
      <c r="L1266">
        <v>3</v>
      </c>
      <c r="M1266">
        <v>1</v>
      </c>
      <c r="N1266" s="3">
        <v>19038</v>
      </c>
      <c r="O1266" s="3" t="str">
        <f>IF(Table2[[#This Row],[MonthlyIncome]]&lt;=5000, "$1001 - $5000", IF(Table2[[#This Row],[MonthlyIncome]]&lt;=9000, "$5001 - $9000", IF(Table2[[#This Row],[MonthlyIncome]]&lt;=13000, "$9001 - $13000", IF(Table2[[#This Row],[MonthlyIncome]]&lt;=17000, "$13001 - $17000", IF(Table2[[#This Row],[MonthlyIncome]]&lt;=21000, "$17001 - $21000")))))</f>
        <v>$17001 - $21000</v>
      </c>
      <c r="P1266">
        <v>8</v>
      </c>
      <c r="Q1266">
        <v>3</v>
      </c>
      <c r="R1266">
        <v>1</v>
      </c>
      <c r="S12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67" spans="1:19" ht="14.25" x14ac:dyDescent="0.2">
      <c r="A1267">
        <v>59864445</v>
      </c>
      <c r="B1267">
        <v>33</v>
      </c>
      <c r="C1267" t="s">
        <v>25</v>
      </c>
      <c r="D1267" t="s">
        <v>30</v>
      </c>
      <c r="E1267" t="s">
        <v>22</v>
      </c>
      <c r="F1267">
        <f>IF(Table2[[#This Row],[Attrition]]="Yes", 1, 0)</f>
        <v>0</v>
      </c>
      <c r="G1267" t="s">
        <v>26</v>
      </c>
      <c r="H1267" t="s">
        <v>23</v>
      </c>
      <c r="I1267">
        <v>4</v>
      </c>
      <c r="J1267">
        <v>3</v>
      </c>
      <c r="K1267" t="s">
        <v>37</v>
      </c>
      <c r="L1267">
        <v>4</v>
      </c>
      <c r="M1267">
        <v>2</v>
      </c>
      <c r="N1267" s="3">
        <v>3055</v>
      </c>
      <c r="O1267" s="3" t="str">
        <f>IF(Table2[[#This Row],[MonthlyIncome]]&lt;=5000, "$1001 - $5000", IF(Table2[[#This Row],[MonthlyIncome]]&lt;=9000, "$5001 - $9000", IF(Table2[[#This Row],[MonthlyIncome]]&lt;=13000, "$9001 - $13000", IF(Table2[[#This Row],[MonthlyIncome]]&lt;=17000, "$13001 - $17000", IF(Table2[[#This Row],[MonthlyIncome]]&lt;=21000, "$17001 - $21000")))))</f>
        <v>$1001 - $5000</v>
      </c>
      <c r="P1267">
        <v>5</v>
      </c>
      <c r="Q1267">
        <v>2</v>
      </c>
      <c r="R1267">
        <v>9</v>
      </c>
      <c r="S12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68" spans="1:19" ht="14.25" x14ac:dyDescent="0.2">
      <c r="A1268">
        <v>72954418</v>
      </c>
      <c r="B1268">
        <v>41</v>
      </c>
      <c r="C1268" t="s">
        <v>25</v>
      </c>
      <c r="D1268" t="s">
        <v>30</v>
      </c>
      <c r="E1268" t="s">
        <v>22</v>
      </c>
      <c r="F1268">
        <f>IF(Table2[[#This Row],[Attrition]]="Yes", 1, 0)</f>
        <v>0</v>
      </c>
      <c r="G1268" t="s">
        <v>28</v>
      </c>
      <c r="H1268" t="s">
        <v>23</v>
      </c>
      <c r="I1268">
        <v>9</v>
      </c>
      <c r="J1268">
        <v>4</v>
      </c>
      <c r="K1268" t="s">
        <v>18</v>
      </c>
      <c r="L1268">
        <v>3</v>
      </c>
      <c r="M1268">
        <v>1</v>
      </c>
      <c r="N1268" s="3">
        <v>2289</v>
      </c>
      <c r="O1268" s="3" t="str">
        <f>IF(Table2[[#This Row],[MonthlyIncome]]&lt;=5000, "$1001 - $5000", IF(Table2[[#This Row],[MonthlyIncome]]&lt;=9000, "$5001 - $9000", IF(Table2[[#This Row],[MonthlyIncome]]&lt;=13000, "$9001 - $13000", IF(Table2[[#This Row],[MonthlyIncome]]&lt;=17000, "$13001 - $17000", IF(Table2[[#This Row],[MonthlyIncome]]&lt;=21000, "$17001 - $21000")))))</f>
        <v>$1001 - $5000</v>
      </c>
      <c r="P1268">
        <v>1</v>
      </c>
      <c r="Q1268">
        <v>3</v>
      </c>
      <c r="R1268">
        <v>5</v>
      </c>
      <c r="S12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69" spans="1:19" ht="14.25" x14ac:dyDescent="0.2">
      <c r="A1269">
        <v>64174302</v>
      </c>
      <c r="B1269">
        <v>34</v>
      </c>
      <c r="C1269" t="s">
        <v>25</v>
      </c>
      <c r="D1269" t="s">
        <v>30</v>
      </c>
      <c r="E1269" t="s">
        <v>22</v>
      </c>
      <c r="F1269">
        <f>IF(Table2[[#This Row],[Attrition]]="Yes", 1, 0)</f>
        <v>0</v>
      </c>
      <c r="G1269" t="s">
        <v>21</v>
      </c>
      <c r="H1269" t="s">
        <v>17</v>
      </c>
      <c r="I1269">
        <v>10</v>
      </c>
      <c r="J1269">
        <v>3</v>
      </c>
      <c r="K1269" t="s">
        <v>18</v>
      </c>
      <c r="L1269">
        <v>4</v>
      </c>
      <c r="M1269">
        <v>3</v>
      </c>
      <c r="N1269" s="3">
        <v>4001</v>
      </c>
      <c r="O1269" s="3" t="str">
        <f>IF(Table2[[#This Row],[MonthlyIncome]]&lt;=5000, "$1001 - $5000", IF(Table2[[#This Row],[MonthlyIncome]]&lt;=9000, "$5001 - $9000", IF(Table2[[#This Row],[MonthlyIncome]]&lt;=13000, "$9001 - $13000", IF(Table2[[#This Row],[MonthlyIncome]]&lt;=17000, "$13001 - $17000", IF(Table2[[#This Row],[MonthlyIncome]]&lt;=21000, "$17001 - $21000")))))</f>
        <v>$1001 - $5000</v>
      </c>
      <c r="P1269">
        <v>1</v>
      </c>
      <c r="Q1269">
        <v>3</v>
      </c>
      <c r="R1269">
        <v>15</v>
      </c>
      <c r="S12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270" spans="1:19" ht="14.25" x14ac:dyDescent="0.2">
      <c r="A1270">
        <v>62075444</v>
      </c>
      <c r="B1270">
        <v>53</v>
      </c>
      <c r="C1270" t="s">
        <v>20</v>
      </c>
      <c r="D1270" t="s">
        <v>24</v>
      </c>
      <c r="E1270" t="s">
        <v>22</v>
      </c>
      <c r="F1270">
        <f>IF(Table2[[#This Row],[Attrition]]="Yes", 1, 0)</f>
        <v>0</v>
      </c>
      <c r="G1270" t="s">
        <v>31</v>
      </c>
      <c r="H1270" t="s">
        <v>23</v>
      </c>
      <c r="I1270">
        <v>1</v>
      </c>
      <c r="J1270">
        <v>4</v>
      </c>
      <c r="K1270" t="s">
        <v>29</v>
      </c>
      <c r="L1270">
        <v>1</v>
      </c>
      <c r="M1270">
        <v>3</v>
      </c>
      <c r="N1270" s="3">
        <v>12965</v>
      </c>
      <c r="O1270" s="3" t="str">
        <f>IF(Table2[[#This Row],[MonthlyIncome]]&lt;=5000, "$1001 - $5000", IF(Table2[[#This Row],[MonthlyIncome]]&lt;=9000, "$5001 - $9000", IF(Table2[[#This Row],[MonthlyIncome]]&lt;=13000, "$9001 - $13000", IF(Table2[[#This Row],[MonthlyIncome]]&lt;=17000, "$13001 - $17000", IF(Table2[[#This Row],[MonthlyIncome]]&lt;=21000, "$17001 - $21000")))))</f>
        <v>$9001 - $13000</v>
      </c>
      <c r="P1270">
        <v>4</v>
      </c>
      <c r="Q1270">
        <v>2</v>
      </c>
      <c r="R1270">
        <v>3</v>
      </c>
      <c r="S12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71" spans="1:19" ht="14.25" x14ac:dyDescent="0.2">
      <c r="A1271">
        <v>21419908</v>
      </c>
      <c r="B1271">
        <v>43</v>
      </c>
      <c r="C1271" t="s">
        <v>25</v>
      </c>
      <c r="D1271" t="s">
        <v>19</v>
      </c>
      <c r="E1271" t="s">
        <v>22</v>
      </c>
      <c r="F1271">
        <f>IF(Table2[[#This Row],[Attrition]]="Yes", 1, 0)</f>
        <v>0</v>
      </c>
      <c r="G1271" t="s">
        <v>38</v>
      </c>
      <c r="H1271" t="s">
        <v>38</v>
      </c>
      <c r="I1271">
        <v>2</v>
      </c>
      <c r="J1271">
        <v>3</v>
      </c>
      <c r="K1271" t="s">
        <v>18</v>
      </c>
      <c r="L1271">
        <v>2</v>
      </c>
      <c r="M1271">
        <v>4</v>
      </c>
      <c r="N1271" s="3">
        <v>3539</v>
      </c>
      <c r="O1271" s="3" t="str">
        <f>IF(Table2[[#This Row],[MonthlyIncome]]&lt;=5000, "$1001 - $5000", IF(Table2[[#This Row],[MonthlyIncome]]&lt;=9000, "$5001 - $9000", IF(Table2[[#This Row],[MonthlyIncome]]&lt;=13000, "$9001 - $13000", IF(Table2[[#This Row],[MonthlyIncome]]&lt;=17000, "$13001 - $17000", IF(Table2[[#This Row],[MonthlyIncome]]&lt;=21000, "$17001 - $21000")))))</f>
        <v>$1001 - $5000</v>
      </c>
      <c r="P1271">
        <v>0</v>
      </c>
      <c r="Q1271">
        <v>3</v>
      </c>
      <c r="R1271">
        <v>9</v>
      </c>
      <c r="S12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72" spans="1:19" ht="14.25" x14ac:dyDescent="0.2">
      <c r="A1272">
        <v>79124448</v>
      </c>
      <c r="B1272">
        <v>34</v>
      </c>
      <c r="C1272" t="s">
        <v>20</v>
      </c>
      <c r="D1272" t="s">
        <v>19</v>
      </c>
      <c r="E1272" t="s">
        <v>22</v>
      </c>
      <c r="F1272">
        <f>IF(Table2[[#This Row],[Attrition]]="Yes", 1, 0)</f>
        <v>0</v>
      </c>
      <c r="G1272" t="s">
        <v>21</v>
      </c>
      <c r="H1272" t="s">
        <v>17</v>
      </c>
      <c r="I1272">
        <v>3</v>
      </c>
      <c r="J1272">
        <v>2</v>
      </c>
      <c r="K1272" t="s">
        <v>18</v>
      </c>
      <c r="L1272">
        <v>4</v>
      </c>
      <c r="M1272">
        <v>4</v>
      </c>
      <c r="N1272" s="3">
        <v>6029</v>
      </c>
      <c r="O1272" s="3" t="str">
        <f>IF(Table2[[#This Row],[MonthlyIncome]]&lt;=5000, "$1001 - $5000", IF(Table2[[#This Row],[MonthlyIncome]]&lt;=9000, "$5001 - $9000", IF(Table2[[#This Row],[MonthlyIncome]]&lt;=13000, "$9001 - $13000", IF(Table2[[#This Row],[MonthlyIncome]]&lt;=17000, "$13001 - $17000", IF(Table2[[#This Row],[MonthlyIncome]]&lt;=21000, "$17001 - $21000")))))</f>
        <v>$5001 - $9000</v>
      </c>
      <c r="P1272">
        <v>5</v>
      </c>
      <c r="Q1272">
        <v>3</v>
      </c>
      <c r="R1272">
        <v>2</v>
      </c>
      <c r="S12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73" spans="1:19" ht="14.25" x14ac:dyDescent="0.2">
      <c r="A1273">
        <v>73379323</v>
      </c>
      <c r="B1273">
        <v>21</v>
      </c>
      <c r="C1273" t="s">
        <v>25</v>
      </c>
      <c r="D1273" t="s">
        <v>19</v>
      </c>
      <c r="E1273" t="s">
        <v>16</v>
      </c>
      <c r="F1273">
        <f>IF(Table2[[#This Row],[Attrition]]="Yes", 1, 0)</f>
        <v>1</v>
      </c>
      <c r="G1273" t="s">
        <v>34</v>
      </c>
      <c r="H1273" t="s">
        <v>17</v>
      </c>
      <c r="I1273">
        <v>7</v>
      </c>
      <c r="J1273">
        <v>1</v>
      </c>
      <c r="K1273" t="s">
        <v>36</v>
      </c>
      <c r="L1273">
        <v>2</v>
      </c>
      <c r="M1273">
        <v>2</v>
      </c>
      <c r="N1273" s="3">
        <v>2679</v>
      </c>
      <c r="O1273" s="3" t="str">
        <f>IF(Table2[[#This Row],[MonthlyIncome]]&lt;=5000, "$1001 - $5000", IF(Table2[[#This Row],[MonthlyIncome]]&lt;=9000, "$5001 - $9000", IF(Table2[[#This Row],[MonthlyIncome]]&lt;=13000, "$9001 - $13000", IF(Table2[[#This Row],[MonthlyIncome]]&lt;=17000, "$13001 - $17000", IF(Table2[[#This Row],[MonthlyIncome]]&lt;=21000, "$17001 - $21000")))))</f>
        <v>$1001 - $5000</v>
      </c>
      <c r="P1273">
        <v>1</v>
      </c>
      <c r="Q1273">
        <v>3</v>
      </c>
      <c r="R1273">
        <v>1</v>
      </c>
      <c r="S12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74" spans="1:19" ht="14.25" x14ac:dyDescent="0.2">
      <c r="A1274">
        <v>53739715</v>
      </c>
      <c r="B1274">
        <v>38</v>
      </c>
      <c r="C1274" t="s">
        <v>20</v>
      </c>
      <c r="D1274" t="s">
        <v>24</v>
      </c>
      <c r="E1274" t="s">
        <v>22</v>
      </c>
      <c r="F1274">
        <f>IF(Table2[[#This Row],[Attrition]]="Yes", 1, 0)</f>
        <v>0</v>
      </c>
      <c r="G1274" t="s">
        <v>28</v>
      </c>
      <c r="H1274" t="s">
        <v>23</v>
      </c>
      <c r="I1274">
        <v>6</v>
      </c>
      <c r="J1274">
        <v>2</v>
      </c>
      <c r="K1274" t="s">
        <v>27</v>
      </c>
      <c r="L1274">
        <v>4</v>
      </c>
      <c r="M1274">
        <v>3</v>
      </c>
      <c r="N1274" s="3">
        <v>3702</v>
      </c>
      <c r="O1274" s="3" t="str">
        <f>IF(Table2[[#This Row],[MonthlyIncome]]&lt;=5000, "$1001 - $5000", IF(Table2[[#This Row],[MonthlyIncome]]&lt;=9000, "$5001 - $9000", IF(Table2[[#This Row],[MonthlyIncome]]&lt;=13000, "$9001 - $13000", IF(Table2[[#This Row],[MonthlyIncome]]&lt;=17000, "$13001 - $17000", IF(Table2[[#This Row],[MonthlyIncome]]&lt;=21000, "$17001 - $21000")))))</f>
        <v>$1001 - $5000</v>
      </c>
      <c r="P1274">
        <v>1</v>
      </c>
      <c r="Q1274">
        <v>3</v>
      </c>
      <c r="R1274">
        <v>5</v>
      </c>
      <c r="S12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75" spans="1:19" ht="14.25" x14ac:dyDescent="0.2">
      <c r="A1275">
        <v>53044015</v>
      </c>
      <c r="B1275">
        <v>22</v>
      </c>
      <c r="C1275" t="s">
        <v>20</v>
      </c>
      <c r="D1275" t="s">
        <v>24</v>
      </c>
      <c r="E1275" t="s">
        <v>16</v>
      </c>
      <c r="F1275">
        <f>IF(Table2[[#This Row],[Attrition]]="Yes", 1, 0)</f>
        <v>1</v>
      </c>
      <c r="G1275" t="s">
        <v>28</v>
      </c>
      <c r="H1275" t="s">
        <v>23</v>
      </c>
      <c r="I1275">
        <v>8</v>
      </c>
      <c r="J1275">
        <v>1</v>
      </c>
      <c r="K1275" t="s">
        <v>29</v>
      </c>
      <c r="L1275">
        <v>3</v>
      </c>
      <c r="M1275">
        <v>1</v>
      </c>
      <c r="N1275" s="3">
        <v>2398</v>
      </c>
      <c r="O1275" s="3" t="str">
        <f>IF(Table2[[#This Row],[MonthlyIncome]]&lt;=5000, "$1001 - $5000", IF(Table2[[#This Row],[MonthlyIncome]]&lt;=9000, "$5001 - $9000", IF(Table2[[#This Row],[MonthlyIncome]]&lt;=13000, "$9001 - $13000", IF(Table2[[#This Row],[MonthlyIncome]]&lt;=17000, "$13001 - $17000", IF(Table2[[#This Row],[MonthlyIncome]]&lt;=21000, "$17001 - $21000")))))</f>
        <v>$1001 - $5000</v>
      </c>
      <c r="P1275">
        <v>1</v>
      </c>
      <c r="Q1275">
        <v>3</v>
      </c>
      <c r="R1275">
        <v>1</v>
      </c>
      <c r="S12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76" spans="1:19" ht="14.25" x14ac:dyDescent="0.2">
      <c r="A1276">
        <v>29957686</v>
      </c>
      <c r="B1276">
        <v>31</v>
      </c>
      <c r="C1276" t="s">
        <v>20</v>
      </c>
      <c r="D1276" t="s">
        <v>24</v>
      </c>
      <c r="E1276" t="s">
        <v>22</v>
      </c>
      <c r="F1276">
        <f>IF(Table2[[#This Row],[Attrition]]="Yes", 1, 0)</f>
        <v>0</v>
      </c>
      <c r="G1276" t="s">
        <v>21</v>
      </c>
      <c r="H1276" t="s">
        <v>17</v>
      </c>
      <c r="I1276">
        <v>29</v>
      </c>
      <c r="J1276">
        <v>4</v>
      </c>
      <c r="K1276" t="s">
        <v>36</v>
      </c>
      <c r="L1276">
        <v>1</v>
      </c>
      <c r="M1276">
        <v>4</v>
      </c>
      <c r="N1276" s="3">
        <v>5468</v>
      </c>
      <c r="O1276" s="3" t="str">
        <f>IF(Table2[[#This Row],[MonthlyIncome]]&lt;=5000, "$1001 - $5000", IF(Table2[[#This Row],[MonthlyIncome]]&lt;=9000, "$5001 - $9000", IF(Table2[[#This Row],[MonthlyIncome]]&lt;=13000, "$9001 - $13000", IF(Table2[[#This Row],[MonthlyIncome]]&lt;=17000, "$13001 - $17000", IF(Table2[[#This Row],[MonthlyIncome]]&lt;=21000, "$17001 - $21000")))))</f>
        <v>$5001 - $9000</v>
      </c>
      <c r="P1276">
        <v>1</v>
      </c>
      <c r="Q1276">
        <v>3</v>
      </c>
      <c r="R1276">
        <v>12</v>
      </c>
      <c r="S12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77" spans="1:19" ht="14.25" x14ac:dyDescent="0.2">
      <c r="A1277">
        <v>68612270</v>
      </c>
      <c r="B1277">
        <v>51</v>
      </c>
      <c r="C1277" t="s">
        <v>20</v>
      </c>
      <c r="D1277" t="s">
        <v>24</v>
      </c>
      <c r="E1277" t="s">
        <v>22</v>
      </c>
      <c r="F1277">
        <f>IF(Table2[[#This Row],[Attrition]]="Yes", 1, 0)</f>
        <v>0</v>
      </c>
      <c r="G1277" t="s">
        <v>33</v>
      </c>
      <c r="H1277" t="s">
        <v>23</v>
      </c>
      <c r="I1277">
        <v>3</v>
      </c>
      <c r="J1277">
        <v>3</v>
      </c>
      <c r="K1277" t="s">
        <v>37</v>
      </c>
      <c r="L1277">
        <v>1</v>
      </c>
      <c r="M1277">
        <v>3</v>
      </c>
      <c r="N1277" s="3">
        <v>13116</v>
      </c>
      <c r="O1277" s="3" t="str">
        <f>IF(Table2[[#This Row],[MonthlyIncome]]&lt;=5000, "$1001 - $5000", IF(Table2[[#This Row],[MonthlyIncome]]&lt;=9000, "$5001 - $9000", IF(Table2[[#This Row],[MonthlyIncome]]&lt;=13000, "$9001 - $13000", IF(Table2[[#This Row],[MonthlyIncome]]&lt;=17000, "$13001 - $17000", IF(Table2[[#This Row],[MonthlyIncome]]&lt;=21000, "$17001 - $21000")))))</f>
        <v>$13001 - $17000</v>
      </c>
      <c r="P1277">
        <v>2</v>
      </c>
      <c r="Q1277">
        <v>3</v>
      </c>
      <c r="R1277">
        <v>2</v>
      </c>
      <c r="S12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78" spans="1:19" ht="14.25" x14ac:dyDescent="0.2">
      <c r="A1278">
        <v>23682518</v>
      </c>
      <c r="B1278">
        <v>37</v>
      </c>
      <c r="C1278" t="s">
        <v>25</v>
      </c>
      <c r="D1278" t="s">
        <v>24</v>
      </c>
      <c r="E1278" t="s">
        <v>22</v>
      </c>
      <c r="F1278">
        <f>IF(Table2[[#This Row],[Attrition]]="Yes", 1, 0)</f>
        <v>0</v>
      </c>
      <c r="G1278" t="s">
        <v>21</v>
      </c>
      <c r="H1278" t="s">
        <v>17</v>
      </c>
      <c r="I1278">
        <v>9</v>
      </c>
      <c r="J1278">
        <v>2</v>
      </c>
      <c r="K1278" t="s">
        <v>36</v>
      </c>
      <c r="L1278">
        <v>2</v>
      </c>
      <c r="M1278">
        <v>2</v>
      </c>
      <c r="N1278" s="3">
        <v>4189</v>
      </c>
      <c r="O1278" s="3" t="str">
        <f>IF(Table2[[#This Row],[MonthlyIncome]]&lt;=5000, "$1001 - $5000", IF(Table2[[#This Row],[MonthlyIncome]]&lt;=9000, "$5001 - $9000", IF(Table2[[#This Row],[MonthlyIncome]]&lt;=13000, "$9001 - $13000", IF(Table2[[#This Row],[MonthlyIncome]]&lt;=17000, "$13001 - $17000", IF(Table2[[#This Row],[MonthlyIncome]]&lt;=21000, "$17001 - $21000")))))</f>
        <v>$1001 - $5000</v>
      </c>
      <c r="P1278">
        <v>1</v>
      </c>
      <c r="Q1278">
        <v>3</v>
      </c>
      <c r="R1278">
        <v>5</v>
      </c>
      <c r="S12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79" spans="1:19" ht="14.25" x14ac:dyDescent="0.2">
      <c r="A1279">
        <v>13954724</v>
      </c>
      <c r="B1279">
        <v>46</v>
      </c>
      <c r="C1279" t="s">
        <v>25</v>
      </c>
      <c r="D1279" t="s">
        <v>30</v>
      </c>
      <c r="E1279" t="s">
        <v>22</v>
      </c>
      <c r="F1279">
        <f>IF(Table2[[#This Row],[Attrition]]="Yes", 1, 0)</f>
        <v>0</v>
      </c>
      <c r="G1279" t="s">
        <v>35</v>
      </c>
      <c r="H1279" t="s">
        <v>23</v>
      </c>
      <c r="I1279">
        <v>2</v>
      </c>
      <c r="J1279">
        <v>4</v>
      </c>
      <c r="K1279" t="s">
        <v>29</v>
      </c>
      <c r="L1279">
        <v>3</v>
      </c>
      <c r="M1279">
        <v>4</v>
      </c>
      <c r="N1279" s="3">
        <v>19328</v>
      </c>
      <c r="O1279" s="3" t="str">
        <f>IF(Table2[[#This Row],[MonthlyIncome]]&lt;=5000, "$1001 - $5000", IF(Table2[[#This Row],[MonthlyIncome]]&lt;=9000, "$5001 - $9000", IF(Table2[[#This Row],[MonthlyIncome]]&lt;=13000, "$9001 - $13000", IF(Table2[[#This Row],[MonthlyIncome]]&lt;=17000, "$13001 - $17000", IF(Table2[[#This Row],[MonthlyIncome]]&lt;=21000, "$17001 - $21000")))))</f>
        <v>$17001 - $21000</v>
      </c>
      <c r="P1279">
        <v>7</v>
      </c>
      <c r="Q1279">
        <v>3</v>
      </c>
      <c r="R1279">
        <v>2</v>
      </c>
      <c r="S12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80" spans="1:19" ht="14.25" x14ac:dyDescent="0.2">
      <c r="A1280">
        <v>26534629</v>
      </c>
      <c r="B1280">
        <v>36</v>
      </c>
      <c r="C1280" t="s">
        <v>25</v>
      </c>
      <c r="D1280" t="s">
        <v>24</v>
      </c>
      <c r="E1280" t="s">
        <v>22</v>
      </c>
      <c r="F1280">
        <f>IF(Table2[[#This Row],[Attrition]]="Yes", 1, 0)</f>
        <v>0</v>
      </c>
      <c r="G1280" t="s">
        <v>32</v>
      </c>
      <c r="H1280" t="s">
        <v>23</v>
      </c>
      <c r="I1280">
        <v>10</v>
      </c>
      <c r="J1280">
        <v>3</v>
      </c>
      <c r="K1280" t="s">
        <v>18</v>
      </c>
      <c r="L1280">
        <v>4</v>
      </c>
      <c r="M1280">
        <v>1</v>
      </c>
      <c r="N1280" s="3">
        <v>8321</v>
      </c>
      <c r="O1280" s="3" t="str">
        <f>IF(Table2[[#This Row],[MonthlyIncome]]&lt;=5000, "$1001 - $5000", IF(Table2[[#This Row],[MonthlyIncome]]&lt;=9000, "$5001 - $9000", IF(Table2[[#This Row],[MonthlyIncome]]&lt;=13000, "$9001 - $13000", IF(Table2[[#This Row],[MonthlyIncome]]&lt;=17000, "$13001 - $17000", IF(Table2[[#This Row],[MonthlyIncome]]&lt;=21000, "$17001 - $21000")))))</f>
        <v>$5001 - $9000</v>
      </c>
      <c r="P1280">
        <v>7</v>
      </c>
      <c r="Q1280">
        <v>3</v>
      </c>
      <c r="R1280">
        <v>12</v>
      </c>
      <c r="S12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81" spans="1:19" ht="14.25" x14ac:dyDescent="0.2">
      <c r="A1281">
        <v>51232277</v>
      </c>
      <c r="B1281">
        <v>44</v>
      </c>
      <c r="C1281" t="s">
        <v>25</v>
      </c>
      <c r="D1281" t="s">
        <v>30</v>
      </c>
      <c r="E1281" t="s">
        <v>16</v>
      </c>
      <c r="F1281">
        <f>IF(Table2[[#This Row],[Attrition]]="Yes", 1, 0)</f>
        <v>1</v>
      </c>
      <c r="G1281" t="s">
        <v>26</v>
      </c>
      <c r="H1281" t="s">
        <v>23</v>
      </c>
      <c r="I1281">
        <v>1</v>
      </c>
      <c r="J1281">
        <v>2</v>
      </c>
      <c r="K1281" t="s">
        <v>29</v>
      </c>
      <c r="L1281">
        <v>3</v>
      </c>
      <c r="M1281">
        <v>2</v>
      </c>
      <c r="N1281" s="3">
        <v>2342</v>
      </c>
      <c r="O1281" s="3" t="str">
        <f>IF(Table2[[#This Row],[MonthlyIncome]]&lt;=5000, "$1001 - $5000", IF(Table2[[#This Row],[MonthlyIncome]]&lt;=9000, "$5001 - $9000", IF(Table2[[#This Row],[MonthlyIncome]]&lt;=13000, "$9001 - $13000", IF(Table2[[#This Row],[MonthlyIncome]]&lt;=17000, "$13001 - $17000", IF(Table2[[#This Row],[MonthlyIncome]]&lt;=21000, "$17001 - $21000")))))</f>
        <v>$1001 - $5000</v>
      </c>
      <c r="P1281">
        <v>1</v>
      </c>
      <c r="Q1281">
        <v>2</v>
      </c>
      <c r="R1281">
        <v>5</v>
      </c>
      <c r="S12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82" spans="1:19" ht="14.25" x14ac:dyDescent="0.2">
      <c r="A1282">
        <v>64993383</v>
      </c>
      <c r="B1282">
        <v>37</v>
      </c>
      <c r="C1282" t="s">
        <v>25</v>
      </c>
      <c r="D1282" t="s">
        <v>30</v>
      </c>
      <c r="E1282" t="s">
        <v>22</v>
      </c>
      <c r="F1282">
        <f>IF(Table2[[#This Row],[Attrition]]="Yes", 1, 0)</f>
        <v>0</v>
      </c>
      <c r="G1282" t="s">
        <v>38</v>
      </c>
      <c r="H1282" t="s">
        <v>38</v>
      </c>
      <c r="I1282">
        <v>8</v>
      </c>
      <c r="J1282">
        <v>2</v>
      </c>
      <c r="K1282" t="s">
        <v>27</v>
      </c>
      <c r="L1282">
        <v>3</v>
      </c>
      <c r="M1282">
        <v>2</v>
      </c>
      <c r="N1282" s="3">
        <v>4071</v>
      </c>
      <c r="O1282" s="3" t="str">
        <f>IF(Table2[[#This Row],[MonthlyIncome]]&lt;=5000, "$1001 - $5000", IF(Table2[[#This Row],[MonthlyIncome]]&lt;=9000, "$5001 - $9000", IF(Table2[[#This Row],[MonthlyIncome]]&lt;=13000, "$9001 - $13000", IF(Table2[[#This Row],[MonthlyIncome]]&lt;=17000, "$13001 - $17000", IF(Table2[[#This Row],[MonthlyIncome]]&lt;=21000, "$17001 - $21000")))))</f>
        <v>$1001 - $5000</v>
      </c>
      <c r="P1282">
        <v>2</v>
      </c>
      <c r="Q1282">
        <v>2</v>
      </c>
      <c r="R1282">
        <v>10</v>
      </c>
      <c r="S12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83" spans="1:19" ht="14.25" x14ac:dyDescent="0.2">
      <c r="A1283">
        <v>20159361</v>
      </c>
      <c r="B1283">
        <v>35</v>
      </c>
      <c r="C1283" t="s">
        <v>25</v>
      </c>
      <c r="D1283" t="s">
        <v>19</v>
      </c>
      <c r="E1283" t="s">
        <v>16</v>
      </c>
      <c r="F1283">
        <f>IF(Table2[[#This Row],[Attrition]]="Yes", 1, 0)</f>
        <v>1</v>
      </c>
      <c r="G1283" t="s">
        <v>21</v>
      </c>
      <c r="H1283" t="s">
        <v>17</v>
      </c>
      <c r="I1283">
        <v>27</v>
      </c>
      <c r="J1283">
        <v>3</v>
      </c>
      <c r="K1283" t="s">
        <v>18</v>
      </c>
      <c r="L1283">
        <v>3</v>
      </c>
      <c r="M1283">
        <v>4</v>
      </c>
      <c r="N1283" s="3">
        <v>5813</v>
      </c>
      <c r="O1283" s="3" t="str">
        <f>IF(Table2[[#This Row],[MonthlyIncome]]&lt;=5000, "$1001 - $5000", IF(Table2[[#This Row],[MonthlyIncome]]&lt;=9000, "$5001 - $9000", IF(Table2[[#This Row],[MonthlyIncome]]&lt;=13000, "$9001 - $13000", IF(Table2[[#This Row],[MonthlyIncome]]&lt;=17000, "$13001 - $17000", IF(Table2[[#This Row],[MonthlyIncome]]&lt;=21000, "$17001 - $21000")))))</f>
        <v>$5001 - $9000</v>
      </c>
      <c r="P1283">
        <v>1</v>
      </c>
      <c r="Q1283">
        <v>3</v>
      </c>
      <c r="R1283">
        <v>10</v>
      </c>
      <c r="S12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84" spans="1:19" ht="14.25" x14ac:dyDescent="0.2">
      <c r="A1284">
        <v>40340100</v>
      </c>
      <c r="B1284">
        <v>33</v>
      </c>
      <c r="C1284" t="s">
        <v>25</v>
      </c>
      <c r="D1284" t="s">
        <v>24</v>
      </c>
      <c r="E1284" t="s">
        <v>22</v>
      </c>
      <c r="F1284">
        <f>IF(Table2[[#This Row],[Attrition]]="Yes", 1, 0)</f>
        <v>0</v>
      </c>
      <c r="G1284" t="s">
        <v>26</v>
      </c>
      <c r="H1284" t="s">
        <v>23</v>
      </c>
      <c r="I1284">
        <v>8</v>
      </c>
      <c r="J1284">
        <v>4</v>
      </c>
      <c r="K1284" t="s">
        <v>18</v>
      </c>
      <c r="L1284">
        <v>4</v>
      </c>
      <c r="M1284">
        <v>1</v>
      </c>
      <c r="N1284" s="3">
        <v>3143</v>
      </c>
      <c r="O1284" s="3" t="str">
        <f>IF(Table2[[#This Row],[MonthlyIncome]]&lt;=5000, "$1001 - $5000", IF(Table2[[#This Row],[MonthlyIncome]]&lt;=9000, "$5001 - $9000", IF(Table2[[#This Row],[MonthlyIncome]]&lt;=13000, "$9001 - $13000", IF(Table2[[#This Row],[MonthlyIncome]]&lt;=17000, "$13001 - $17000", IF(Table2[[#This Row],[MonthlyIncome]]&lt;=21000, "$17001 - $21000")))))</f>
        <v>$1001 - $5000</v>
      </c>
      <c r="P1284">
        <v>6</v>
      </c>
      <c r="Q1284">
        <v>3</v>
      </c>
      <c r="R1284">
        <v>10</v>
      </c>
      <c r="S12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85" spans="1:19" ht="14.25" x14ac:dyDescent="0.2">
      <c r="A1285">
        <v>20526392</v>
      </c>
      <c r="B1285">
        <v>28</v>
      </c>
      <c r="C1285" t="s">
        <v>25</v>
      </c>
      <c r="D1285" t="s">
        <v>24</v>
      </c>
      <c r="E1285" t="s">
        <v>22</v>
      </c>
      <c r="F1285">
        <f>IF(Table2[[#This Row],[Attrition]]="Yes", 1, 0)</f>
        <v>0</v>
      </c>
      <c r="G1285" t="s">
        <v>26</v>
      </c>
      <c r="H1285" t="s">
        <v>23</v>
      </c>
      <c r="I1285">
        <v>1</v>
      </c>
      <c r="J1285">
        <v>3</v>
      </c>
      <c r="K1285" t="s">
        <v>18</v>
      </c>
      <c r="L1285">
        <v>3</v>
      </c>
      <c r="M1285">
        <v>4</v>
      </c>
      <c r="N1285" s="3">
        <v>2044</v>
      </c>
      <c r="O1285" s="3" t="str">
        <f>IF(Table2[[#This Row],[MonthlyIncome]]&lt;=5000, "$1001 - $5000", IF(Table2[[#This Row],[MonthlyIncome]]&lt;=9000, "$5001 - $9000", IF(Table2[[#This Row],[MonthlyIncome]]&lt;=13000, "$9001 - $13000", IF(Table2[[#This Row],[MonthlyIncome]]&lt;=17000, "$13001 - $17000", IF(Table2[[#This Row],[MonthlyIncome]]&lt;=21000, "$17001 - $21000")))))</f>
        <v>$1001 - $5000</v>
      </c>
      <c r="P1285">
        <v>1</v>
      </c>
      <c r="Q1285">
        <v>4</v>
      </c>
      <c r="R1285">
        <v>5</v>
      </c>
      <c r="S12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86" spans="1:19" ht="14.25" x14ac:dyDescent="0.2">
      <c r="A1286">
        <v>24638116</v>
      </c>
      <c r="B1286">
        <v>39</v>
      </c>
      <c r="C1286" t="s">
        <v>25</v>
      </c>
      <c r="D1286" t="s">
        <v>19</v>
      </c>
      <c r="E1286" t="s">
        <v>22</v>
      </c>
      <c r="F1286">
        <f>IF(Table2[[#This Row],[Attrition]]="Yes", 1, 0)</f>
        <v>0</v>
      </c>
      <c r="G1286" t="s">
        <v>35</v>
      </c>
      <c r="H1286" t="s">
        <v>23</v>
      </c>
      <c r="I1286">
        <v>10</v>
      </c>
      <c r="J1286">
        <v>1</v>
      </c>
      <c r="K1286" t="s">
        <v>29</v>
      </c>
      <c r="L1286">
        <v>3</v>
      </c>
      <c r="M1286">
        <v>3</v>
      </c>
      <c r="N1286" s="3">
        <v>13464</v>
      </c>
      <c r="O1286" s="3" t="str">
        <f>IF(Table2[[#This Row],[MonthlyIncome]]&lt;=5000, "$1001 - $5000", IF(Table2[[#This Row],[MonthlyIncome]]&lt;=9000, "$5001 - $9000", IF(Table2[[#This Row],[MonthlyIncome]]&lt;=13000, "$9001 - $13000", IF(Table2[[#This Row],[MonthlyIncome]]&lt;=17000, "$13001 - $17000", IF(Table2[[#This Row],[MonthlyIncome]]&lt;=21000, "$17001 - $21000")))))</f>
        <v>$13001 - $17000</v>
      </c>
      <c r="P1286">
        <v>7</v>
      </c>
      <c r="Q1286">
        <v>3</v>
      </c>
      <c r="R1286">
        <v>4</v>
      </c>
      <c r="S12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87" spans="1:19" ht="14.25" x14ac:dyDescent="0.2">
      <c r="A1287">
        <v>68859404</v>
      </c>
      <c r="B1287">
        <v>46</v>
      </c>
      <c r="C1287" t="s">
        <v>25</v>
      </c>
      <c r="D1287" t="s">
        <v>19</v>
      </c>
      <c r="E1287" t="s">
        <v>22</v>
      </c>
      <c r="F1287">
        <f>IF(Table2[[#This Row],[Attrition]]="Yes", 1, 0)</f>
        <v>0</v>
      </c>
      <c r="G1287" t="s">
        <v>21</v>
      </c>
      <c r="H1287" t="s">
        <v>17</v>
      </c>
      <c r="I1287">
        <v>26</v>
      </c>
      <c r="J1287">
        <v>2</v>
      </c>
      <c r="K1287" t="s">
        <v>18</v>
      </c>
      <c r="L1287">
        <v>2</v>
      </c>
      <c r="M1287">
        <v>2</v>
      </c>
      <c r="N1287" s="3">
        <v>7991</v>
      </c>
      <c r="O1287" s="3" t="str">
        <f>IF(Table2[[#This Row],[MonthlyIncome]]&lt;=5000, "$1001 - $5000", IF(Table2[[#This Row],[MonthlyIncome]]&lt;=9000, "$5001 - $9000", IF(Table2[[#This Row],[MonthlyIncome]]&lt;=13000, "$9001 - $13000", IF(Table2[[#This Row],[MonthlyIncome]]&lt;=17000, "$13001 - $17000", IF(Table2[[#This Row],[MonthlyIncome]]&lt;=21000, "$17001 - $21000")))))</f>
        <v>$5001 - $9000</v>
      </c>
      <c r="P1287">
        <v>8</v>
      </c>
      <c r="Q1287">
        <v>3</v>
      </c>
      <c r="R1287">
        <v>2</v>
      </c>
      <c r="S12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88" spans="1:19" ht="14.25" x14ac:dyDescent="0.2">
      <c r="A1288">
        <v>82886564</v>
      </c>
      <c r="B1288">
        <v>40</v>
      </c>
      <c r="C1288" t="s">
        <v>20</v>
      </c>
      <c r="D1288" t="s">
        <v>24</v>
      </c>
      <c r="E1288" t="s">
        <v>22</v>
      </c>
      <c r="F1288">
        <f>IF(Table2[[#This Row],[Attrition]]="Yes", 1, 0)</f>
        <v>0</v>
      </c>
      <c r="G1288" t="s">
        <v>28</v>
      </c>
      <c r="H1288" t="s">
        <v>23</v>
      </c>
      <c r="I1288">
        <v>2</v>
      </c>
      <c r="J1288">
        <v>2</v>
      </c>
      <c r="K1288" t="s">
        <v>18</v>
      </c>
      <c r="L1288">
        <v>3</v>
      </c>
      <c r="M1288">
        <v>1</v>
      </c>
      <c r="N1288" s="3">
        <v>3377</v>
      </c>
      <c r="O1288" s="3" t="str">
        <f>IF(Table2[[#This Row],[MonthlyIncome]]&lt;=5000, "$1001 - $5000", IF(Table2[[#This Row],[MonthlyIncome]]&lt;=9000, "$5001 - $9000", IF(Table2[[#This Row],[MonthlyIncome]]&lt;=13000, "$9001 - $13000", IF(Table2[[#This Row],[MonthlyIncome]]&lt;=17000, "$13001 - $17000", IF(Table2[[#This Row],[MonthlyIncome]]&lt;=21000, "$17001 - $21000")))))</f>
        <v>$1001 - $5000</v>
      </c>
      <c r="P1288">
        <v>4</v>
      </c>
      <c r="Q1288">
        <v>2</v>
      </c>
      <c r="R1288">
        <v>4</v>
      </c>
      <c r="S12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89" spans="1:19" ht="14.25" x14ac:dyDescent="0.2">
      <c r="A1289">
        <v>87806440</v>
      </c>
      <c r="B1289">
        <v>42</v>
      </c>
      <c r="C1289" t="s">
        <v>25</v>
      </c>
      <c r="D1289" t="s">
        <v>24</v>
      </c>
      <c r="E1289" t="s">
        <v>22</v>
      </c>
      <c r="F1289">
        <f>IF(Table2[[#This Row],[Attrition]]="Yes", 1, 0)</f>
        <v>0</v>
      </c>
      <c r="G1289" t="s">
        <v>32</v>
      </c>
      <c r="H1289" t="s">
        <v>23</v>
      </c>
      <c r="I1289">
        <v>13</v>
      </c>
      <c r="J1289">
        <v>3</v>
      </c>
      <c r="K1289" t="s">
        <v>29</v>
      </c>
      <c r="L1289">
        <v>2</v>
      </c>
      <c r="M1289">
        <v>1</v>
      </c>
      <c r="N1289" s="3">
        <v>5538</v>
      </c>
      <c r="O1289" s="3" t="str">
        <f>IF(Table2[[#This Row],[MonthlyIncome]]&lt;=5000, "$1001 - $5000", IF(Table2[[#This Row],[MonthlyIncome]]&lt;=9000, "$5001 - $9000", IF(Table2[[#This Row],[MonthlyIncome]]&lt;=13000, "$9001 - $13000", IF(Table2[[#This Row],[MonthlyIncome]]&lt;=17000, "$13001 - $17000", IF(Table2[[#This Row],[MonthlyIncome]]&lt;=21000, "$17001 - $21000")))))</f>
        <v>$5001 - $9000</v>
      </c>
      <c r="P1289">
        <v>5</v>
      </c>
      <c r="Q1289">
        <v>2</v>
      </c>
      <c r="R1289">
        <v>0</v>
      </c>
      <c r="S12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90" spans="1:19" ht="14.25" x14ac:dyDescent="0.2">
      <c r="A1290">
        <v>83728636</v>
      </c>
      <c r="B1290">
        <v>35</v>
      </c>
      <c r="C1290" t="s">
        <v>25</v>
      </c>
      <c r="D1290" t="s">
        <v>30</v>
      </c>
      <c r="E1290" t="s">
        <v>22</v>
      </c>
      <c r="F1290">
        <f>IF(Table2[[#This Row],[Attrition]]="Yes", 1, 0)</f>
        <v>0</v>
      </c>
      <c r="G1290" t="s">
        <v>31</v>
      </c>
      <c r="H1290" t="s">
        <v>23</v>
      </c>
      <c r="I1290">
        <v>2</v>
      </c>
      <c r="J1290">
        <v>2</v>
      </c>
      <c r="K1290" t="s">
        <v>29</v>
      </c>
      <c r="L1290">
        <v>2</v>
      </c>
      <c r="M1290">
        <v>4</v>
      </c>
      <c r="N1290" s="3">
        <v>5762</v>
      </c>
      <c r="O1290" s="3" t="str">
        <f>IF(Table2[[#This Row],[MonthlyIncome]]&lt;=5000, "$1001 - $5000", IF(Table2[[#This Row],[MonthlyIncome]]&lt;=9000, "$5001 - $9000", IF(Table2[[#This Row],[MonthlyIncome]]&lt;=13000, "$9001 - $13000", IF(Table2[[#This Row],[MonthlyIncome]]&lt;=17000, "$13001 - $17000", IF(Table2[[#This Row],[MonthlyIncome]]&lt;=21000, "$17001 - $21000")))))</f>
        <v>$5001 - $9000</v>
      </c>
      <c r="P1290">
        <v>2</v>
      </c>
      <c r="Q1290">
        <v>3</v>
      </c>
      <c r="R1290">
        <v>7</v>
      </c>
      <c r="S12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91" spans="1:19" ht="14.25" x14ac:dyDescent="0.2">
      <c r="A1291">
        <v>39881214</v>
      </c>
      <c r="B1291">
        <v>38</v>
      </c>
      <c r="C1291" t="s">
        <v>25</v>
      </c>
      <c r="D1291" t="s">
        <v>30</v>
      </c>
      <c r="E1291" t="s">
        <v>22</v>
      </c>
      <c r="F1291">
        <f>IF(Table2[[#This Row],[Attrition]]="Yes", 1, 0)</f>
        <v>0</v>
      </c>
      <c r="G1291" t="s">
        <v>38</v>
      </c>
      <c r="H1291" t="s">
        <v>38</v>
      </c>
      <c r="I1291">
        <v>2</v>
      </c>
      <c r="J1291">
        <v>3</v>
      </c>
      <c r="K1291" t="s">
        <v>38</v>
      </c>
      <c r="L1291">
        <v>1</v>
      </c>
      <c r="M1291">
        <v>2</v>
      </c>
      <c r="N1291" s="3">
        <v>2592</v>
      </c>
      <c r="O1291" s="3" t="str">
        <f>IF(Table2[[#This Row],[MonthlyIncome]]&lt;=5000, "$1001 - $5000", IF(Table2[[#This Row],[MonthlyIncome]]&lt;=9000, "$5001 - $9000", IF(Table2[[#This Row],[MonthlyIncome]]&lt;=13000, "$9001 - $13000", IF(Table2[[#This Row],[MonthlyIncome]]&lt;=17000, "$13001 - $17000", IF(Table2[[#This Row],[MonthlyIncome]]&lt;=21000, "$17001 - $21000")))))</f>
        <v>$1001 - $5000</v>
      </c>
      <c r="P1291">
        <v>5</v>
      </c>
      <c r="Q1291">
        <v>3</v>
      </c>
      <c r="R1291">
        <v>11</v>
      </c>
      <c r="S12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92" spans="1:19" ht="14.25" x14ac:dyDescent="0.2">
      <c r="A1292">
        <v>48764887</v>
      </c>
      <c r="B1292">
        <v>34</v>
      </c>
      <c r="C1292" t="s">
        <v>25</v>
      </c>
      <c r="D1292" t="s">
        <v>24</v>
      </c>
      <c r="E1292" t="s">
        <v>16</v>
      </c>
      <c r="F1292">
        <f>IF(Table2[[#This Row],[Attrition]]="Yes", 1, 0)</f>
        <v>1</v>
      </c>
      <c r="G1292" t="s">
        <v>28</v>
      </c>
      <c r="H1292" t="s">
        <v>23</v>
      </c>
      <c r="I1292">
        <v>9</v>
      </c>
      <c r="J1292">
        <v>4</v>
      </c>
      <c r="K1292" t="s">
        <v>18</v>
      </c>
      <c r="L1292">
        <v>4</v>
      </c>
      <c r="M1292">
        <v>1</v>
      </c>
      <c r="N1292" s="3">
        <v>5346</v>
      </c>
      <c r="O1292" s="3" t="str">
        <f>IF(Table2[[#This Row],[MonthlyIncome]]&lt;=5000, "$1001 - $5000", IF(Table2[[#This Row],[MonthlyIncome]]&lt;=9000, "$5001 - $9000", IF(Table2[[#This Row],[MonthlyIncome]]&lt;=13000, "$9001 - $13000", IF(Table2[[#This Row],[MonthlyIncome]]&lt;=17000, "$13001 - $17000", IF(Table2[[#This Row],[MonthlyIncome]]&lt;=21000, "$17001 - $21000")))))</f>
        <v>$5001 - $9000</v>
      </c>
      <c r="P1292">
        <v>4</v>
      </c>
      <c r="Q1292">
        <v>2</v>
      </c>
      <c r="R1292">
        <v>7</v>
      </c>
      <c r="S12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93" spans="1:19" ht="14.25" x14ac:dyDescent="0.2">
      <c r="A1293">
        <v>32902633</v>
      </c>
      <c r="B1293">
        <v>37</v>
      </c>
      <c r="C1293" t="s">
        <v>25</v>
      </c>
      <c r="D1293" t="s">
        <v>19</v>
      </c>
      <c r="E1293" t="s">
        <v>16</v>
      </c>
      <c r="F1293">
        <f>IF(Table2[[#This Row],[Attrition]]="Yes", 1, 0)</f>
        <v>1</v>
      </c>
      <c r="G1293" t="s">
        <v>31</v>
      </c>
      <c r="H1293" t="s">
        <v>23</v>
      </c>
      <c r="I1293">
        <v>10</v>
      </c>
      <c r="J1293">
        <v>4</v>
      </c>
      <c r="K1293" t="s">
        <v>29</v>
      </c>
      <c r="L1293">
        <v>4</v>
      </c>
      <c r="M1293">
        <v>1</v>
      </c>
      <c r="N1293" s="3">
        <v>4213</v>
      </c>
      <c r="O1293" s="3" t="str">
        <f>IF(Table2[[#This Row],[MonthlyIncome]]&lt;=5000, "$1001 - $5000", IF(Table2[[#This Row],[MonthlyIncome]]&lt;=9000, "$5001 - $9000", IF(Table2[[#This Row],[MonthlyIncome]]&lt;=13000, "$9001 - $13000", IF(Table2[[#This Row],[MonthlyIncome]]&lt;=17000, "$13001 - $17000", IF(Table2[[#This Row],[MonthlyIncome]]&lt;=21000, "$17001 - $21000")))))</f>
        <v>$1001 - $5000</v>
      </c>
      <c r="P1293">
        <v>1</v>
      </c>
      <c r="Q1293">
        <v>1</v>
      </c>
      <c r="R1293">
        <v>10</v>
      </c>
      <c r="S12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294" spans="1:19" ht="14.25" x14ac:dyDescent="0.2">
      <c r="A1294">
        <v>79653445</v>
      </c>
      <c r="B1294">
        <v>39</v>
      </c>
      <c r="C1294" t="s">
        <v>25</v>
      </c>
      <c r="D1294" t="s">
        <v>30</v>
      </c>
      <c r="E1294" t="s">
        <v>22</v>
      </c>
      <c r="F1294">
        <f>IF(Table2[[#This Row],[Attrition]]="Yes", 1, 0)</f>
        <v>0</v>
      </c>
      <c r="G1294" t="s">
        <v>21</v>
      </c>
      <c r="H1294" t="s">
        <v>17</v>
      </c>
      <c r="I1294">
        <v>20</v>
      </c>
      <c r="J1294">
        <v>3</v>
      </c>
      <c r="K1294" t="s">
        <v>18</v>
      </c>
      <c r="L1294">
        <v>3</v>
      </c>
      <c r="M1294">
        <v>4</v>
      </c>
      <c r="N1294" s="3">
        <v>4127</v>
      </c>
      <c r="O1294" s="3" t="str">
        <f>IF(Table2[[#This Row],[MonthlyIncome]]&lt;=5000, "$1001 - $5000", IF(Table2[[#This Row],[MonthlyIncome]]&lt;=9000, "$5001 - $9000", IF(Table2[[#This Row],[MonthlyIncome]]&lt;=13000, "$9001 - $13000", IF(Table2[[#This Row],[MonthlyIncome]]&lt;=17000, "$13001 - $17000", IF(Table2[[#This Row],[MonthlyIncome]]&lt;=21000, "$17001 - $21000")))))</f>
        <v>$1001 - $5000</v>
      </c>
      <c r="P1294">
        <v>2</v>
      </c>
      <c r="Q1294">
        <v>3</v>
      </c>
      <c r="R1294">
        <v>2</v>
      </c>
      <c r="S12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95" spans="1:19" ht="14.25" x14ac:dyDescent="0.2">
      <c r="A1295">
        <v>19984523</v>
      </c>
      <c r="B1295">
        <v>43</v>
      </c>
      <c r="C1295" t="s">
        <v>25</v>
      </c>
      <c r="D1295" t="s">
        <v>19</v>
      </c>
      <c r="E1295" t="s">
        <v>22</v>
      </c>
      <c r="F1295">
        <f>IF(Table2[[#This Row],[Attrition]]="Yes", 1, 0)</f>
        <v>0</v>
      </c>
      <c r="G1295" t="s">
        <v>26</v>
      </c>
      <c r="H1295" t="s">
        <v>23</v>
      </c>
      <c r="I1295">
        <v>9</v>
      </c>
      <c r="J1295">
        <v>3</v>
      </c>
      <c r="K1295" t="s">
        <v>18</v>
      </c>
      <c r="L1295">
        <v>1</v>
      </c>
      <c r="M1295">
        <v>3</v>
      </c>
      <c r="N1295" s="3">
        <v>2438</v>
      </c>
      <c r="O1295" s="3" t="str">
        <f>IF(Table2[[#This Row],[MonthlyIncome]]&lt;=5000, "$1001 - $5000", IF(Table2[[#This Row],[MonthlyIncome]]&lt;=9000, "$5001 - $9000", IF(Table2[[#This Row],[MonthlyIncome]]&lt;=13000, "$9001 - $13000", IF(Table2[[#This Row],[MonthlyIncome]]&lt;=17000, "$13001 - $17000", IF(Table2[[#This Row],[MonthlyIncome]]&lt;=21000, "$17001 - $21000")))))</f>
        <v>$1001 - $5000</v>
      </c>
      <c r="P1295">
        <v>4</v>
      </c>
      <c r="Q1295">
        <v>2</v>
      </c>
      <c r="R1295">
        <v>3</v>
      </c>
      <c r="S12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96" spans="1:19" ht="14.25" x14ac:dyDescent="0.2">
      <c r="A1296">
        <v>21610499</v>
      </c>
      <c r="B1296">
        <v>41</v>
      </c>
      <c r="C1296" t="s">
        <v>25</v>
      </c>
      <c r="D1296" t="s">
        <v>19</v>
      </c>
      <c r="E1296" t="s">
        <v>22</v>
      </c>
      <c r="F1296">
        <f>IF(Table2[[#This Row],[Attrition]]="Yes", 1, 0)</f>
        <v>0</v>
      </c>
      <c r="G1296" t="s">
        <v>32</v>
      </c>
      <c r="H1296" t="s">
        <v>23</v>
      </c>
      <c r="I1296">
        <v>5</v>
      </c>
      <c r="J1296">
        <v>3</v>
      </c>
      <c r="K1296" t="s">
        <v>18</v>
      </c>
      <c r="L1296">
        <v>2</v>
      </c>
      <c r="M1296">
        <v>2</v>
      </c>
      <c r="N1296" s="3">
        <v>6870</v>
      </c>
      <c r="O1296" s="3" t="str">
        <f>IF(Table2[[#This Row],[MonthlyIncome]]&lt;=5000, "$1001 - $5000", IF(Table2[[#This Row],[MonthlyIncome]]&lt;=9000, "$5001 - $9000", IF(Table2[[#This Row],[MonthlyIncome]]&lt;=13000, "$9001 - $13000", IF(Table2[[#This Row],[MonthlyIncome]]&lt;=17000, "$13001 - $17000", IF(Table2[[#This Row],[MonthlyIncome]]&lt;=21000, "$17001 - $21000")))))</f>
        <v>$5001 - $9000</v>
      </c>
      <c r="P1296">
        <v>3</v>
      </c>
      <c r="Q1296">
        <v>1</v>
      </c>
      <c r="R1296">
        <v>3</v>
      </c>
      <c r="S12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297" spans="1:19" ht="14.25" x14ac:dyDescent="0.2">
      <c r="A1297">
        <v>82119041</v>
      </c>
      <c r="B1297">
        <v>41</v>
      </c>
      <c r="C1297" t="s">
        <v>20</v>
      </c>
      <c r="D1297" t="s">
        <v>30</v>
      </c>
      <c r="E1297" t="s">
        <v>22</v>
      </c>
      <c r="F1297">
        <f>IF(Table2[[#This Row],[Attrition]]="Yes", 1, 0)</f>
        <v>0</v>
      </c>
      <c r="G1297" t="s">
        <v>21</v>
      </c>
      <c r="H1297" t="s">
        <v>17</v>
      </c>
      <c r="I1297">
        <v>4</v>
      </c>
      <c r="J1297">
        <v>1</v>
      </c>
      <c r="K1297" t="s">
        <v>36</v>
      </c>
      <c r="L1297">
        <v>3</v>
      </c>
      <c r="M1297">
        <v>3</v>
      </c>
      <c r="N1297" s="3">
        <v>10447</v>
      </c>
      <c r="O1297" s="3" t="str">
        <f>IF(Table2[[#This Row],[MonthlyIncome]]&lt;=5000, "$1001 - $5000", IF(Table2[[#This Row],[MonthlyIncome]]&lt;=9000, "$5001 - $9000", IF(Table2[[#This Row],[MonthlyIncome]]&lt;=13000, "$9001 - $13000", IF(Table2[[#This Row],[MonthlyIncome]]&lt;=17000, "$13001 - $17000", IF(Table2[[#This Row],[MonthlyIncome]]&lt;=21000, "$17001 - $21000")))))</f>
        <v>$9001 - $13000</v>
      </c>
      <c r="P1297">
        <v>0</v>
      </c>
      <c r="Q1297">
        <v>4</v>
      </c>
      <c r="R1297">
        <v>22</v>
      </c>
      <c r="S12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298" spans="1:19" ht="14.25" x14ac:dyDescent="0.2">
      <c r="A1298">
        <v>76257872</v>
      </c>
      <c r="B1298">
        <v>30</v>
      </c>
      <c r="C1298" t="s">
        <v>20</v>
      </c>
      <c r="D1298" t="s">
        <v>19</v>
      </c>
      <c r="E1298" t="s">
        <v>22</v>
      </c>
      <c r="F1298">
        <f>IF(Table2[[#This Row],[Attrition]]="Yes", 1, 0)</f>
        <v>0</v>
      </c>
      <c r="G1298" t="s">
        <v>31</v>
      </c>
      <c r="H1298" t="s">
        <v>23</v>
      </c>
      <c r="I1298">
        <v>10</v>
      </c>
      <c r="J1298">
        <v>3</v>
      </c>
      <c r="K1298" t="s">
        <v>29</v>
      </c>
      <c r="L1298">
        <v>1</v>
      </c>
      <c r="M1298">
        <v>3</v>
      </c>
      <c r="N1298" s="3">
        <v>9667</v>
      </c>
      <c r="O1298" s="3" t="str">
        <f>IF(Table2[[#This Row],[MonthlyIncome]]&lt;=5000, "$1001 - $5000", IF(Table2[[#This Row],[MonthlyIncome]]&lt;=9000, "$5001 - $9000", IF(Table2[[#This Row],[MonthlyIncome]]&lt;=13000, "$9001 - $13000", IF(Table2[[#This Row],[MonthlyIncome]]&lt;=17000, "$13001 - $17000", IF(Table2[[#This Row],[MonthlyIncome]]&lt;=21000, "$17001 - $21000")))))</f>
        <v>$9001 - $13000</v>
      </c>
      <c r="P1298">
        <v>9</v>
      </c>
      <c r="Q1298">
        <v>3</v>
      </c>
      <c r="R1298">
        <v>7</v>
      </c>
      <c r="S12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299" spans="1:19" ht="14.25" x14ac:dyDescent="0.2">
      <c r="A1299">
        <v>74789369</v>
      </c>
      <c r="B1299">
        <v>26</v>
      </c>
      <c r="C1299" t="s">
        <v>20</v>
      </c>
      <c r="D1299" t="s">
        <v>24</v>
      </c>
      <c r="E1299" t="s">
        <v>16</v>
      </c>
      <c r="F1299">
        <f>IF(Table2[[#This Row],[Attrition]]="Yes", 1, 0)</f>
        <v>1</v>
      </c>
      <c r="G1299" t="s">
        <v>38</v>
      </c>
      <c r="H1299" t="s">
        <v>38</v>
      </c>
      <c r="I1299">
        <v>20</v>
      </c>
      <c r="J1299">
        <v>2</v>
      </c>
      <c r="K1299" t="s">
        <v>29</v>
      </c>
      <c r="L1299">
        <v>4</v>
      </c>
      <c r="M1299">
        <v>2</v>
      </c>
      <c r="N1299" s="3">
        <v>2148</v>
      </c>
      <c r="O1299" s="3" t="str">
        <f>IF(Table2[[#This Row],[MonthlyIncome]]&lt;=5000, "$1001 - $5000", IF(Table2[[#This Row],[MonthlyIncome]]&lt;=9000, "$5001 - $9000", IF(Table2[[#This Row],[MonthlyIncome]]&lt;=13000, "$9001 - $13000", IF(Table2[[#This Row],[MonthlyIncome]]&lt;=17000, "$13001 - $17000", IF(Table2[[#This Row],[MonthlyIncome]]&lt;=21000, "$17001 - $21000")))))</f>
        <v>$1001 - $5000</v>
      </c>
      <c r="P1299">
        <v>0</v>
      </c>
      <c r="Q1299">
        <v>3</v>
      </c>
      <c r="R1299">
        <v>5</v>
      </c>
      <c r="S12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00" spans="1:19" ht="14.25" x14ac:dyDescent="0.2">
      <c r="A1300">
        <v>53809114</v>
      </c>
      <c r="B1300">
        <v>46</v>
      </c>
      <c r="C1300" t="s">
        <v>20</v>
      </c>
      <c r="D1300" t="s">
        <v>24</v>
      </c>
      <c r="E1300" t="s">
        <v>16</v>
      </c>
      <c r="F1300">
        <f>IF(Table2[[#This Row],[Attrition]]="Yes", 1, 0)</f>
        <v>1</v>
      </c>
      <c r="G1300" t="s">
        <v>32</v>
      </c>
      <c r="H1300" t="s">
        <v>23</v>
      </c>
      <c r="I1300">
        <v>21</v>
      </c>
      <c r="J1300">
        <v>2</v>
      </c>
      <c r="K1300" t="s">
        <v>29</v>
      </c>
      <c r="L1300">
        <v>4</v>
      </c>
      <c r="M1300">
        <v>2</v>
      </c>
      <c r="N1300" s="3">
        <v>8926</v>
      </c>
      <c r="O1300" s="3" t="str">
        <f>IF(Table2[[#This Row],[MonthlyIncome]]&lt;=5000, "$1001 - $5000", IF(Table2[[#This Row],[MonthlyIncome]]&lt;=9000, "$5001 - $9000", IF(Table2[[#This Row],[MonthlyIncome]]&lt;=13000, "$9001 - $13000", IF(Table2[[#This Row],[MonthlyIncome]]&lt;=17000, "$13001 - $17000", IF(Table2[[#This Row],[MonthlyIncome]]&lt;=21000, "$17001 - $21000")))))</f>
        <v>$5001 - $9000</v>
      </c>
      <c r="P1300">
        <v>4</v>
      </c>
      <c r="Q1300">
        <v>4</v>
      </c>
      <c r="R1300">
        <v>9</v>
      </c>
      <c r="S13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01" spans="1:19" ht="14.25" x14ac:dyDescent="0.2">
      <c r="A1301">
        <v>59190719</v>
      </c>
      <c r="B1301">
        <v>40</v>
      </c>
      <c r="C1301" t="s">
        <v>20</v>
      </c>
      <c r="D1301" t="s">
        <v>30</v>
      </c>
      <c r="E1301" t="s">
        <v>22</v>
      </c>
      <c r="F1301">
        <f>IF(Table2[[#This Row],[Attrition]]="Yes", 1, 0)</f>
        <v>0</v>
      </c>
      <c r="G1301" t="s">
        <v>32</v>
      </c>
      <c r="H1301" t="s">
        <v>23</v>
      </c>
      <c r="I1301">
        <v>1</v>
      </c>
      <c r="J1301">
        <v>3</v>
      </c>
      <c r="K1301" t="s">
        <v>18</v>
      </c>
      <c r="L1301">
        <v>3</v>
      </c>
      <c r="M1301">
        <v>4</v>
      </c>
      <c r="N1301" s="3">
        <v>6513</v>
      </c>
      <c r="O1301" s="3" t="str">
        <f>IF(Table2[[#This Row],[MonthlyIncome]]&lt;=5000, "$1001 - $5000", IF(Table2[[#This Row],[MonthlyIncome]]&lt;=9000, "$5001 - $9000", IF(Table2[[#This Row],[MonthlyIncome]]&lt;=13000, "$9001 - $13000", IF(Table2[[#This Row],[MonthlyIncome]]&lt;=17000, "$13001 - $17000", IF(Table2[[#This Row],[MonthlyIncome]]&lt;=21000, "$17001 - $21000")))))</f>
        <v>$5001 - $9000</v>
      </c>
      <c r="P1301">
        <v>4</v>
      </c>
      <c r="Q1301">
        <v>3</v>
      </c>
      <c r="R1301">
        <v>5</v>
      </c>
      <c r="S13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02" spans="1:19" ht="14.25" x14ac:dyDescent="0.2">
      <c r="A1302">
        <v>20342196</v>
      </c>
      <c r="B1302">
        <v>34</v>
      </c>
      <c r="C1302" t="s">
        <v>25</v>
      </c>
      <c r="D1302" t="s">
        <v>24</v>
      </c>
      <c r="E1302" t="s">
        <v>22</v>
      </c>
      <c r="F1302">
        <f>IF(Table2[[#This Row],[Attrition]]="Yes", 1, 0)</f>
        <v>0</v>
      </c>
      <c r="G1302" t="s">
        <v>21</v>
      </c>
      <c r="H1302" t="s">
        <v>17</v>
      </c>
      <c r="I1302">
        <v>8</v>
      </c>
      <c r="J1302">
        <v>2</v>
      </c>
      <c r="K1302" t="s">
        <v>37</v>
      </c>
      <c r="L1302">
        <v>2</v>
      </c>
      <c r="M1302">
        <v>3</v>
      </c>
      <c r="N1302" s="3">
        <v>6799</v>
      </c>
      <c r="O1302" s="3" t="str">
        <f>IF(Table2[[#This Row],[MonthlyIncome]]&lt;=5000, "$1001 - $5000", IF(Table2[[#This Row],[MonthlyIncome]]&lt;=9000, "$5001 - $9000", IF(Table2[[#This Row],[MonthlyIncome]]&lt;=13000, "$9001 - $13000", IF(Table2[[#This Row],[MonthlyIncome]]&lt;=17000, "$13001 - $17000", IF(Table2[[#This Row],[MonthlyIncome]]&lt;=21000, "$17001 - $21000")))))</f>
        <v>$5001 - $9000</v>
      </c>
      <c r="P1302">
        <v>1</v>
      </c>
      <c r="Q1302">
        <v>3</v>
      </c>
      <c r="R1302">
        <v>10</v>
      </c>
      <c r="S13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303" spans="1:19" ht="14.25" x14ac:dyDescent="0.2">
      <c r="A1303">
        <v>24722919</v>
      </c>
      <c r="B1303">
        <v>58</v>
      </c>
      <c r="C1303" t="s">
        <v>25</v>
      </c>
      <c r="D1303" t="s">
        <v>30</v>
      </c>
      <c r="E1303" t="s">
        <v>22</v>
      </c>
      <c r="F1303">
        <f>IF(Table2[[#This Row],[Attrition]]="Yes", 1, 0)</f>
        <v>0</v>
      </c>
      <c r="G1303" t="s">
        <v>33</v>
      </c>
      <c r="H1303" t="s">
        <v>17</v>
      </c>
      <c r="I1303">
        <v>2</v>
      </c>
      <c r="J1303">
        <v>3</v>
      </c>
      <c r="K1303" t="s">
        <v>29</v>
      </c>
      <c r="L1303">
        <v>2</v>
      </c>
      <c r="M1303">
        <v>2</v>
      </c>
      <c r="N1303" s="3">
        <v>16291</v>
      </c>
      <c r="O1303" s="3" t="str">
        <f>IF(Table2[[#This Row],[MonthlyIncome]]&lt;=5000, "$1001 - $5000", IF(Table2[[#This Row],[MonthlyIncome]]&lt;=9000, "$5001 - $9000", IF(Table2[[#This Row],[MonthlyIncome]]&lt;=13000, "$9001 - $13000", IF(Table2[[#This Row],[MonthlyIncome]]&lt;=17000, "$13001 - $17000", IF(Table2[[#This Row],[MonthlyIncome]]&lt;=21000, "$17001 - $21000")))))</f>
        <v>$13001 - $17000</v>
      </c>
      <c r="P1303">
        <v>4</v>
      </c>
      <c r="Q1303">
        <v>2</v>
      </c>
      <c r="R1303">
        <v>16</v>
      </c>
      <c r="S13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304" spans="1:19" ht="14.25" x14ac:dyDescent="0.2">
      <c r="A1304">
        <v>80639321</v>
      </c>
      <c r="B1304">
        <v>35</v>
      </c>
      <c r="C1304" t="s">
        <v>25</v>
      </c>
      <c r="D1304" t="s">
        <v>24</v>
      </c>
      <c r="E1304" t="s">
        <v>22</v>
      </c>
      <c r="F1304">
        <f>IF(Table2[[#This Row],[Attrition]]="Yes", 1, 0)</f>
        <v>0</v>
      </c>
      <c r="G1304" t="s">
        <v>28</v>
      </c>
      <c r="H1304" t="s">
        <v>23</v>
      </c>
      <c r="I1304">
        <v>23</v>
      </c>
      <c r="J1304">
        <v>4</v>
      </c>
      <c r="K1304" t="s">
        <v>29</v>
      </c>
      <c r="L1304">
        <v>2</v>
      </c>
      <c r="M1304">
        <v>3</v>
      </c>
      <c r="N1304" s="3">
        <v>2705</v>
      </c>
      <c r="O1304" s="3" t="str">
        <f>IF(Table2[[#This Row],[MonthlyIncome]]&lt;=5000, "$1001 - $5000", IF(Table2[[#This Row],[MonthlyIncome]]&lt;=9000, "$5001 - $9000", IF(Table2[[#This Row],[MonthlyIncome]]&lt;=13000, "$9001 - $13000", IF(Table2[[#This Row],[MonthlyIncome]]&lt;=17000, "$13001 - $17000", IF(Table2[[#This Row],[MonthlyIncome]]&lt;=21000, "$17001 - $21000")))))</f>
        <v>$1001 - $5000</v>
      </c>
      <c r="P1304">
        <v>0</v>
      </c>
      <c r="Q1304">
        <v>4</v>
      </c>
      <c r="R1304">
        <v>5</v>
      </c>
      <c r="S13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05" spans="1:19" ht="14.25" x14ac:dyDescent="0.2">
      <c r="A1305">
        <v>57816395</v>
      </c>
      <c r="B1305">
        <v>47</v>
      </c>
      <c r="C1305" t="s">
        <v>20</v>
      </c>
      <c r="D1305" t="s">
        <v>30</v>
      </c>
      <c r="E1305" t="s">
        <v>22</v>
      </c>
      <c r="F1305">
        <f>IF(Table2[[#This Row],[Attrition]]="Yes", 1, 0)</f>
        <v>0</v>
      </c>
      <c r="G1305" t="s">
        <v>31</v>
      </c>
      <c r="H1305" t="s">
        <v>23</v>
      </c>
      <c r="I1305">
        <v>4</v>
      </c>
      <c r="J1305">
        <v>3</v>
      </c>
      <c r="K1305" t="s">
        <v>18</v>
      </c>
      <c r="L1305">
        <v>3</v>
      </c>
      <c r="M1305">
        <v>2</v>
      </c>
      <c r="N1305" s="3">
        <v>10333</v>
      </c>
      <c r="O1305" s="3" t="str">
        <f>IF(Table2[[#This Row],[MonthlyIncome]]&lt;=5000, "$1001 - $5000", IF(Table2[[#This Row],[MonthlyIncome]]&lt;=9000, "$5001 - $9000", IF(Table2[[#This Row],[MonthlyIncome]]&lt;=13000, "$9001 - $13000", IF(Table2[[#This Row],[MonthlyIncome]]&lt;=17000, "$13001 - $17000", IF(Table2[[#This Row],[MonthlyIncome]]&lt;=21000, "$17001 - $21000")))))</f>
        <v>$9001 - $13000</v>
      </c>
      <c r="P1305">
        <v>8</v>
      </c>
      <c r="Q1305">
        <v>3</v>
      </c>
      <c r="R1305">
        <v>22</v>
      </c>
      <c r="S13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306" spans="1:19" ht="14.25" x14ac:dyDescent="0.2">
      <c r="A1306">
        <v>78612186</v>
      </c>
      <c r="B1306">
        <v>40</v>
      </c>
      <c r="C1306" t="s">
        <v>20</v>
      </c>
      <c r="D1306" t="s">
        <v>30</v>
      </c>
      <c r="E1306" t="s">
        <v>22</v>
      </c>
      <c r="F1306">
        <f>IF(Table2[[#This Row],[Attrition]]="Yes", 1, 0)</f>
        <v>0</v>
      </c>
      <c r="G1306" t="s">
        <v>32</v>
      </c>
      <c r="H1306" t="s">
        <v>23</v>
      </c>
      <c r="I1306">
        <v>12</v>
      </c>
      <c r="J1306">
        <v>3</v>
      </c>
      <c r="K1306" t="s">
        <v>18</v>
      </c>
      <c r="L1306">
        <v>2</v>
      </c>
      <c r="M1306">
        <v>1</v>
      </c>
      <c r="N1306" s="3">
        <v>4448</v>
      </c>
      <c r="O1306" s="3" t="str">
        <f>IF(Table2[[#This Row],[MonthlyIncome]]&lt;=5000, "$1001 - $5000", IF(Table2[[#This Row],[MonthlyIncome]]&lt;=9000, "$5001 - $9000", IF(Table2[[#This Row],[MonthlyIncome]]&lt;=13000, "$9001 - $13000", IF(Table2[[#This Row],[MonthlyIncome]]&lt;=17000, "$13001 - $17000", IF(Table2[[#This Row],[MonthlyIncome]]&lt;=21000, "$17001 - $21000")))))</f>
        <v>$1001 - $5000</v>
      </c>
      <c r="P1306">
        <v>2</v>
      </c>
      <c r="Q1306">
        <v>3</v>
      </c>
      <c r="R1306">
        <v>7</v>
      </c>
      <c r="S13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07" spans="1:19" ht="14.25" x14ac:dyDescent="0.2">
      <c r="A1307">
        <v>33320432</v>
      </c>
      <c r="B1307">
        <v>54</v>
      </c>
      <c r="C1307" t="s">
        <v>20</v>
      </c>
      <c r="D1307" t="s">
        <v>24</v>
      </c>
      <c r="E1307" t="s">
        <v>22</v>
      </c>
      <c r="F1307">
        <f>IF(Table2[[#This Row],[Attrition]]="Yes", 1, 0)</f>
        <v>0</v>
      </c>
      <c r="G1307" t="s">
        <v>26</v>
      </c>
      <c r="H1307" t="s">
        <v>23</v>
      </c>
      <c r="I1307">
        <v>7</v>
      </c>
      <c r="J1307">
        <v>4</v>
      </c>
      <c r="K1307" t="s">
        <v>29</v>
      </c>
      <c r="L1307">
        <v>4</v>
      </c>
      <c r="M1307">
        <v>4</v>
      </c>
      <c r="N1307" s="3">
        <v>6854</v>
      </c>
      <c r="O1307" s="3" t="str">
        <f>IF(Table2[[#This Row],[MonthlyIncome]]&lt;=5000, "$1001 - $5000", IF(Table2[[#This Row],[MonthlyIncome]]&lt;=9000, "$5001 - $9000", IF(Table2[[#This Row],[MonthlyIncome]]&lt;=13000, "$9001 - $13000", IF(Table2[[#This Row],[MonthlyIncome]]&lt;=17000, "$13001 - $17000", IF(Table2[[#This Row],[MonthlyIncome]]&lt;=21000, "$17001 - $21000")))))</f>
        <v>$5001 - $9000</v>
      </c>
      <c r="P1307">
        <v>4</v>
      </c>
      <c r="Q1307">
        <v>2</v>
      </c>
      <c r="R1307">
        <v>7</v>
      </c>
      <c r="S13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08" spans="1:19" ht="14.25" x14ac:dyDescent="0.2">
      <c r="A1308">
        <v>70249894</v>
      </c>
      <c r="B1308">
        <v>31</v>
      </c>
      <c r="C1308" t="s">
        <v>20</v>
      </c>
      <c r="D1308" t="s">
        <v>24</v>
      </c>
      <c r="E1308" t="s">
        <v>22</v>
      </c>
      <c r="F1308">
        <f>IF(Table2[[#This Row],[Attrition]]="Yes", 1, 0)</f>
        <v>0</v>
      </c>
      <c r="G1308" t="s">
        <v>21</v>
      </c>
      <c r="H1308" t="s">
        <v>17</v>
      </c>
      <c r="I1308">
        <v>7</v>
      </c>
      <c r="J1308">
        <v>4</v>
      </c>
      <c r="K1308" t="s">
        <v>36</v>
      </c>
      <c r="L1308">
        <v>1</v>
      </c>
      <c r="M1308">
        <v>1</v>
      </c>
      <c r="N1308" s="3">
        <v>9637</v>
      </c>
      <c r="O1308" s="3" t="str">
        <f>IF(Table2[[#This Row],[MonthlyIncome]]&lt;=5000, "$1001 - $5000", IF(Table2[[#This Row],[MonthlyIncome]]&lt;=9000, "$5001 - $9000", IF(Table2[[#This Row],[MonthlyIncome]]&lt;=13000, "$9001 - $13000", IF(Table2[[#This Row],[MonthlyIncome]]&lt;=17000, "$13001 - $17000", IF(Table2[[#This Row],[MonthlyIncome]]&lt;=21000, "$17001 - $21000")))))</f>
        <v>$9001 - $13000</v>
      </c>
      <c r="P1308">
        <v>2</v>
      </c>
      <c r="Q1308">
        <v>3</v>
      </c>
      <c r="R1308">
        <v>3</v>
      </c>
      <c r="S13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09" spans="1:19" ht="14.25" x14ac:dyDescent="0.2">
      <c r="A1309">
        <v>35386522</v>
      </c>
      <c r="B1309">
        <v>28</v>
      </c>
      <c r="C1309" t="s">
        <v>20</v>
      </c>
      <c r="D1309" t="s">
        <v>24</v>
      </c>
      <c r="E1309" t="s">
        <v>22</v>
      </c>
      <c r="F1309">
        <f>IF(Table2[[#This Row],[Attrition]]="Yes", 1, 0)</f>
        <v>0</v>
      </c>
      <c r="G1309" t="s">
        <v>26</v>
      </c>
      <c r="H1309" t="s">
        <v>23</v>
      </c>
      <c r="I1309">
        <v>1</v>
      </c>
      <c r="J1309">
        <v>3</v>
      </c>
      <c r="K1309" t="s">
        <v>29</v>
      </c>
      <c r="L1309">
        <v>3</v>
      </c>
      <c r="M1309">
        <v>1</v>
      </c>
      <c r="N1309" s="3">
        <v>3591</v>
      </c>
      <c r="O1309" s="3" t="str">
        <f>IF(Table2[[#This Row],[MonthlyIncome]]&lt;=5000, "$1001 - $5000", IF(Table2[[#This Row],[MonthlyIncome]]&lt;=9000, "$5001 - $9000", IF(Table2[[#This Row],[MonthlyIncome]]&lt;=13000, "$9001 - $13000", IF(Table2[[#This Row],[MonthlyIncome]]&lt;=17000, "$13001 - $17000", IF(Table2[[#This Row],[MonthlyIncome]]&lt;=21000, "$17001 - $21000")))))</f>
        <v>$1001 - $5000</v>
      </c>
      <c r="P1309">
        <v>1</v>
      </c>
      <c r="Q1309">
        <v>3</v>
      </c>
      <c r="R1309">
        <v>3</v>
      </c>
      <c r="S13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10" spans="1:19" ht="14.25" x14ac:dyDescent="0.2">
      <c r="A1310">
        <v>18795606</v>
      </c>
      <c r="B1310">
        <v>38</v>
      </c>
      <c r="C1310" t="s">
        <v>20</v>
      </c>
      <c r="D1310" t="s">
        <v>24</v>
      </c>
      <c r="E1310" t="s">
        <v>22</v>
      </c>
      <c r="F1310">
        <f>IF(Table2[[#This Row],[Attrition]]="Yes", 1, 0)</f>
        <v>0</v>
      </c>
      <c r="G1310" t="s">
        <v>34</v>
      </c>
      <c r="H1310" t="s">
        <v>17</v>
      </c>
      <c r="I1310">
        <v>2</v>
      </c>
      <c r="J1310">
        <v>4</v>
      </c>
      <c r="K1310" t="s">
        <v>36</v>
      </c>
      <c r="L1310">
        <v>2</v>
      </c>
      <c r="M1310">
        <v>4</v>
      </c>
      <c r="N1310" s="3">
        <v>5405</v>
      </c>
      <c r="O1310" s="3" t="str">
        <f>IF(Table2[[#This Row],[MonthlyIncome]]&lt;=5000, "$1001 - $5000", IF(Table2[[#This Row],[MonthlyIncome]]&lt;=9000, "$5001 - $9000", IF(Table2[[#This Row],[MonthlyIncome]]&lt;=13000, "$9001 - $13000", IF(Table2[[#This Row],[MonthlyIncome]]&lt;=17000, "$13001 - $17000", IF(Table2[[#This Row],[MonthlyIncome]]&lt;=21000, "$17001 - $21000")))))</f>
        <v>$5001 - $9000</v>
      </c>
      <c r="P1310">
        <v>2</v>
      </c>
      <c r="Q1310">
        <v>2</v>
      </c>
      <c r="R1310">
        <v>4</v>
      </c>
      <c r="S13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11" spans="1:19" ht="14.25" x14ac:dyDescent="0.2">
      <c r="A1311">
        <v>41943272</v>
      </c>
      <c r="B1311">
        <v>26</v>
      </c>
      <c r="C1311" t="s">
        <v>25</v>
      </c>
      <c r="D1311" t="s">
        <v>19</v>
      </c>
      <c r="E1311" t="s">
        <v>22</v>
      </c>
      <c r="F1311">
        <f>IF(Table2[[#This Row],[Attrition]]="Yes", 1, 0)</f>
        <v>0</v>
      </c>
      <c r="G1311" t="s">
        <v>21</v>
      </c>
      <c r="H1311" t="s">
        <v>17</v>
      </c>
      <c r="I1311">
        <v>10</v>
      </c>
      <c r="J1311">
        <v>3</v>
      </c>
      <c r="K1311" t="s">
        <v>29</v>
      </c>
      <c r="L1311">
        <v>3</v>
      </c>
      <c r="M1311">
        <v>4</v>
      </c>
      <c r="N1311" s="3">
        <v>4684</v>
      </c>
      <c r="O1311" s="3" t="str">
        <f>IF(Table2[[#This Row],[MonthlyIncome]]&lt;=5000, "$1001 - $5000", IF(Table2[[#This Row],[MonthlyIncome]]&lt;=9000, "$5001 - $9000", IF(Table2[[#This Row],[MonthlyIncome]]&lt;=13000, "$9001 - $13000", IF(Table2[[#This Row],[MonthlyIncome]]&lt;=17000, "$13001 - $17000", IF(Table2[[#This Row],[MonthlyIncome]]&lt;=21000, "$17001 - $21000")))))</f>
        <v>$1001 - $5000</v>
      </c>
      <c r="P1311">
        <v>1</v>
      </c>
      <c r="Q1311">
        <v>3</v>
      </c>
      <c r="R1311">
        <v>5</v>
      </c>
      <c r="S13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12" spans="1:19" ht="14.25" x14ac:dyDescent="0.2">
      <c r="A1312">
        <v>28323401</v>
      </c>
      <c r="B1312">
        <v>58</v>
      </c>
      <c r="C1312" t="s">
        <v>25</v>
      </c>
      <c r="D1312" t="s">
        <v>24</v>
      </c>
      <c r="E1312" t="s">
        <v>22</v>
      </c>
      <c r="F1312">
        <f>IF(Table2[[#This Row],[Attrition]]="Yes", 1, 0)</f>
        <v>0</v>
      </c>
      <c r="G1312" t="s">
        <v>35</v>
      </c>
      <c r="H1312" t="s">
        <v>23</v>
      </c>
      <c r="I1312">
        <v>15</v>
      </c>
      <c r="J1312">
        <v>4</v>
      </c>
      <c r="K1312" t="s">
        <v>18</v>
      </c>
      <c r="L1312">
        <v>1</v>
      </c>
      <c r="M1312">
        <v>3</v>
      </c>
      <c r="N1312" s="3">
        <v>15787</v>
      </c>
      <c r="O1312" s="3" t="str">
        <f>IF(Table2[[#This Row],[MonthlyIncome]]&lt;=5000, "$1001 - $5000", IF(Table2[[#This Row],[MonthlyIncome]]&lt;=9000, "$5001 - $9000", IF(Table2[[#This Row],[MonthlyIncome]]&lt;=13000, "$9001 - $13000", IF(Table2[[#This Row],[MonthlyIncome]]&lt;=17000, "$13001 - $17000", IF(Table2[[#This Row],[MonthlyIncome]]&lt;=21000, "$17001 - $21000")))))</f>
        <v>$13001 - $17000</v>
      </c>
      <c r="P1312">
        <v>2</v>
      </c>
      <c r="Q1312">
        <v>3</v>
      </c>
      <c r="R1312">
        <v>2</v>
      </c>
      <c r="S13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13" spans="1:19" ht="14.25" x14ac:dyDescent="0.2">
      <c r="A1313">
        <v>44694044</v>
      </c>
      <c r="B1313">
        <v>18</v>
      </c>
      <c r="C1313" t="s">
        <v>20</v>
      </c>
      <c r="D1313" t="s">
        <v>19</v>
      </c>
      <c r="E1313" t="s">
        <v>22</v>
      </c>
      <c r="F1313">
        <f>IF(Table2[[#This Row],[Attrition]]="Yes", 1, 0)</f>
        <v>0</v>
      </c>
      <c r="G1313" t="s">
        <v>26</v>
      </c>
      <c r="H1313" t="s">
        <v>23</v>
      </c>
      <c r="I1313">
        <v>14</v>
      </c>
      <c r="J1313">
        <v>3</v>
      </c>
      <c r="K1313" t="s">
        <v>29</v>
      </c>
      <c r="L1313">
        <v>2</v>
      </c>
      <c r="M1313">
        <v>3</v>
      </c>
      <c r="N1313" s="3">
        <v>1514</v>
      </c>
      <c r="O1313" s="3" t="str">
        <f>IF(Table2[[#This Row],[MonthlyIncome]]&lt;=5000, "$1001 - $5000", IF(Table2[[#This Row],[MonthlyIncome]]&lt;=9000, "$5001 - $9000", IF(Table2[[#This Row],[MonthlyIncome]]&lt;=13000, "$9001 - $13000", IF(Table2[[#This Row],[MonthlyIncome]]&lt;=17000, "$13001 - $17000", IF(Table2[[#This Row],[MonthlyIncome]]&lt;=21000, "$17001 - $21000")))))</f>
        <v>$1001 - $5000</v>
      </c>
      <c r="P1313">
        <v>1</v>
      </c>
      <c r="Q1313">
        <v>1</v>
      </c>
      <c r="R1313">
        <v>0</v>
      </c>
      <c r="S13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14" spans="1:19" ht="14.25" x14ac:dyDescent="0.2">
      <c r="A1314">
        <v>42582566</v>
      </c>
      <c r="B1314">
        <v>31</v>
      </c>
      <c r="C1314" t="s">
        <v>25</v>
      </c>
      <c r="D1314" t="s">
        <v>24</v>
      </c>
      <c r="E1314" t="s">
        <v>16</v>
      </c>
      <c r="F1314">
        <f>IF(Table2[[#This Row],[Attrition]]="Yes", 1, 0)</f>
        <v>1</v>
      </c>
      <c r="G1314" t="s">
        <v>38</v>
      </c>
      <c r="H1314" t="s">
        <v>38</v>
      </c>
      <c r="I1314">
        <v>18</v>
      </c>
      <c r="J1314">
        <v>5</v>
      </c>
      <c r="K1314" t="s">
        <v>38</v>
      </c>
      <c r="L1314">
        <v>4</v>
      </c>
      <c r="M1314">
        <v>1</v>
      </c>
      <c r="N1314" s="3">
        <v>2956</v>
      </c>
      <c r="O1314" s="3" t="str">
        <f>IF(Table2[[#This Row],[MonthlyIncome]]&lt;=5000, "$1001 - $5000", IF(Table2[[#This Row],[MonthlyIncome]]&lt;=9000, "$5001 - $9000", IF(Table2[[#This Row],[MonthlyIncome]]&lt;=13000, "$9001 - $13000", IF(Table2[[#This Row],[MonthlyIncome]]&lt;=17000, "$13001 - $17000", IF(Table2[[#This Row],[MonthlyIncome]]&lt;=21000, "$17001 - $21000")))))</f>
        <v>$1001 - $5000</v>
      </c>
      <c r="P1314">
        <v>0</v>
      </c>
      <c r="Q1314">
        <v>3</v>
      </c>
      <c r="R1314">
        <v>1</v>
      </c>
      <c r="S13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15" spans="1:19" ht="14.25" x14ac:dyDescent="0.2">
      <c r="A1315">
        <v>87361990</v>
      </c>
      <c r="B1315">
        <v>29</v>
      </c>
      <c r="C1315" t="s">
        <v>25</v>
      </c>
      <c r="D1315" t="s">
        <v>30</v>
      </c>
      <c r="E1315" t="s">
        <v>16</v>
      </c>
      <c r="F1315">
        <f>IF(Table2[[#This Row],[Attrition]]="Yes", 1, 0)</f>
        <v>1</v>
      </c>
      <c r="G1315" t="s">
        <v>38</v>
      </c>
      <c r="H1315" t="s">
        <v>38</v>
      </c>
      <c r="I1315">
        <v>13</v>
      </c>
      <c r="J1315">
        <v>3</v>
      </c>
      <c r="K1315" t="s">
        <v>38</v>
      </c>
      <c r="L1315">
        <v>1</v>
      </c>
      <c r="M1315">
        <v>1</v>
      </c>
      <c r="N1315" s="3">
        <v>2335</v>
      </c>
      <c r="O1315" s="3" t="str">
        <f>IF(Table2[[#This Row],[MonthlyIncome]]&lt;=5000, "$1001 - $5000", IF(Table2[[#This Row],[MonthlyIncome]]&lt;=9000, "$5001 - $9000", IF(Table2[[#This Row],[MonthlyIncome]]&lt;=13000, "$9001 - $13000", IF(Table2[[#This Row],[MonthlyIncome]]&lt;=17000, "$13001 - $17000", IF(Table2[[#This Row],[MonthlyIncome]]&lt;=21000, "$17001 - $21000")))))</f>
        <v>$1001 - $5000</v>
      </c>
      <c r="P1315">
        <v>4</v>
      </c>
      <c r="Q1315">
        <v>3</v>
      </c>
      <c r="R1315">
        <v>2</v>
      </c>
      <c r="S13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16" spans="1:19" ht="14.25" x14ac:dyDescent="0.2">
      <c r="A1316">
        <v>64049065</v>
      </c>
      <c r="B1316">
        <v>45</v>
      </c>
      <c r="C1316" t="s">
        <v>20</v>
      </c>
      <c r="D1316" t="s">
        <v>24</v>
      </c>
      <c r="E1316" t="s">
        <v>22</v>
      </c>
      <c r="F1316">
        <f>IF(Table2[[#This Row],[Attrition]]="Yes", 1, 0)</f>
        <v>0</v>
      </c>
      <c r="G1316" t="s">
        <v>21</v>
      </c>
      <c r="H1316" t="s">
        <v>17</v>
      </c>
      <c r="I1316">
        <v>2</v>
      </c>
      <c r="J1316">
        <v>4</v>
      </c>
      <c r="K1316" t="s">
        <v>18</v>
      </c>
      <c r="L1316">
        <v>3</v>
      </c>
      <c r="M1316">
        <v>3</v>
      </c>
      <c r="N1316" s="3">
        <v>5154</v>
      </c>
      <c r="O1316" s="3" t="str">
        <f>IF(Table2[[#This Row],[MonthlyIncome]]&lt;=5000, "$1001 - $5000", IF(Table2[[#This Row],[MonthlyIncome]]&lt;=9000, "$5001 - $9000", IF(Table2[[#This Row],[MonthlyIncome]]&lt;=13000, "$9001 - $13000", IF(Table2[[#This Row],[MonthlyIncome]]&lt;=17000, "$13001 - $17000", IF(Table2[[#This Row],[MonthlyIncome]]&lt;=21000, "$17001 - $21000")))))</f>
        <v>$5001 - $9000</v>
      </c>
      <c r="P1316">
        <v>4</v>
      </c>
      <c r="Q1316">
        <v>4</v>
      </c>
      <c r="R1316">
        <v>8</v>
      </c>
      <c r="S13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17" spans="1:19" ht="14.25" x14ac:dyDescent="0.2">
      <c r="A1317">
        <v>48122387</v>
      </c>
      <c r="B1317">
        <v>36</v>
      </c>
      <c r="C1317" t="s">
        <v>20</v>
      </c>
      <c r="D1317" t="s">
        <v>24</v>
      </c>
      <c r="E1317" t="s">
        <v>22</v>
      </c>
      <c r="F1317">
        <f>IF(Table2[[#This Row],[Attrition]]="Yes", 1, 0)</f>
        <v>0</v>
      </c>
      <c r="G1317" t="s">
        <v>26</v>
      </c>
      <c r="H1317" t="s">
        <v>23</v>
      </c>
      <c r="I1317">
        <v>2</v>
      </c>
      <c r="J1317">
        <v>4</v>
      </c>
      <c r="K1317" t="s">
        <v>27</v>
      </c>
      <c r="L1317">
        <v>4</v>
      </c>
      <c r="M1317">
        <v>2</v>
      </c>
      <c r="N1317" s="3">
        <v>6962</v>
      </c>
      <c r="O1317" s="3" t="str">
        <f>IF(Table2[[#This Row],[MonthlyIncome]]&lt;=5000, "$1001 - $5000", IF(Table2[[#This Row],[MonthlyIncome]]&lt;=9000, "$5001 - $9000", IF(Table2[[#This Row],[MonthlyIncome]]&lt;=13000, "$9001 - $13000", IF(Table2[[#This Row],[MonthlyIncome]]&lt;=17000, "$13001 - $17000", IF(Table2[[#This Row],[MonthlyIncome]]&lt;=21000, "$17001 - $21000")))))</f>
        <v>$5001 - $9000</v>
      </c>
      <c r="P1317">
        <v>4</v>
      </c>
      <c r="Q1317">
        <v>3</v>
      </c>
      <c r="R1317">
        <v>1</v>
      </c>
      <c r="S13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18" spans="1:19" ht="14.25" x14ac:dyDescent="0.2">
      <c r="A1318">
        <v>18261430</v>
      </c>
      <c r="B1318">
        <v>43</v>
      </c>
      <c r="C1318" t="s">
        <v>25</v>
      </c>
      <c r="D1318" t="s">
        <v>24</v>
      </c>
      <c r="E1318" t="s">
        <v>22</v>
      </c>
      <c r="F1318">
        <f>IF(Table2[[#This Row],[Attrition]]="Yes", 1, 0)</f>
        <v>0</v>
      </c>
      <c r="G1318" t="s">
        <v>21</v>
      </c>
      <c r="H1318" t="s">
        <v>17</v>
      </c>
      <c r="I1318">
        <v>2</v>
      </c>
      <c r="J1318">
        <v>4</v>
      </c>
      <c r="K1318" t="s">
        <v>18</v>
      </c>
      <c r="L1318">
        <v>1</v>
      </c>
      <c r="M1318">
        <v>4</v>
      </c>
      <c r="N1318" s="3">
        <v>5675</v>
      </c>
      <c r="O1318" s="3" t="str">
        <f>IF(Table2[[#This Row],[MonthlyIncome]]&lt;=5000, "$1001 - $5000", IF(Table2[[#This Row],[MonthlyIncome]]&lt;=9000, "$5001 - $9000", IF(Table2[[#This Row],[MonthlyIncome]]&lt;=13000, "$9001 - $13000", IF(Table2[[#This Row],[MonthlyIncome]]&lt;=17000, "$13001 - $17000", IF(Table2[[#This Row],[MonthlyIncome]]&lt;=21000, "$17001 - $21000")))))</f>
        <v>$5001 - $9000</v>
      </c>
      <c r="P1318">
        <v>1</v>
      </c>
      <c r="Q1318">
        <v>3</v>
      </c>
      <c r="R1318">
        <v>7</v>
      </c>
      <c r="S13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19" spans="1:19" ht="14.25" x14ac:dyDescent="0.2">
      <c r="A1319">
        <v>76598029</v>
      </c>
      <c r="B1319">
        <v>27</v>
      </c>
      <c r="C1319" t="s">
        <v>20</v>
      </c>
      <c r="D1319" t="s">
        <v>19</v>
      </c>
      <c r="E1319" t="s">
        <v>22</v>
      </c>
      <c r="F1319">
        <f>IF(Table2[[#This Row],[Attrition]]="Yes", 1, 0)</f>
        <v>0</v>
      </c>
      <c r="G1319" t="s">
        <v>28</v>
      </c>
      <c r="H1319" t="s">
        <v>23</v>
      </c>
      <c r="I1319">
        <v>5</v>
      </c>
      <c r="J1319">
        <v>2</v>
      </c>
      <c r="K1319" t="s">
        <v>18</v>
      </c>
      <c r="L1319">
        <v>4</v>
      </c>
      <c r="M1319">
        <v>4</v>
      </c>
      <c r="N1319" s="3">
        <v>2379</v>
      </c>
      <c r="O1319" s="3" t="str">
        <f>IF(Table2[[#This Row],[MonthlyIncome]]&lt;=5000, "$1001 - $5000", IF(Table2[[#This Row],[MonthlyIncome]]&lt;=9000, "$5001 - $9000", IF(Table2[[#This Row],[MonthlyIncome]]&lt;=13000, "$9001 - $13000", IF(Table2[[#This Row],[MonthlyIncome]]&lt;=17000, "$13001 - $17000", IF(Table2[[#This Row],[MonthlyIncome]]&lt;=21000, "$17001 - $21000")))))</f>
        <v>$1001 - $5000</v>
      </c>
      <c r="P1319">
        <v>0</v>
      </c>
      <c r="Q1319">
        <v>2</v>
      </c>
      <c r="R1319">
        <v>5</v>
      </c>
      <c r="S13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20" spans="1:19" ht="14.25" x14ac:dyDescent="0.2">
      <c r="A1320">
        <v>79733002</v>
      </c>
      <c r="B1320">
        <v>29</v>
      </c>
      <c r="C1320" t="s">
        <v>25</v>
      </c>
      <c r="D1320" t="s">
        <v>24</v>
      </c>
      <c r="E1320" t="s">
        <v>22</v>
      </c>
      <c r="F1320">
        <f>IF(Table2[[#This Row],[Attrition]]="Yes", 1, 0)</f>
        <v>0</v>
      </c>
      <c r="G1320" t="s">
        <v>28</v>
      </c>
      <c r="H1320" t="s">
        <v>23</v>
      </c>
      <c r="I1320">
        <v>20</v>
      </c>
      <c r="J1320">
        <v>1</v>
      </c>
      <c r="K1320" t="s">
        <v>29</v>
      </c>
      <c r="L1320">
        <v>4</v>
      </c>
      <c r="M1320">
        <v>4</v>
      </c>
      <c r="N1320" s="3">
        <v>3812</v>
      </c>
      <c r="O1320" s="3" t="str">
        <f>IF(Table2[[#This Row],[MonthlyIncome]]&lt;=5000, "$1001 - $5000", IF(Table2[[#This Row],[MonthlyIncome]]&lt;=9000, "$5001 - $9000", IF(Table2[[#This Row],[MonthlyIncome]]&lt;=13000, "$9001 - $13000", IF(Table2[[#This Row],[MonthlyIncome]]&lt;=17000, "$13001 - $17000", IF(Table2[[#This Row],[MonthlyIncome]]&lt;=21000, "$17001 - $21000")))))</f>
        <v>$1001 - $5000</v>
      </c>
      <c r="P1320">
        <v>1</v>
      </c>
      <c r="Q1320">
        <v>4</v>
      </c>
      <c r="R1320">
        <v>11</v>
      </c>
      <c r="S13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321" spans="1:19" ht="14.25" x14ac:dyDescent="0.2">
      <c r="A1321">
        <v>14040357</v>
      </c>
      <c r="B1321">
        <v>32</v>
      </c>
      <c r="C1321" t="s">
        <v>25</v>
      </c>
      <c r="D1321" t="s">
        <v>19</v>
      </c>
      <c r="E1321" t="s">
        <v>22</v>
      </c>
      <c r="F1321">
        <f>IF(Table2[[#This Row],[Attrition]]="Yes", 1, 0)</f>
        <v>0</v>
      </c>
      <c r="G1321" t="s">
        <v>21</v>
      </c>
      <c r="H1321" t="s">
        <v>17</v>
      </c>
      <c r="I1321">
        <v>10</v>
      </c>
      <c r="J1321">
        <v>4</v>
      </c>
      <c r="K1321" t="s">
        <v>36</v>
      </c>
      <c r="L1321">
        <v>4</v>
      </c>
      <c r="M1321">
        <v>4</v>
      </c>
      <c r="N1321" s="3">
        <v>4648</v>
      </c>
      <c r="O1321" s="3" t="str">
        <f>IF(Table2[[#This Row],[MonthlyIncome]]&lt;=5000, "$1001 - $5000", IF(Table2[[#This Row],[MonthlyIncome]]&lt;=9000, "$5001 - $9000", IF(Table2[[#This Row],[MonthlyIncome]]&lt;=13000, "$9001 - $13000", IF(Table2[[#This Row],[MonthlyIncome]]&lt;=17000, "$13001 - $17000", IF(Table2[[#This Row],[MonthlyIncome]]&lt;=21000, "$17001 - $21000")))))</f>
        <v>$1001 - $5000</v>
      </c>
      <c r="P1321">
        <v>8</v>
      </c>
      <c r="Q1321">
        <v>4</v>
      </c>
      <c r="R1321">
        <v>0</v>
      </c>
      <c r="S13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22" spans="1:19" ht="14.25" x14ac:dyDescent="0.2">
      <c r="A1322">
        <v>72148182</v>
      </c>
      <c r="B1322">
        <v>42</v>
      </c>
      <c r="C1322" t="s">
        <v>25</v>
      </c>
      <c r="D1322" t="s">
        <v>24</v>
      </c>
      <c r="E1322" t="s">
        <v>22</v>
      </c>
      <c r="F1322">
        <f>IF(Table2[[#This Row],[Attrition]]="Yes", 1, 0)</f>
        <v>0</v>
      </c>
      <c r="G1322" t="s">
        <v>26</v>
      </c>
      <c r="H1322" t="s">
        <v>23</v>
      </c>
      <c r="I1322">
        <v>10</v>
      </c>
      <c r="J1322">
        <v>4</v>
      </c>
      <c r="K1322" t="s">
        <v>37</v>
      </c>
      <c r="L1322">
        <v>3</v>
      </c>
      <c r="M1322">
        <v>3</v>
      </c>
      <c r="N1322" s="3">
        <v>2936</v>
      </c>
      <c r="O1322" s="3" t="str">
        <f>IF(Table2[[#This Row],[MonthlyIncome]]&lt;=5000, "$1001 - $5000", IF(Table2[[#This Row],[MonthlyIncome]]&lt;=9000, "$5001 - $9000", IF(Table2[[#This Row],[MonthlyIncome]]&lt;=13000, "$9001 - $13000", IF(Table2[[#This Row],[MonthlyIncome]]&lt;=17000, "$13001 - $17000", IF(Table2[[#This Row],[MonthlyIncome]]&lt;=21000, "$17001 - $21000")))))</f>
        <v>$1001 - $5000</v>
      </c>
      <c r="P1322">
        <v>3</v>
      </c>
      <c r="Q1322">
        <v>2</v>
      </c>
      <c r="R1322">
        <v>6</v>
      </c>
      <c r="S13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23" spans="1:19" ht="14.25" x14ac:dyDescent="0.2">
      <c r="A1323">
        <v>33383584</v>
      </c>
      <c r="B1323">
        <v>47</v>
      </c>
      <c r="C1323" t="s">
        <v>20</v>
      </c>
      <c r="D1323" t="s">
        <v>19</v>
      </c>
      <c r="E1323" t="s">
        <v>22</v>
      </c>
      <c r="F1323">
        <f>IF(Table2[[#This Row],[Attrition]]="Yes", 1, 0)</f>
        <v>0</v>
      </c>
      <c r="G1323" t="s">
        <v>28</v>
      </c>
      <c r="H1323" t="s">
        <v>23</v>
      </c>
      <c r="I1323">
        <v>9</v>
      </c>
      <c r="J1323">
        <v>4</v>
      </c>
      <c r="K1323" t="s">
        <v>18</v>
      </c>
      <c r="L1323">
        <v>2</v>
      </c>
      <c r="M1323">
        <v>3</v>
      </c>
      <c r="N1323" s="3">
        <v>2105</v>
      </c>
      <c r="O1323" s="3" t="str">
        <f>IF(Table2[[#This Row],[MonthlyIncome]]&lt;=5000, "$1001 - $5000", IF(Table2[[#This Row],[MonthlyIncome]]&lt;=9000, "$5001 - $9000", IF(Table2[[#This Row],[MonthlyIncome]]&lt;=13000, "$9001 - $13000", IF(Table2[[#This Row],[MonthlyIncome]]&lt;=17000, "$13001 - $17000", IF(Table2[[#This Row],[MonthlyIncome]]&lt;=21000, "$17001 - $21000")))))</f>
        <v>$1001 - $5000</v>
      </c>
      <c r="P1323">
        <v>4</v>
      </c>
      <c r="Q1323">
        <v>3</v>
      </c>
      <c r="R1323">
        <v>2</v>
      </c>
      <c r="S13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24" spans="1:19" ht="14.25" x14ac:dyDescent="0.2">
      <c r="A1324">
        <v>48146783</v>
      </c>
      <c r="B1324">
        <v>46</v>
      </c>
      <c r="C1324" t="s">
        <v>25</v>
      </c>
      <c r="D1324" t="s">
        <v>30</v>
      </c>
      <c r="E1324" t="s">
        <v>22</v>
      </c>
      <c r="F1324">
        <f>IF(Table2[[#This Row],[Attrition]]="Yes", 1, 0)</f>
        <v>0</v>
      </c>
      <c r="G1324" t="s">
        <v>31</v>
      </c>
      <c r="H1324" t="s">
        <v>23</v>
      </c>
      <c r="I1324">
        <v>2</v>
      </c>
      <c r="J1324">
        <v>2</v>
      </c>
      <c r="K1324" t="s">
        <v>18</v>
      </c>
      <c r="L1324">
        <v>4</v>
      </c>
      <c r="M1324">
        <v>4</v>
      </c>
      <c r="N1324" s="3">
        <v>8578</v>
      </c>
      <c r="O1324" s="3" t="str">
        <f>IF(Table2[[#This Row],[MonthlyIncome]]&lt;=5000, "$1001 - $5000", IF(Table2[[#This Row],[MonthlyIncome]]&lt;=9000, "$5001 - $9000", IF(Table2[[#This Row],[MonthlyIncome]]&lt;=13000, "$9001 - $13000", IF(Table2[[#This Row],[MonthlyIncome]]&lt;=17000, "$13001 - $17000", IF(Table2[[#This Row],[MonthlyIncome]]&lt;=21000, "$17001 - $21000")))))</f>
        <v>$5001 - $9000</v>
      </c>
      <c r="P1324">
        <v>3</v>
      </c>
      <c r="Q1324">
        <v>2</v>
      </c>
      <c r="R1324">
        <v>9</v>
      </c>
      <c r="S13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25" spans="1:19" ht="14.25" x14ac:dyDescent="0.2">
      <c r="A1325">
        <v>57333958</v>
      </c>
      <c r="B1325">
        <v>28</v>
      </c>
      <c r="C1325" t="s">
        <v>25</v>
      </c>
      <c r="D1325" t="s">
        <v>30</v>
      </c>
      <c r="E1325" t="s">
        <v>22</v>
      </c>
      <c r="F1325">
        <f>IF(Table2[[#This Row],[Attrition]]="Yes", 1, 0)</f>
        <v>0</v>
      </c>
      <c r="G1325" t="s">
        <v>38</v>
      </c>
      <c r="H1325" t="s">
        <v>38</v>
      </c>
      <c r="I1325">
        <v>1</v>
      </c>
      <c r="J1325">
        <v>2</v>
      </c>
      <c r="K1325" t="s">
        <v>18</v>
      </c>
      <c r="L1325">
        <v>3</v>
      </c>
      <c r="M1325">
        <v>4</v>
      </c>
      <c r="N1325" s="3">
        <v>2706</v>
      </c>
      <c r="O1325" s="3" t="str">
        <f>IF(Table2[[#This Row],[MonthlyIncome]]&lt;=5000, "$1001 - $5000", IF(Table2[[#This Row],[MonthlyIncome]]&lt;=9000, "$5001 - $9000", IF(Table2[[#This Row],[MonthlyIncome]]&lt;=13000, "$9001 - $13000", IF(Table2[[#This Row],[MonthlyIncome]]&lt;=17000, "$13001 - $17000", IF(Table2[[#This Row],[MonthlyIncome]]&lt;=21000, "$17001 - $21000")))))</f>
        <v>$1001 - $5000</v>
      </c>
      <c r="P1325">
        <v>1</v>
      </c>
      <c r="Q1325">
        <v>3</v>
      </c>
      <c r="R1325">
        <v>3</v>
      </c>
      <c r="S13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26" spans="1:19" ht="14.25" x14ac:dyDescent="0.2">
      <c r="A1326">
        <v>88285253</v>
      </c>
      <c r="B1326">
        <v>29</v>
      </c>
      <c r="C1326" t="s">
        <v>25</v>
      </c>
      <c r="D1326" t="s">
        <v>30</v>
      </c>
      <c r="E1326" t="s">
        <v>22</v>
      </c>
      <c r="F1326">
        <f>IF(Table2[[#This Row],[Attrition]]="Yes", 1, 0)</f>
        <v>0</v>
      </c>
      <c r="G1326" t="s">
        <v>32</v>
      </c>
      <c r="H1326" t="s">
        <v>23</v>
      </c>
      <c r="I1326">
        <v>29</v>
      </c>
      <c r="J1326">
        <v>1</v>
      </c>
      <c r="K1326" t="s">
        <v>18</v>
      </c>
      <c r="L1326">
        <v>4</v>
      </c>
      <c r="M1326">
        <v>3</v>
      </c>
      <c r="N1326" s="3">
        <v>6384</v>
      </c>
      <c r="O1326" s="3" t="str">
        <f>IF(Table2[[#This Row],[MonthlyIncome]]&lt;=5000, "$1001 - $5000", IF(Table2[[#This Row],[MonthlyIncome]]&lt;=9000, "$5001 - $9000", IF(Table2[[#This Row],[MonthlyIncome]]&lt;=13000, "$9001 - $13000", IF(Table2[[#This Row],[MonthlyIncome]]&lt;=17000, "$13001 - $17000", IF(Table2[[#This Row],[MonthlyIncome]]&lt;=21000, "$17001 - $21000")))))</f>
        <v>$5001 - $9000</v>
      </c>
      <c r="P1326">
        <v>8</v>
      </c>
      <c r="Q1326">
        <v>3</v>
      </c>
      <c r="R1326">
        <v>7</v>
      </c>
      <c r="S13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27" spans="1:19" ht="14.25" x14ac:dyDescent="0.2">
      <c r="A1327">
        <v>36169540</v>
      </c>
      <c r="B1327">
        <v>42</v>
      </c>
      <c r="C1327" t="s">
        <v>25</v>
      </c>
      <c r="D1327" t="s">
        <v>19</v>
      </c>
      <c r="E1327" t="s">
        <v>22</v>
      </c>
      <c r="F1327">
        <f>IF(Table2[[#This Row],[Attrition]]="Yes", 1, 0)</f>
        <v>0</v>
      </c>
      <c r="G1327" t="s">
        <v>28</v>
      </c>
      <c r="H1327" t="s">
        <v>23</v>
      </c>
      <c r="I1327">
        <v>8</v>
      </c>
      <c r="J1327">
        <v>3</v>
      </c>
      <c r="K1327" t="s">
        <v>18</v>
      </c>
      <c r="L1327">
        <v>4</v>
      </c>
      <c r="M1327">
        <v>3</v>
      </c>
      <c r="N1327" s="3">
        <v>3968</v>
      </c>
      <c r="O1327" s="3" t="str">
        <f>IF(Table2[[#This Row],[MonthlyIncome]]&lt;=5000, "$1001 - $5000", IF(Table2[[#This Row],[MonthlyIncome]]&lt;=9000, "$5001 - $9000", IF(Table2[[#This Row],[MonthlyIncome]]&lt;=13000, "$9001 - $13000", IF(Table2[[#This Row],[MonthlyIncome]]&lt;=17000, "$13001 - $17000", IF(Table2[[#This Row],[MonthlyIncome]]&lt;=21000, "$17001 - $21000")))))</f>
        <v>$1001 - $5000</v>
      </c>
      <c r="P1327">
        <v>4</v>
      </c>
      <c r="Q1327">
        <v>3</v>
      </c>
      <c r="R1327">
        <v>0</v>
      </c>
      <c r="S13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28" spans="1:19" ht="14.25" x14ac:dyDescent="0.2">
      <c r="A1328">
        <v>46870388</v>
      </c>
      <c r="B1328">
        <v>32</v>
      </c>
      <c r="C1328" t="s">
        <v>25</v>
      </c>
      <c r="D1328" t="s">
        <v>19</v>
      </c>
      <c r="E1328" t="s">
        <v>16</v>
      </c>
      <c r="F1328">
        <f>IF(Table2[[#This Row],[Attrition]]="Yes", 1, 0)</f>
        <v>1</v>
      </c>
      <c r="G1328" t="s">
        <v>21</v>
      </c>
      <c r="H1328" t="s">
        <v>17</v>
      </c>
      <c r="I1328">
        <v>2</v>
      </c>
      <c r="J1328">
        <v>4</v>
      </c>
      <c r="K1328" t="s">
        <v>36</v>
      </c>
      <c r="L1328">
        <v>3</v>
      </c>
      <c r="M1328">
        <v>2</v>
      </c>
      <c r="N1328" s="3">
        <v>9907</v>
      </c>
      <c r="O1328" s="3" t="str">
        <f>IF(Table2[[#This Row],[MonthlyIncome]]&lt;=5000, "$1001 - $5000", IF(Table2[[#This Row],[MonthlyIncome]]&lt;=9000, "$5001 - $9000", IF(Table2[[#This Row],[MonthlyIncome]]&lt;=13000, "$9001 - $13000", IF(Table2[[#This Row],[MonthlyIncome]]&lt;=17000, "$13001 - $17000", IF(Table2[[#This Row],[MonthlyIncome]]&lt;=21000, "$17001 - $21000")))))</f>
        <v>$9001 - $13000</v>
      </c>
      <c r="P1328">
        <v>7</v>
      </c>
      <c r="Q1328">
        <v>2</v>
      </c>
      <c r="R1328">
        <v>2</v>
      </c>
      <c r="S13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29" spans="1:19" ht="14.25" x14ac:dyDescent="0.2">
      <c r="A1329">
        <v>26742682</v>
      </c>
      <c r="B1329">
        <v>46</v>
      </c>
      <c r="C1329" t="s">
        <v>20</v>
      </c>
      <c r="D1329" t="s">
        <v>30</v>
      </c>
      <c r="E1329" t="s">
        <v>22</v>
      </c>
      <c r="F1329">
        <f>IF(Table2[[#This Row],[Attrition]]="Yes", 1, 0)</f>
        <v>0</v>
      </c>
      <c r="G1329" t="s">
        <v>21</v>
      </c>
      <c r="H1329" t="s">
        <v>17</v>
      </c>
      <c r="I1329">
        <v>3</v>
      </c>
      <c r="J1329">
        <v>3</v>
      </c>
      <c r="K1329" t="s">
        <v>37</v>
      </c>
      <c r="L1329">
        <v>1</v>
      </c>
      <c r="M1329">
        <v>1</v>
      </c>
      <c r="N1329" s="3">
        <v>13225</v>
      </c>
      <c r="O1329" s="3" t="str">
        <f>IF(Table2[[#This Row],[MonthlyIncome]]&lt;=5000, "$1001 - $5000", IF(Table2[[#This Row],[MonthlyIncome]]&lt;=9000, "$5001 - $9000", IF(Table2[[#This Row],[MonthlyIncome]]&lt;=13000, "$9001 - $13000", IF(Table2[[#This Row],[MonthlyIncome]]&lt;=17000, "$13001 - $17000", IF(Table2[[#This Row],[MonthlyIncome]]&lt;=21000, "$17001 - $21000")))))</f>
        <v>$13001 - $17000</v>
      </c>
      <c r="P1329">
        <v>2</v>
      </c>
      <c r="Q1329">
        <v>3</v>
      </c>
      <c r="R1329">
        <v>19</v>
      </c>
      <c r="S13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330" spans="1:19" ht="14.25" x14ac:dyDescent="0.2">
      <c r="A1330">
        <v>34277482</v>
      </c>
      <c r="B1330">
        <v>27</v>
      </c>
      <c r="C1330" t="s">
        <v>20</v>
      </c>
      <c r="D1330" t="s">
        <v>24</v>
      </c>
      <c r="E1330" t="s">
        <v>22</v>
      </c>
      <c r="F1330">
        <f>IF(Table2[[#This Row],[Attrition]]="Yes", 1, 0)</f>
        <v>0</v>
      </c>
      <c r="G1330" t="s">
        <v>34</v>
      </c>
      <c r="H1330" t="s">
        <v>17</v>
      </c>
      <c r="I1330">
        <v>23</v>
      </c>
      <c r="J1330">
        <v>1</v>
      </c>
      <c r="K1330" t="s">
        <v>29</v>
      </c>
      <c r="L1330">
        <v>2</v>
      </c>
      <c r="M1330">
        <v>3</v>
      </c>
      <c r="N1330" s="3">
        <v>3540</v>
      </c>
      <c r="O1330" s="3" t="str">
        <f>IF(Table2[[#This Row],[MonthlyIncome]]&lt;=5000, "$1001 - $5000", IF(Table2[[#This Row],[MonthlyIncome]]&lt;=9000, "$5001 - $9000", IF(Table2[[#This Row],[MonthlyIncome]]&lt;=13000, "$9001 - $13000", IF(Table2[[#This Row],[MonthlyIncome]]&lt;=17000, "$13001 - $17000", IF(Table2[[#This Row],[MonthlyIncome]]&lt;=21000, "$17001 - $21000")))))</f>
        <v>$1001 - $5000</v>
      </c>
      <c r="P1330">
        <v>1</v>
      </c>
      <c r="Q1330">
        <v>3</v>
      </c>
      <c r="R1330">
        <v>9</v>
      </c>
      <c r="S13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31" spans="1:19" ht="14.25" x14ac:dyDescent="0.2">
      <c r="A1331">
        <v>56704189</v>
      </c>
      <c r="B1331">
        <v>29</v>
      </c>
      <c r="C1331" t="s">
        <v>25</v>
      </c>
      <c r="D1331" t="s">
        <v>24</v>
      </c>
      <c r="E1331" t="s">
        <v>22</v>
      </c>
      <c r="F1331">
        <f>IF(Table2[[#This Row],[Attrition]]="Yes", 1, 0)</f>
        <v>0</v>
      </c>
      <c r="G1331" t="s">
        <v>38</v>
      </c>
      <c r="H1331" t="s">
        <v>38</v>
      </c>
      <c r="I1331">
        <v>6</v>
      </c>
      <c r="J1331">
        <v>1</v>
      </c>
      <c r="K1331" t="s">
        <v>29</v>
      </c>
      <c r="L1331">
        <v>4</v>
      </c>
      <c r="M1331">
        <v>2</v>
      </c>
      <c r="N1331" s="3">
        <v>2804</v>
      </c>
      <c r="O1331" s="3" t="str">
        <f>IF(Table2[[#This Row],[MonthlyIncome]]&lt;=5000, "$1001 - $5000", IF(Table2[[#This Row],[MonthlyIncome]]&lt;=9000, "$5001 - $9000", IF(Table2[[#This Row],[MonthlyIncome]]&lt;=13000, "$9001 - $13000", IF(Table2[[#This Row],[MonthlyIncome]]&lt;=17000, "$13001 - $17000", IF(Table2[[#This Row],[MonthlyIncome]]&lt;=21000, "$17001 - $21000")))))</f>
        <v>$1001 - $5000</v>
      </c>
      <c r="P1331">
        <v>1</v>
      </c>
      <c r="Q1331">
        <v>3</v>
      </c>
      <c r="R1331">
        <v>1</v>
      </c>
      <c r="S13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32" spans="1:19" ht="14.25" x14ac:dyDescent="0.2">
      <c r="A1332">
        <v>81398376</v>
      </c>
      <c r="B1332">
        <v>43</v>
      </c>
      <c r="C1332" t="s">
        <v>20</v>
      </c>
      <c r="D1332" t="s">
        <v>24</v>
      </c>
      <c r="E1332" t="s">
        <v>22</v>
      </c>
      <c r="F1332">
        <f>IF(Table2[[#This Row],[Attrition]]="Yes", 1, 0)</f>
        <v>0</v>
      </c>
      <c r="G1332" t="s">
        <v>33</v>
      </c>
      <c r="H1332" t="s">
        <v>23</v>
      </c>
      <c r="I1332">
        <v>6</v>
      </c>
      <c r="J1332">
        <v>3</v>
      </c>
      <c r="K1332" t="s">
        <v>29</v>
      </c>
      <c r="L1332">
        <v>1</v>
      </c>
      <c r="M1332">
        <v>3</v>
      </c>
      <c r="N1332" s="3">
        <v>19392</v>
      </c>
      <c r="O1332" s="3" t="str">
        <f>IF(Table2[[#This Row],[MonthlyIncome]]&lt;=5000, "$1001 - $5000", IF(Table2[[#This Row],[MonthlyIncome]]&lt;=9000, "$5001 - $9000", IF(Table2[[#This Row],[MonthlyIncome]]&lt;=13000, "$9001 - $13000", IF(Table2[[#This Row],[MonthlyIncome]]&lt;=17000, "$13001 - $17000", IF(Table2[[#This Row],[MonthlyIncome]]&lt;=21000, "$17001 - $21000")))))</f>
        <v>$17001 - $21000</v>
      </c>
      <c r="P1332">
        <v>7</v>
      </c>
      <c r="Q1332">
        <v>3</v>
      </c>
      <c r="R1332">
        <v>16</v>
      </c>
      <c r="S13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333" spans="1:19" ht="14.25" x14ac:dyDescent="0.2">
      <c r="A1333">
        <v>14685405</v>
      </c>
      <c r="B1333">
        <v>48</v>
      </c>
      <c r="C1333" t="s">
        <v>25</v>
      </c>
      <c r="D1333" t="s">
        <v>24</v>
      </c>
      <c r="E1333" t="s">
        <v>22</v>
      </c>
      <c r="F1333">
        <f>IF(Table2[[#This Row],[Attrition]]="Yes", 1, 0)</f>
        <v>0</v>
      </c>
      <c r="G1333" t="s">
        <v>35</v>
      </c>
      <c r="H1333" t="s">
        <v>23</v>
      </c>
      <c r="I1333">
        <v>10</v>
      </c>
      <c r="J1333">
        <v>3</v>
      </c>
      <c r="K1333" t="s">
        <v>18</v>
      </c>
      <c r="L1333">
        <v>4</v>
      </c>
      <c r="M1333">
        <v>2</v>
      </c>
      <c r="N1333" s="3">
        <v>19665</v>
      </c>
      <c r="O1333" s="3" t="str">
        <f>IF(Table2[[#This Row],[MonthlyIncome]]&lt;=5000, "$1001 - $5000", IF(Table2[[#This Row],[MonthlyIncome]]&lt;=9000, "$5001 - $9000", IF(Table2[[#This Row],[MonthlyIncome]]&lt;=13000, "$9001 - $13000", IF(Table2[[#This Row],[MonthlyIncome]]&lt;=17000, "$13001 - $17000", IF(Table2[[#This Row],[MonthlyIncome]]&lt;=21000, "$17001 - $21000")))))</f>
        <v>$17001 - $21000</v>
      </c>
      <c r="P1333">
        <v>4</v>
      </c>
      <c r="Q1333">
        <v>3</v>
      </c>
      <c r="R1333">
        <v>22</v>
      </c>
      <c r="S13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334" spans="1:19" ht="14.25" x14ac:dyDescent="0.2">
      <c r="A1334">
        <v>64743578</v>
      </c>
      <c r="B1334">
        <v>29</v>
      </c>
      <c r="C1334" t="s">
        <v>25</v>
      </c>
      <c r="D1334" t="s">
        <v>19</v>
      </c>
      <c r="E1334" t="s">
        <v>16</v>
      </c>
      <c r="F1334">
        <f>IF(Table2[[#This Row],[Attrition]]="Yes", 1, 0)</f>
        <v>1</v>
      </c>
      <c r="G1334" t="s">
        <v>26</v>
      </c>
      <c r="H1334" t="s">
        <v>23</v>
      </c>
      <c r="I1334">
        <v>24</v>
      </c>
      <c r="J1334">
        <v>2</v>
      </c>
      <c r="K1334" t="s">
        <v>18</v>
      </c>
      <c r="L1334">
        <v>4</v>
      </c>
      <c r="M1334">
        <v>4</v>
      </c>
      <c r="N1334" s="3">
        <v>2439</v>
      </c>
      <c r="O1334" s="3" t="str">
        <f>IF(Table2[[#This Row],[MonthlyIncome]]&lt;=5000, "$1001 - $5000", IF(Table2[[#This Row],[MonthlyIncome]]&lt;=9000, "$5001 - $9000", IF(Table2[[#This Row],[MonthlyIncome]]&lt;=13000, "$9001 - $13000", IF(Table2[[#This Row],[MonthlyIncome]]&lt;=17000, "$13001 - $17000", IF(Table2[[#This Row],[MonthlyIncome]]&lt;=21000, "$17001 - $21000")))))</f>
        <v>$1001 - $5000</v>
      </c>
      <c r="P1334">
        <v>1</v>
      </c>
      <c r="Q1334">
        <v>2</v>
      </c>
      <c r="R1334">
        <v>1</v>
      </c>
      <c r="S13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35" spans="1:19" ht="14.25" x14ac:dyDescent="0.2">
      <c r="A1335">
        <v>42728394</v>
      </c>
      <c r="B1335">
        <v>46</v>
      </c>
      <c r="C1335" t="s">
        <v>20</v>
      </c>
      <c r="D1335" t="s">
        <v>24</v>
      </c>
      <c r="E1335" t="s">
        <v>16</v>
      </c>
      <c r="F1335">
        <f>IF(Table2[[#This Row],[Attrition]]="Yes", 1, 0)</f>
        <v>1</v>
      </c>
      <c r="G1335" t="s">
        <v>21</v>
      </c>
      <c r="H1335" t="s">
        <v>17</v>
      </c>
      <c r="I1335">
        <v>10</v>
      </c>
      <c r="J1335">
        <v>3</v>
      </c>
      <c r="K1335" t="s">
        <v>18</v>
      </c>
      <c r="L1335">
        <v>3</v>
      </c>
      <c r="M1335">
        <v>2</v>
      </c>
      <c r="N1335" s="3">
        <v>7314</v>
      </c>
      <c r="O1335" s="3" t="str">
        <f>IF(Table2[[#This Row],[MonthlyIncome]]&lt;=5000, "$1001 - $5000", IF(Table2[[#This Row],[MonthlyIncome]]&lt;=9000, "$5001 - $9000", IF(Table2[[#This Row],[MonthlyIncome]]&lt;=13000, "$9001 - $13000", IF(Table2[[#This Row],[MonthlyIncome]]&lt;=17000, "$13001 - $17000", IF(Table2[[#This Row],[MonthlyIncome]]&lt;=21000, "$17001 - $21000")))))</f>
        <v>$5001 - $9000</v>
      </c>
      <c r="P1335">
        <v>5</v>
      </c>
      <c r="Q1335">
        <v>3</v>
      </c>
      <c r="R1335">
        <v>8</v>
      </c>
      <c r="S13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36" spans="1:19" ht="14.25" x14ac:dyDescent="0.2">
      <c r="A1336">
        <v>20691690</v>
      </c>
      <c r="B1336">
        <v>27</v>
      </c>
      <c r="C1336" t="s">
        <v>20</v>
      </c>
      <c r="D1336" t="s">
        <v>24</v>
      </c>
      <c r="E1336" t="s">
        <v>22</v>
      </c>
      <c r="F1336">
        <f>IF(Table2[[#This Row],[Attrition]]="Yes", 1, 0)</f>
        <v>0</v>
      </c>
      <c r="G1336" t="s">
        <v>26</v>
      </c>
      <c r="H1336" t="s">
        <v>23</v>
      </c>
      <c r="I1336">
        <v>15</v>
      </c>
      <c r="J1336">
        <v>3</v>
      </c>
      <c r="K1336" t="s">
        <v>18</v>
      </c>
      <c r="L1336">
        <v>4</v>
      </c>
      <c r="M1336">
        <v>1</v>
      </c>
      <c r="N1336" s="3">
        <v>4774</v>
      </c>
      <c r="O1336" s="3" t="str">
        <f>IF(Table2[[#This Row],[MonthlyIncome]]&lt;=5000, "$1001 - $5000", IF(Table2[[#This Row],[MonthlyIncome]]&lt;=9000, "$5001 - $9000", IF(Table2[[#This Row],[MonthlyIncome]]&lt;=13000, "$9001 - $13000", IF(Table2[[#This Row],[MonthlyIncome]]&lt;=17000, "$13001 - $17000", IF(Table2[[#This Row],[MonthlyIncome]]&lt;=21000, "$17001 - $21000")))))</f>
        <v>$1001 - $5000</v>
      </c>
      <c r="P1336">
        <v>0</v>
      </c>
      <c r="Q1336">
        <v>2</v>
      </c>
      <c r="R1336">
        <v>7</v>
      </c>
      <c r="S13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37" spans="1:19" ht="14.25" x14ac:dyDescent="0.2">
      <c r="A1337">
        <v>10221982</v>
      </c>
      <c r="B1337">
        <v>39</v>
      </c>
      <c r="C1337" t="s">
        <v>25</v>
      </c>
      <c r="D1337" t="s">
        <v>30</v>
      </c>
      <c r="E1337" t="s">
        <v>22</v>
      </c>
      <c r="F1337">
        <f>IF(Table2[[#This Row],[Attrition]]="Yes", 1, 0)</f>
        <v>0</v>
      </c>
      <c r="G1337" t="s">
        <v>26</v>
      </c>
      <c r="H1337" t="s">
        <v>23</v>
      </c>
      <c r="I1337">
        <v>19</v>
      </c>
      <c r="J1337">
        <v>4</v>
      </c>
      <c r="K1337" t="s">
        <v>27</v>
      </c>
      <c r="L1337">
        <v>4</v>
      </c>
      <c r="M1337">
        <v>4</v>
      </c>
      <c r="N1337" s="3">
        <v>3902</v>
      </c>
      <c r="O1337" s="3" t="str">
        <f>IF(Table2[[#This Row],[MonthlyIncome]]&lt;=5000, "$1001 - $5000", IF(Table2[[#This Row],[MonthlyIncome]]&lt;=9000, "$5001 - $9000", IF(Table2[[#This Row],[MonthlyIncome]]&lt;=13000, "$9001 - $13000", IF(Table2[[#This Row],[MonthlyIncome]]&lt;=17000, "$13001 - $17000", IF(Table2[[#This Row],[MonthlyIncome]]&lt;=21000, "$17001 - $21000")))))</f>
        <v>$1001 - $5000</v>
      </c>
      <c r="P1337">
        <v>8</v>
      </c>
      <c r="Q1337">
        <v>3</v>
      </c>
      <c r="R1337">
        <v>2</v>
      </c>
      <c r="S13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38" spans="1:19" ht="14.25" x14ac:dyDescent="0.2">
      <c r="A1338">
        <v>80597058</v>
      </c>
      <c r="B1338">
        <v>55</v>
      </c>
      <c r="C1338" t="s">
        <v>25</v>
      </c>
      <c r="D1338" t="s">
        <v>24</v>
      </c>
      <c r="E1338" t="s">
        <v>22</v>
      </c>
      <c r="F1338">
        <f>IF(Table2[[#This Row],[Attrition]]="Yes", 1, 0)</f>
        <v>0</v>
      </c>
      <c r="G1338" t="s">
        <v>26</v>
      </c>
      <c r="H1338" t="s">
        <v>23</v>
      </c>
      <c r="I1338">
        <v>2</v>
      </c>
      <c r="J1338">
        <v>4</v>
      </c>
      <c r="K1338" t="s">
        <v>37</v>
      </c>
      <c r="L1338">
        <v>2</v>
      </c>
      <c r="M1338">
        <v>4</v>
      </c>
      <c r="N1338" s="3">
        <v>2662</v>
      </c>
      <c r="O1338" s="3" t="str">
        <f>IF(Table2[[#This Row],[MonthlyIncome]]&lt;=5000, "$1001 - $5000", IF(Table2[[#This Row],[MonthlyIncome]]&lt;=9000, "$5001 - $9000", IF(Table2[[#This Row],[MonthlyIncome]]&lt;=13000, "$9001 - $13000", IF(Table2[[#This Row],[MonthlyIncome]]&lt;=17000, "$13001 - $17000", IF(Table2[[#This Row],[MonthlyIncome]]&lt;=21000, "$17001 - $21000")))))</f>
        <v>$1001 - $5000</v>
      </c>
      <c r="P1338">
        <v>8</v>
      </c>
      <c r="Q1338">
        <v>4</v>
      </c>
      <c r="R1338">
        <v>5</v>
      </c>
      <c r="S13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39" spans="1:19" ht="14.25" x14ac:dyDescent="0.2">
      <c r="A1339">
        <v>28653711</v>
      </c>
      <c r="B1339">
        <v>28</v>
      </c>
      <c r="C1339" t="s">
        <v>20</v>
      </c>
      <c r="D1339" t="s">
        <v>24</v>
      </c>
      <c r="E1339" t="s">
        <v>22</v>
      </c>
      <c r="F1339">
        <f>IF(Table2[[#This Row],[Attrition]]="Yes", 1, 0)</f>
        <v>0</v>
      </c>
      <c r="G1339" t="s">
        <v>34</v>
      </c>
      <c r="H1339" t="s">
        <v>17</v>
      </c>
      <c r="I1339">
        <v>3</v>
      </c>
      <c r="J1339">
        <v>3</v>
      </c>
      <c r="K1339" t="s">
        <v>29</v>
      </c>
      <c r="L1339">
        <v>2</v>
      </c>
      <c r="M1339">
        <v>2</v>
      </c>
      <c r="N1339" s="3">
        <v>2856</v>
      </c>
      <c r="O1339" s="3" t="str">
        <f>IF(Table2[[#This Row],[MonthlyIncome]]&lt;=5000, "$1001 - $5000", IF(Table2[[#This Row],[MonthlyIncome]]&lt;=9000, "$5001 - $9000", IF(Table2[[#This Row],[MonthlyIncome]]&lt;=13000, "$9001 - $13000", IF(Table2[[#This Row],[MonthlyIncome]]&lt;=17000, "$13001 - $17000", IF(Table2[[#This Row],[MonthlyIncome]]&lt;=21000, "$17001 - $21000")))))</f>
        <v>$1001 - $5000</v>
      </c>
      <c r="P1339">
        <v>1</v>
      </c>
      <c r="Q1339">
        <v>3</v>
      </c>
      <c r="R1339">
        <v>1</v>
      </c>
      <c r="S13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40" spans="1:19" ht="14.25" x14ac:dyDescent="0.2">
      <c r="A1340">
        <v>38586340</v>
      </c>
      <c r="B1340">
        <v>30</v>
      </c>
      <c r="C1340" t="s">
        <v>25</v>
      </c>
      <c r="D1340" t="s">
        <v>19</v>
      </c>
      <c r="E1340" t="s">
        <v>16</v>
      </c>
      <c r="F1340">
        <f>IF(Table2[[#This Row],[Attrition]]="Yes", 1, 0)</f>
        <v>1</v>
      </c>
      <c r="G1340" t="s">
        <v>34</v>
      </c>
      <c r="H1340" t="s">
        <v>17</v>
      </c>
      <c r="I1340">
        <v>9</v>
      </c>
      <c r="J1340">
        <v>3</v>
      </c>
      <c r="K1340" t="s">
        <v>29</v>
      </c>
      <c r="L1340">
        <v>2</v>
      </c>
      <c r="M1340">
        <v>4</v>
      </c>
      <c r="N1340" s="3">
        <v>1081</v>
      </c>
      <c r="O1340" s="3" t="str">
        <f>IF(Table2[[#This Row],[MonthlyIncome]]&lt;=5000, "$1001 - $5000", IF(Table2[[#This Row],[MonthlyIncome]]&lt;=9000, "$5001 - $9000", IF(Table2[[#This Row],[MonthlyIncome]]&lt;=13000, "$9001 - $13000", IF(Table2[[#This Row],[MonthlyIncome]]&lt;=17000, "$13001 - $17000", IF(Table2[[#This Row],[MonthlyIncome]]&lt;=21000, "$17001 - $21000")))))</f>
        <v>$1001 - $5000</v>
      </c>
      <c r="P1340">
        <v>1</v>
      </c>
      <c r="Q1340">
        <v>2</v>
      </c>
      <c r="R1340">
        <v>1</v>
      </c>
      <c r="S13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41" spans="1:19" ht="14.25" x14ac:dyDescent="0.2">
      <c r="A1341">
        <v>72845734</v>
      </c>
      <c r="B1341">
        <v>22</v>
      </c>
      <c r="C1341" t="s">
        <v>25</v>
      </c>
      <c r="D1341" t="s">
        <v>19</v>
      </c>
      <c r="E1341" t="s">
        <v>16</v>
      </c>
      <c r="F1341">
        <f>IF(Table2[[#This Row],[Attrition]]="Yes", 1, 0)</f>
        <v>1</v>
      </c>
      <c r="G1341" t="s">
        <v>26</v>
      </c>
      <c r="H1341" t="s">
        <v>23</v>
      </c>
      <c r="I1341">
        <v>7</v>
      </c>
      <c r="J1341">
        <v>1</v>
      </c>
      <c r="K1341" t="s">
        <v>18</v>
      </c>
      <c r="L1341">
        <v>4</v>
      </c>
      <c r="M1341">
        <v>2</v>
      </c>
      <c r="N1341" s="3">
        <v>2472</v>
      </c>
      <c r="O1341" s="3" t="str">
        <f>IF(Table2[[#This Row],[MonthlyIncome]]&lt;=5000, "$1001 - $5000", IF(Table2[[#This Row],[MonthlyIncome]]&lt;=9000, "$5001 - $9000", IF(Table2[[#This Row],[MonthlyIncome]]&lt;=13000, "$9001 - $13000", IF(Table2[[#This Row],[MonthlyIncome]]&lt;=17000, "$13001 - $17000", IF(Table2[[#This Row],[MonthlyIncome]]&lt;=21000, "$17001 - $21000")))))</f>
        <v>$1001 - $5000</v>
      </c>
      <c r="P1341">
        <v>1</v>
      </c>
      <c r="Q1341">
        <v>3</v>
      </c>
      <c r="R1341">
        <v>1</v>
      </c>
      <c r="S13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42" spans="1:19" ht="14.25" x14ac:dyDescent="0.2">
      <c r="A1342">
        <v>36780533</v>
      </c>
      <c r="B1342">
        <v>36</v>
      </c>
      <c r="C1342" t="s">
        <v>20</v>
      </c>
      <c r="D1342" t="s">
        <v>24</v>
      </c>
      <c r="E1342" t="s">
        <v>22</v>
      </c>
      <c r="F1342">
        <f>IF(Table2[[#This Row],[Attrition]]="Yes", 1, 0)</f>
        <v>0</v>
      </c>
      <c r="G1342" t="s">
        <v>21</v>
      </c>
      <c r="H1342" t="s">
        <v>17</v>
      </c>
      <c r="I1342">
        <v>10</v>
      </c>
      <c r="J1342">
        <v>4</v>
      </c>
      <c r="K1342" t="s">
        <v>37</v>
      </c>
      <c r="L1342">
        <v>2</v>
      </c>
      <c r="M1342">
        <v>3</v>
      </c>
      <c r="N1342" s="3">
        <v>5673</v>
      </c>
      <c r="O1342" s="3" t="str">
        <f>IF(Table2[[#This Row],[MonthlyIncome]]&lt;=5000, "$1001 - $5000", IF(Table2[[#This Row],[MonthlyIncome]]&lt;=9000, "$5001 - $9000", IF(Table2[[#This Row],[MonthlyIncome]]&lt;=13000, "$9001 - $13000", IF(Table2[[#This Row],[MonthlyIncome]]&lt;=17000, "$13001 - $17000", IF(Table2[[#This Row],[MonthlyIncome]]&lt;=21000, "$17001 - $21000")))))</f>
        <v>$5001 - $9000</v>
      </c>
      <c r="P1342">
        <v>1</v>
      </c>
      <c r="Q1342">
        <v>3</v>
      </c>
      <c r="R1342">
        <v>10</v>
      </c>
      <c r="S13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343" spans="1:19" ht="14.25" x14ac:dyDescent="0.2">
      <c r="A1343">
        <v>84366355</v>
      </c>
      <c r="B1343">
        <v>31</v>
      </c>
      <c r="C1343" t="s">
        <v>25</v>
      </c>
      <c r="D1343" t="s">
        <v>30</v>
      </c>
      <c r="E1343" t="s">
        <v>22</v>
      </c>
      <c r="F1343">
        <f>IF(Table2[[#This Row],[Attrition]]="Yes", 1, 0)</f>
        <v>0</v>
      </c>
      <c r="G1343" t="s">
        <v>28</v>
      </c>
      <c r="H1343" t="s">
        <v>23</v>
      </c>
      <c r="I1343">
        <v>20</v>
      </c>
      <c r="J1343">
        <v>3</v>
      </c>
      <c r="K1343" t="s">
        <v>18</v>
      </c>
      <c r="L1343">
        <v>2</v>
      </c>
      <c r="M1343">
        <v>3</v>
      </c>
      <c r="N1343" s="3">
        <v>4197</v>
      </c>
      <c r="O1343" s="3" t="str">
        <f>IF(Table2[[#This Row],[MonthlyIncome]]&lt;=5000, "$1001 - $5000", IF(Table2[[#This Row],[MonthlyIncome]]&lt;=9000, "$5001 - $9000", IF(Table2[[#This Row],[MonthlyIncome]]&lt;=13000, "$9001 - $13000", IF(Table2[[#This Row],[MonthlyIncome]]&lt;=17000, "$13001 - $17000", IF(Table2[[#This Row],[MonthlyIncome]]&lt;=21000, "$17001 - $21000")))))</f>
        <v>$1001 - $5000</v>
      </c>
      <c r="P1343">
        <v>1</v>
      </c>
      <c r="Q1343">
        <v>3</v>
      </c>
      <c r="R1343">
        <v>10</v>
      </c>
      <c r="S13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344" spans="1:19" ht="14.25" x14ac:dyDescent="0.2">
      <c r="A1344">
        <v>13533718</v>
      </c>
      <c r="B1344">
        <v>34</v>
      </c>
      <c r="C1344" t="s">
        <v>25</v>
      </c>
      <c r="D1344" t="s">
        <v>24</v>
      </c>
      <c r="E1344" t="s">
        <v>22</v>
      </c>
      <c r="F1344">
        <f>IF(Table2[[#This Row],[Attrition]]="Yes", 1, 0)</f>
        <v>0</v>
      </c>
      <c r="G1344" t="s">
        <v>21</v>
      </c>
      <c r="H1344" t="s">
        <v>17</v>
      </c>
      <c r="I1344">
        <v>4</v>
      </c>
      <c r="J1344">
        <v>3</v>
      </c>
      <c r="K1344" t="s">
        <v>18</v>
      </c>
      <c r="L1344">
        <v>3</v>
      </c>
      <c r="M1344">
        <v>4</v>
      </c>
      <c r="N1344" s="3">
        <v>9713</v>
      </c>
      <c r="O1344" s="3" t="str">
        <f>IF(Table2[[#This Row],[MonthlyIncome]]&lt;=5000, "$1001 - $5000", IF(Table2[[#This Row],[MonthlyIncome]]&lt;=9000, "$5001 - $9000", IF(Table2[[#This Row],[MonthlyIncome]]&lt;=13000, "$9001 - $13000", IF(Table2[[#This Row],[MonthlyIncome]]&lt;=17000, "$13001 - $17000", IF(Table2[[#This Row],[MonthlyIncome]]&lt;=21000, "$17001 - $21000")))))</f>
        <v>$9001 - $13000</v>
      </c>
      <c r="P1344">
        <v>2</v>
      </c>
      <c r="Q1344">
        <v>3</v>
      </c>
      <c r="R1344">
        <v>5</v>
      </c>
      <c r="S13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45" spans="1:19" ht="14.25" x14ac:dyDescent="0.2">
      <c r="A1345">
        <v>38865181</v>
      </c>
      <c r="B1345">
        <v>29</v>
      </c>
      <c r="C1345" t="s">
        <v>25</v>
      </c>
      <c r="D1345" t="s">
        <v>19</v>
      </c>
      <c r="E1345" t="s">
        <v>22</v>
      </c>
      <c r="F1345">
        <f>IF(Table2[[#This Row],[Attrition]]="Yes", 1, 0)</f>
        <v>0</v>
      </c>
      <c r="G1345" t="s">
        <v>28</v>
      </c>
      <c r="H1345" t="s">
        <v>23</v>
      </c>
      <c r="I1345">
        <v>7</v>
      </c>
      <c r="J1345">
        <v>3</v>
      </c>
      <c r="K1345" t="s">
        <v>18</v>
      </c>
      <c r="L1345">
        <v>4</v>
      </c>
      <c r="M1345">
        <v>1</v>
      </c>
      <c r="N1345" s="3">
        <v>2062</v>
      </c>
      <c r="O1345" s="3" t="str">
        <f>IF(Table2[[#This Row],[MonthlyIncome]]&lt;=5000, "$1001 - $5000", IF(Table2[[#This Row],[MonthlyIncome]]&lt;=9000, "$5001 - $9000", IF(Table2[[#This Row],[MonthlyIncome]]&lt;=13000, "$9001 - $13000", IF(Table2[[#This Row],[MonthlyIncome]]&lt;=17000, "$13001 - $17000", IF(Table2[[#This Row],[MonthlyIncome]]&lt;=21000, "$17001 - $21000")))))</f>
        <v>$1001 - $5000</v>
      </c>
      <c r="P1345">
        <v>3</v>
      </c>
      <c r="Q1345">
        <v>3</v>
      </c>
      <c r="R1345">
        <v>3</v>
      </c>
      <c r="S13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46" spans="1:19" ht="14.25" x14ac:dyDescent="0.2">
      <c r="A1346">
        <v>88031258</v>
      </c>
      <c r="B1346">
        <v>37</v>
      </c>
      <c r="C1346" t="s">
        <v>25</v>
      </c>
      <c r="D1346" t="s">
        <v>24</v>
      </c>
      <c r="E1346" t="s">
        <v>22</v>
      </c>
      <c r="F1346">
        <f>IF(Table2[[#This Row],[Attrition]]="Yes", 1, 0)</f>
        <v>0</v>
      </c>
      <c r="G1346" t="s">
        <v>26</v>
      </c>
      <c r="H1346" t="s">
        <v>23</v>
      </c>
      <c r="I1346">
        <v>7</v>
      </c>
      <c r="J1346">
        <v>4</v>
      </c>
      <c r="K1346" t="s">
        <v>29</v>
      </c>
      <c r="L1346">
        <v>4</v>
      </c>
      <c r="M1346">
        <v>1</v>
      </c>
      <c r="N1346" s="3">
        <v>4284</v>
      </c>
      <c r="O1346" s="3" t="str">
        <f>IF(Table2[[#This Row],[MonthlyIncome]]&lt;=5000, "$1001 - $5000", IF(Table2[[#This Row],[MonthlyIncome]]&lt;=9000, "$5001 - $9000", IF(Table2[[#This Row],[MonthlyIncome]]&lt;=13000, "$9001 - $13000", IF(Table2[[#This Row],[MonthlyIncome]]&lt;=17000, "$13001 - $17000", IF(Table2[[#This Row],[MonthlyIncome]]&lt;=21000, "$17001 - $21000")))))</f>
        <v>$1001 - $5000</v>
      </c>
      <c r="P1346">
        <v>5</v>
      </c>
      <c r="Q1346">
        <v>3</v>
      </c>
      <c r="R1346">
        <v>5</v>
      </c>
      <c r="S13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47" spans="1:19" ht="14.25" x14ac:dyDescent="0.2">
      <c r="A1347">
        <v>58532654</v>
      </c>
      <c r="B1347">
        <v>35</v>
      </c>
      <c r="C1347" t="s">
        <v>20</v>
      </c>
      <c r="D1347" t="s">
        <v>24</v>
      </c>
      <c r="E1347" t="s">
        <v>22</v>
      </c>
      <c r="F1347">
        <f>IF(Table2[[#This Row],[Attrition]]="Yes", 1, 0)</f>
        <v>0</v>
      </c>
      <c r="G1347" t="s">
        <v>31</v>
      </c>
      <c r="H1347" t="s">
        <v>23</v>
      </c>
      <c r="I1347">
        <v>16</v>
      </c>
      <c r="J1347">
        <v>2</v>
      </c>
      <c r="K1347" t="s">
        <v>27</v>
      </c>
      <c r="L1347">
        <v>4</v>
      </c>
      <c r="M1347">
        <v>2</v>
      </c>
      <c r="N1347" s="3">
        <v>4788</v>
      </c>
      <c r="O1347" s="3" t="str">
        <f>IF(Table2[[#This Row],[MonthlyIncome]]&lt;=5000, "$1001 - $5000", IF(Table2[[#This Row],[MonthlyIncome]]&lt;=9000, "$5001 - $9000", IF(Table2[[#This Row],[MonthlyIncome]]&lt;=13000, "$9001 - $13000", IF(Table2[[#This Row],[MonthlyIncome]]&lt;=17000, "$13001 - $17000", IF(Table2[[#This Row],[MonthlyIncome]]&lt;=21000, "$17001 - $21000")))))</f>
        <v>$1001 - $5000</v>
      </c>
      <c r="P1347">
        <v>0</v>
      </c>
      <c r="Q1347">
        <v>3</v>
      </c>
      <c r="R1347">
        <v>3</v>
      </c>
      <c r="S13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48" spans="1:19" ht="14.25" x14ac:dyDescent="0.2">
      <c r="A1348">
        <v>76255124</v>
      </c>
      <c r="B1348">
        <v>45</v>
      </c>
      <c r="C1348" t="s">
        <v>20</v>
      </c>
      <c r="D1348" t="s">
        <v>24</v>
      </c>
      <c r="E1348" t="s">
        <v>22</v>
      </c>
      <c r="F1348">
        <f>IF(Table2[[#This Row],[Attrition]]="Yes", 1, 0)</f>
        <v>0</v>
      </c>
      <c r="G1348" t="s">
        <v>31</v>
      </c>
      <c r="H1348" t="s">
        <v>23</v>
      </c>
      <c r="I1348">
        <v>25</v>
      </c>
      <c r="J1348">
        <v>2</v>
      </c>
      <c r="K1348" t="s">
        <v>18</v>
      </c>
      <c r="L1348">
        <v>2</v>
      </c>
      <c r="M1348">
        <v>4</v>
      </c>
      <c r="N1348" s="3">
        <v>5906</v>
      </c>
      <c r="O1348" s="3" t="str">
        <f>IF(Table2[[#This Row],[MonthlyIncome]]&lt;=5000, "$1001 - $5000", IF(Table2[[#This Row],[MonthlyIncome]]&lt;=9000, "$5001 - $9000", IF(Table2[[#This Row],[MonthlyIncome]]&lt;=13000, "$9001 - $13000", IF(Table2[[#This Row],[MonthlyIncome]]&lt;=17000, "$13001 - $17000", IF(Table2[[#This Row],[MonthlyIncome]]&lt;=21000, "$17001 - $21000")))))</f>
        <v>$5001 - $9000</v>
      </c>
      <c r="P1348">
        <v>0</v>
      </c>
      <c r="Q1348">
        <v>2</v>
      </c>
      <c r="R1348">
        <v>9</v>
      </c>
      <c r="S13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49" spans="1:19" ht="14.25" x14ac:dyDescent="0.2">
      <c r="A1349">
        <v>80357234</v>
      </c>
      <c r="B1349">
        <v>36</v>
      </c>
      <c r="C1349" t="s">
        <v>25</v>
      </c>
      <c r="D1349" t="s">
        <v>19</v>
      </c>
      <c r="E1349" t="s">
        <v>22</v>
      </c>
      <c r="F1349">
        <f>IF(Table2[[#This Row],[Attrition]]="Yes", 1, 0)</f>
        <v>0</v>
      </c>
      <c r="G1349" t="s">
        <v>38</v>
      </c>
      <c r="H1349" t="s">
        <v>38</v>
      </c>
      <c r="I1349">
        <v>2</v>
      </c>
      <c r="J1349">
        <v>1</v>
      </c>
      <c r="K1349" t="s">
        <v>38</v>
      </c>
      <c r="L1349">
        <v>2</v>
      </c>
      <c r="M1349">
        <v>4</v>
      </c>
      <c r="N1349" s="3">
        <v>3886</v>
      </c>
      <c r="O1349" s="3" t="str">
        <f>IF(Table2[[#This Row],[MonthlyIncome]]&lt;=5000, "$1001 - $5000", IF(Table2[[#This Row],[MonthlyIncome]]&lt;=9000, "$5001 - $9000", IF(Table2[[#This Row],[MonthlyIncome]]&lt;=13000, "$9001 - $13000", IF(Table2[[#This Row],[MonthlyIncome]]&lt;=17000, "$13001 - $17000", IF(Table2[[#This Row],[MonthlyIncome]]&lt;=21000, "$17001 - $21000")))))</f>
        <v>$1001 - $5000</v>
      </c>
      <c r="P1349">
        <v>1</v>
      </c>
      <c r="Q1349">
        <v>2</v>
      </c>
      <c r="R1349">
        <v>10</v>
      </c>
      <c r="S13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350" spans="1:19" ht="14.25" x14ac:dyDescent="0.2">
      <c r="A1350">
        <v>50156135</v>
      </c>
      <c r="B1350">
        <v>40</v>
      </c>
      <c r="C1350" t="s">
        <v>25</v>
      </c>
      <c r="D1350" t="s">
        <v>30</v>
      </c>
      <c r="E1350" t="s">
        <v>22</v>
      </c>
      <c r="F1350">
        <f>IF(Table2[[#This Row],[Attrition]]="Yes", 1, 0)</f>
        <v>0</v>
      </c>
      <c r="G1350" t="s">
        <v>33</v>
      </c>
      <c r="H1350" t="s">
        <v>23</v>
      </c>
      <c r="I1350">
        <v>1</v>
      </c>
      <c r="J1350">
        <v>4</v>
      </c>
      <c r="K1350" t="s">
        <v>18</v>
      </c>
      <c r="L1350">
        <v>1</v>
      </c>
      <c r="M1350">
        <v>1</v>
      </c>
      <c r="N1350" s="3">
        <v>16823</v>
      </c>
      <c r="O1350" s="3" t="str">
        <f>IF(Table2[[#This Row],[MonthlyIncome]]&lt;=5000, "$1001 - $5000", IF(Table2[[#This Row],[MonthlyIncome]]&lt;=9000, "$5001 - $9000", IF(Table2[[#This Row],[MonthlyIncome]]&lt;=13000, "$9001 - $13000", IF(Table2[[#This Row],[MonthlyIncome]]&lt;=17000, "$13001 - $17000", IF(Table2[[#This Row],[MonthlyIncome]]&lt;=21000, "$17001 - $21000")))))</f>
        <v>$13001 - $17000</v>
      </c>
      <c r="P1350">
        <v>2</v>
      </c>
      <c r="Q1350">
        <v>3</v>
      </c>
      <c r="R1350">
        <v>19</v>
      </c>
      <c r="S13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351" spans="1:19" ht="14.25" x14ac:dyDescent="0.2">
      <c r="A1351">
        <v>80804117</v>
      </c>
      <c r="B1351">
        <v>26</v>
      </c>
      <c r="C1351" t="s">
        <v>20</v>
      </c>
      <c r="D1351" t="s">
        <v>24</v>
      </c>
      <c r="E1351" t="s">
        <v>22</v>
      </c>
      <c r="F1351">
        <f>IF(Table2[[#This Row],[Attrition]]="Yes", 1, 0)</f>
        <v>0</v>
      </c>
      <c r="G1351" t="s">
        <v>26</v>
      </c>
      <c r="H1351" t="s">
        <v>23</v>
      </c>
      <c r="I1351">
        <v>1</v>
      </c>
      <c r="J1351">
        <v>2</v>
      </c>
      <c r="K1351" t="s">
        <v>18</v>
      </c>
      <c r="L1351">
        <v>2</v>
      </c>
      <c r="M1351">
        <v>3</v>
      </c>
      <c r="N1351" s="3">
        <v>2933</v>
      </c>
      <c r="O1351" s="3" t="str">
        <f>IF(Table2[[#This Row],[MonthlyIncome]]&lt;=5000, "$1001 - $5000", IF(Table2[[#This Row],[MonthlyIncome]]&lt;=9000, "$5001 - $9000", IF(Table2[[#This Row],[MonthlyIncome]]&lt;=13000, "$9001 - $13000", IF(Table2[[#This Row],[MonthlyIncome]]&lt;=17000, "$13001 - $17000", IF(Table2[[#This Row],[MonthlyIncome]]&lt;=21000, "$17001 - $21000")))))</f>
        <v>$1001 - $5000</v>
      </c>
      <c r="P1351">
        <v>1</v>
      </c>
      <c r="Q1351">
        <v>2</v>
      </c>
      <c r="R1351">
        <v>1</v>
      </c>
      <c r="S13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52" spans="1:19" ht="14.25" x14ac:dyDescent="0.2">
      <c r="A1352">
        <v>60130684</v>
      </c>
      <c r="B1352">
        <v>27</v>
      </c>
      <c r="C1352" t="s">
        <v>20</v>
      </c>
      <c r="D1352" t="s">
        <v>19</v>
      </c>
      <c r="E1352" t="s">
        <v>22</v>
      </c>
      <c r="F1352">
        <f>IF(Table2[[#This Row],[Attrition]]="Yes", 1, 0)</f>
        <v>0</v>
      </c>
      <c r="G1352" t="s">
        <v>21</v>
      </c>
      <c r="H1352" t="s">
        <v>17</v>
      </c>
      <c r="I1352">
        <v>2</v>
      </c>
      <c r="J1352">
        <v>2</v>
      </c>
      <c r="K1352" t="s">
        <v>29</v>
      </c>
      <c r="L1352">
        <v>1</v>
      </c>
      <c r="M1352">
        <v>3</v>
      </c>
      <c r="N1352" s="3">
        <v>6500</v>
      </c>
      <c r="O1352" s="3" t="str">
        <f>IF(Table2[[#This Row],[MonthlyIncome]]&lt;=5000, "$1001 - $5000", IF(Table2[[#This Row],[MonthlyIncome]]&lt;=9000, "$5001 - $9000", IF(Table2[[#This Row],[MonthlyIncome]]&lt;=13000, "$9001 - $13000", IF(Table2[[#This Row],[MonthlyIncome]]&lt;=17000, "$13001 - $17000", IF(Table2[[#This Row],[MonthlyIncome]]&lt;=21000, "$17001 - $21000")))))</f>
        <v>$5001 - $9000</v>
      </c>
      <c r="P1352">
        <v>0</v>
      </c>
      <c r="Q1352">
        <v>2</v>
      </c>
      <c r="R1352">
        <v>8</v>
      </c>
      <c r="S13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53" spans="1:19" ht="14.25" x14ac:dyDescent="0.2">
      <c r="A1353">
        <v>50662209</v>
      </c>
      <c r="B1353">
        <v>48</v>
      </c>
      <c r="C1353" t="s">
        <v>20</v>
      </c>
      <c r="D1353" t="s">
        <v>30</v>
      </c>
      <c r="E1353" t="s">
        <v>22</v>
      </c>
      <c r="F1353">
        <f>IF(Table2[[#This Row],[Attrition]]="Yes", 1, 0)</f>
        <v>0</v>
      </c>
      <c r="G1353" t="s">
        <v>33</v>
      </c>
      <c r="H1353" t="s">
        <v>23</v>
      </c>
      <c r="I1353">
        <v>22</v>
      </c>
      <c r="J1353">
        <v>3</v>
      </c>
      <c r="K1353" t="s">
        <v>29</v>
      </c>
      <c r="L1353">
        <v>4</v>
      </c>
      <c r="M1353">
        <v>4</v>
      </c>
      <c r="N1353" s="3">
        <v>17174</v>
      </c>
      <c r="O1353" s="3" t="str">
        <f>IF(Table2[[#This Row],[MonthlyIncome]]&lt;=5000, "$1001 - $5000", IF(Table2[[#This Row],[MonthlyIncome]]&lt;=9000, "$5001 - $9000", IF(Table2[[#This Row],[MonthlyIncome]]&lt;=13000, "$9001 - $13000", IF(Table2[[#This Row],[MonthlyIncome]]&lt;=17000, "$13001 - $17000", IF(Table2[[#This Row],[MonthlyIncome]]&lt;=21000, "$17001 - $21000")))))</f>
        <v>$17001 - $21000</v>
      </c>
      <c r="P1353">
        <v>3</v>
      </c>
      <c r="Q1353">
        <v>3</v>
      </c>
      <c r="R1353">
        <v>22</v>
      </c>
      <c r="S13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354" spans="1:19" ht="14.25" x14ac:dyDescent="0.2">
      <c r="A1354">
        <v>83909460</v>
      </c>
      <c r="B1354">
        <v>44</v>
      </c>
      <c r="C1354" t="s">
        <v>25</v>
      </c>
      <c r="D1354" t="s">
        <v>24</v>
      </c>
      <c r="E1354" t="s">
        <v>22</v>
      </c>
      <c r="F1354">
        <f>IF(Table2[[#This Row],[Attrition]]="Yes", 1, 0)</f>
        <v>0</v>
      </c>
      <c r="G1354" t="s">
        <v>32</v>
      </c>
      <c r="H1354" t="s">
        <v>23</v>
      </c>
      <c r="I1354">
        <v>1</v>
      </c>
      <c r="J1354">
        <v>4</v>
      </c>
      <c r="K1354" t="s">
        <v>18</v>
      </c>
      <c r="L1354">
        <v>2</v>
      </c>
      <c r="M1354">
        <v>1</v>
      </c>
      <c r="N1354" s="3">
        <v>5033</v>
      </c>
      <c r="O1354" s="3" t="str">
        <f>IF(Table2[[#This Row],[MonthlyIncome]]&lt;=5000, "$1001 - $5000", IF(Table2[[#This Row],[MonthlyIncome]]&lt;=9000, "$5001 - $9000", IF(Table2[[#This Row],[MonthlyIncome]]&lt;=13000, "$9001 - $13000", IF(Table2[[#This Row],[MonthlyIncome]]&lt;=17000, "$13001 - $17000", IF(Table2[[#This Row],[MonthlyIncome]]&lt;=21000, "$17001 - $21000")))))</f>
        <v>$5001 - $9000</v>
      </c>
      <c r="P1354">
        <v>2</v>
      </c>
      <c r="Q1354">
        <v>3</v>
      </c>
      <c r="R1354">
        <v>2</v>
      </c>
      <c r="S13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55" spans="1:19" ht="14.25" x14ac:dyDescent="0.2">
      <c r="A1355">
        <v>87612969</v>
      </c>
      <c r="B1355">
        <v>34</v>
      </c>
      <c r="C1355" t="s">
        <v>25</v>
      </c>
      <c r="D1355" t="s">
        <v>24</v>
      </c>
      <c r="E1355" t="s">
        <v>16</v>
      </c>
      <c r="F1355">
        <f>IF(Table2[[#This Row],[Attrition]]="Yes", 1, 0)</f>
        <v>1</v>
      </c>
      <c r="G1355" t="s">
        <v>26</v>
      </c>
      <c r="H1355" t="s">
        <v>23</v>
      </c>
      <c r="I1355">
        <v>16</v>
      </c>
      <c r="J1355">
        <v>4</v>
      </c>
      <c r="K1355" t="s">
        <v>37</v>
      </c>
      <c r="L1355">
        <v>4</v>
      </c>
      <c r="M1355">
        <v>1</v>
      </c>
      <c r="N1355" s="3">
        <v>2307</v>
      </c>
      <c r="O1355" s="3" t="str">
        <f>IF(Table2[[#This Row],[MonthlyIncome]]&lt;=5000, "$1001 - $5000", IF(Table2[[#This Row],[MonthlyIncome]]&lt;=9000, "$5001 - $9000", IF(Table2[[#This Row],[MonthlyIncome]]&lt;=13000, "$9001 - $13000", IF(Table2[[#This Row],[MonthlyIncome]]&lt;=17000, "$13001 - $17000", IF(Table2[[#This Row],[MonthlyIncome]]&lt;=21000, "$17001 - $21000")))))</f>
        <v>$1001 - $5000</v>
      </c>
      <c r="P1355">
        <v>1</v>
      </c>
      <c r="Q1355">
        <v>3</v>
      </c>
      <c r="R1355">
        <v>5</v>
      </c>
      <c r="S13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56" spans="1:19" ht="14.25" x14ac:dyDescent="0.2">
      <c r="A1356">
        <v>63986391</v>
      </c>
      <c r="B1356">
        <v>56</v>
      </c>
      <c r="C1356" t="s">
        <v>25</v>
      </c>
      <c r="D1356" t="s">
        <v>19</v>
      </c>
      <c r="E1356" t="s">
        <v>16</v>
      </c>
      <c r="F1356">
        <f>IF(Table2[[#This Row],[Attrition]]="Yes", 1, 0)</f>
        <v>1</v>
      </c>
      <c r="G1356" t="s">
        <v>28</v>
      </c>
      <c r="H1356" t="s">
        <v>23</v>
      </c>
      <c r="I1356">
        <v>24</v>
      </c>
      <c r="J1356">
        <v>2</v>
      </c>
      <c r="K1356" t="s">
        <v>18</v>
      </c>
      <c r="L1356">
        <v>1</v>
      </c>
      <c r="M1356">
        <v>4</v>
      </c>
      <c r="N1356" s="3">
        <v>2587</v>
      </c>
      <c r="O1356" s="3" t="str">
        <f>IF(Table2[[#This Row],[MonthlyIncome]]&lt;=5000, "$1001 - $5000", IF(Table2[[#This Row],[MonthlyIncome]]&lt;=9000, "$5001 - $9000", IF(Table2[[#This Row],[MonthlyIncome]]&lt;=13000, "$9001 - $13000", IF(Table2[[#This Row],[MonthlyIncome]]&lt;=17000, "$13001 - $17000", IF(Table2[[#This Row],[MonthlyIncome]]&lt;=21000, "$17001 - $21000")))))</f>
        <v>$1001 - $5000</v>
      </c>
      <c r="P1356">
        <v>1</v>
      </c>
      <c r="Q1356">
        <v>3</v>
      </c>
      <c r="R1356">
        <v>4</v>
      </c>
      <c r="S13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57" spans="1:19" ht="14.25" x14ac:dyDescent="0.2">
      <c r="A1357">
        <v>32685718</v>
      </c>
      <c r="B1357">
        <v>36</v>
      </c>
      <c r="C1357" t="s">
        <v>25</v>
      </c>
      <c r="D1357" t="s">
        <v>24</v>
      </c>
      <c r="E1357" t="s">
        <v>22</v>
      </c>
      <c r="F1357">
        <f>IF(Table2[[#This Row],[Attrition]]="Yes", 1, 0)</f>
        <v>0</v>
      </c>
      <c r="G1357" t="s">
        <v>21</v>
      </c>
      <c r="H1357" t="s">
        <v>17</v>
      </c>
      <c r="I1357">
        <v>17</v>
      </c>
      <c r="J1357">
        <v>2</v>
      </c>
      <c r="K1357" t="s">
        <v>36</v>
      </c>
      <c r="L1357">
        <v>3</v>
      </c>
      <c r="M1357">
        <v>2</v>
      </c>
      <c r="N1357" s="3">
        <v>5507</v>
      </c>
      <c r="O1357" s="3" t="str">
        <f>IF(Table2[[#This Row],[MonthlyIncome]]&lt;=5000, "$1001 - $5000", IF(Table2[[#This Row],[MonthlyIncome]]&lt;=9000, "$5001 - $9000", IF(Table2[[#This Row],[MonthlyIncome]]&lt;=13000, "$9001 - $13000", IF(Table2[[#This Row],[MonthlyIncome]]&lt;=17000, "$13001 - $17000", IF(Table2[[#This Row],[MonthlyIncome]]&lt;=21000, "$17001 - $21000")))))</f>
        <v>$5001 - $9000</v>
      </c>
      <c r="P1357">
        <v>2</v>
      </c>
      <c r="Q1357">
        <v>1</v>
      </c>
      <c r="R1357">
        <v>4</v>
      </c>
      <c r="S13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58" spans="1:19" ht="14.25" x14ac:dyDescent="0.2">
      <c r="A1358">
        <v>19492163</v>
      </c>
      <c r="B1358">
        <v>41</v>
      </c>
      <c r="C1358" t="s">
        <v>20</v>
      </c>
      <c r="D1358" t="s">
        <v>24</v>
      </c>
      <c r="E1358" t="s">
        <v>22</v>
      </c>
      <c r="F1358">
        <f>IF(Table2[[#This Row],[Attrition]]="Yes", 1, 0)</f>
        <v>0</v>
      </c>
      <c r="G1358" t="s">
        <v>21</v>
      </c>
      <c r="H1358" t="s">
        <v>17</v>
      </c>
      <c r="I1358">
        <v>8</v>
      </c>
      <c r="J1358">
        <v>3</v>
      </c>
      <c r="K1358" t="s">
        <v>36</v>
      </c>
      <c r="L1358">
        <v>3</v>
      </c>
      <c r="M1358">
        <v>2</v>
      </c>
      <c r="N1358" s="3">
        <v>4393</v>
      </c>
      <c r="O1358" s="3" t="str">
        <f>IF(Table2[[#This Row],[MonthlyIncome]]&lt;=5000, "$1001 - $5000", IF(Table2[[#This Row],[MonthlyIncome]]&lt;=9000, "$5001 - $9000", IF(Table2[[#This Row],[MonthlyIncome]]&lt;=13000, "$9001 - $13000", IF(Table2[[#This Row],[MonthlyIncome]]&lt;=17000, "$13001 - $17000", IF(Table2[[#This Row],[MonthlyIncome]]&lt;=21000, "$17001 - $21000")))))</f>
        <v>$1001 - $5000</v>
      </c>
      <c r="P1358">
        <v>5</v>
      </c>
      <c r="Q1358">
        <v>3</v>
      </c>
      <c r="R1358">
        <v>5</v>
      </c>
      <c r="S13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59" spans="1:19" ht="14.25" x14ac:dyDescent="0.2">
      <c r="A1359">
        <v>22569765</v>
      </c>
      <c r="B1359">
        <v>42</v>
      </c>
      <c r="C1359" t="s">
        <v>25</v>
      </c>
      <c r="D1359" t="s">
        <v>24</v>
      </c>
      <c r="E1359" t="s">
        <v>22</v>
      </c>
      <c r="F1359">
        <f>IF(Table2[[#This Row],[Attrition]]="Yes", 1, 0)</f>
        <v>0</v>
      </c>
      <c r="G1359" t="s">
        <v>35</v>
      </c>
      <c r="H1359" t="s">
        <v>23</v>
      </c>
      <c r="I1359">
        <v>6</v>
      </c>
      <c r="J1359">
        <v>3</v>
      </c>
      <c r="K1359" t="s">
        <v>29</v>
      </c>
      <c r="L1359">
        <v>3</v>
      </c>
      <c r="M1359">
        <v>1</v>
      </c>
      <c r="N1359" s="3">
        <v>13348</v>
      </c>
      <c r="O1359" s="3" t="str">
        <f>IF(Table2[[#This Row],[MonthlyIncome]]&lt;=5000, "$1001 - $5000", IF(Table2[[#This Row],[MonthlyIncome]]&lt;=9000, "$5001 - $9000", IF(Table2[[#This Row],[MonthlyIncome]]&lt;=13000, "$9001 - $13000", IF(Table2[[#This Row],[MonthlyIncome]]&lt;=17000, "$13001 - $17000", IF(Table2[[#This Row],[MonthlyIncome]]&lt;=21000, "$17001 - $21000")))))</f>
        <v>$13001 - $17000</v>
      </c>
      <c r="P1359">
        <v>9</v>
      </c>
      <c r="Q1359">
        <v>4</v>
      </c>
      <c r="R1359">
        <v>13</v>
      </c>
      <c r="S13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360" spans="1:19" ht="14.25" x14ac:dyDescent="0.2">
      <c r="A1360">
        <v>35520278</v>
      </c>
      <c r="B1360">
        <v>31</v>
      </c>
      <c r="C1360" t="s">
        <v>20</v>
      </c>
      <c r="D1360" t="s">
        <v>30</v>
      </c>
      <c r="E1360" t="s">
        <v>22</v>
      </c>
      <c r="F1360">
        <f>IF(Table2[[#This Row],[Attrition]]="Yes", 1, 0)</f>
        <v>0</v>
      </c>
      <c r="G1360" t="s">
        <v>21</v>
      </c>
      <c r="H1360" t="s">
        <v>17</v>
      </c>
      <c r="I1360">
        <v>10</v>
      </c>
      <c r="J1360">
        <v>2</v>
      </c>
      <c r="K1360" t="s">
        <v>29</v>
      </c>
      <c r="L1360">
        <v>3</v>
      </c>
      <c r="M1360">
        <v>4</v>
      </c>
      <c r="N1360" s="3">
        <v>6583</v>
      </c>
      <c r="O1360" s="3" t="str">
        <f>IF(Table2[[#This Row],[MonthlyIncome]]&lt;=5000, "$1001 - $5000", IF(Table2[[#This Row],[MonthlyIncome]]&lt;=9000, "$5001 - $9000", IF(Table2[[#This Row],[MonthlyIncome]]&lt;=13000, "$9001 - $13000", IF(Table2[[#This Row],[MonthlyIncome]]&lt;=17000, "$13001 - $17000", IF(Table2[[#This Row],[MonthlyIncome]]&lt;=21000, "$17001 - $21000")))))</f>
        <v>$5001 - $9000</v>
      </c>
      <c r="P1360">
        <v>2</v>
      </c>
      <c r="Q1360">
        <v>3</v>
      </c>
      <c r="R1360">
        <v>5</v>
      </c>
      <c r="S13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61" spans="1:19" ht="14.25" x14ac:dyDescent="0.2">
      <c r="A1361">
        <v>22249251</v>
      </c>
      <c r="B1361">
        <v>34</v>
      </c>
      <c r="C1361" t="s">
        <v>20</v>
      </c>
      <c r="D1361" t="s">
        <v>24</v>
      </c>
      <c r="E1361" t="s">
        <v>22</v>
      </c>
      <c r="F1361">
        <f>IF(Table2[[#This Row],[Attrition]]="Yes", 1, 0)</f>
        <v>0</v>
      </c>
      <c r="G1361" t="s">
        <v>21</v>
      </c>
      <c r="H1361" t="s">
        <v>17</v>
      </c>
      <c r="I1361">
        <v>3</v>
      </c>
      <c r="J1361">
        <v>1</v>
      </c>
      <c r="K1361" t="s">
        <v>29</v>
      </c>
      <c r="L1361">
        <v>4</v>
      </c>
      <c r="M1361">
        <v>4</v>
      </c>
      <c r="N1361" s="3">
        <v>8103</v>
      </c>
      <c r="O1361" s="3" t="str">
        <f>IF(Table2[[#This Row],[MonthlyIncome]]&lt;=5000, "$1001 - $5000", IF(Table2[[#This Row],[MonthlyIncome]]&lt;=9000, "$5001 - $9000", IF(Table2[[#This Row],[MonthlyIncome]]&lt;=13000, "$9001 - $13000", IF(Table2[[#This Row],[MonthlyIncome]]&lt;=17000, "$13001 - $17000", IF(Table2[[#This Row],[MonthlyIncome]]&lt;=21000, "$17001 - $21000")))))</f>
        <v>$5001 - $9000</v>
      </c>
      <c r="P1361">
        <v>3</v>
      </c>
      <c r="Q1361">
        <v>2</v>
      </c>
      <c r="R1361">
        <v>4</v>
      </c>
      <c r="S13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62" spans="1:19" ht="14.25" x14ac:dyDescent="0.2">
      <c r="A1362">
        <v>16455053</v>
      </c>
      <c r="B1362">
        <v>31</v>
      </c>
      <c r="C1362" t="s">
        <v>20</v>
      </c>
      <c r="D1362" t="s">
        <v>30</v>
      </c>
      <c r="E1362" t="s">
        <v>22</v>
      </c>
      <c r="F1362">
        <f>IF(Table2[[#This Row],[Attrition]]="Yes", 1, 0)</f>
        <v>0</v>
      </c>
      <c r="G1362" t="s">
        <v>28</v>
      </c>
      <c r="H1362" t="s">
        <v>23</v>
      </c>
      <c r="I1362">
        <v>4</v>
      </c>
      <c r="J1362">
        <v>3</v>
      </c>
      <c r="K1362" t="s">
        <v>29</v>
      </c>
      <c r="L1362">
        <v>1</v>
      </c>
      <c r="M1362">
        <v>3</v>
      </c>
      <c r="N1362" s="3">
        <v>3978</v>
      </c>
      <c r="O1362" s="3" t="str">
        <f>IF(Table2[[#This Row],[MonthlyIncome]]&lt;=5000, "$1001 - $5000", IF(Table2[[#This Row],[MonthlyIncome]]&lt;=9000, "$5001 - $9000", IF(Table2[[#This Row],[MonthlyIncome]]&lt;=13000, "$9001 - $13000", IF(Table2[[#This Row],[MonthlyIncome]]&lt;=17000, "$13001 - $17000", IF(Table2[[#This Row],[MonthlyIncome]]&lt;=21000, "$17001 - $21000")))))</f>
        <v>$1001 - $5000</v>
      </c>
      <c r="P1362">
        <v>8</v>
      </c>
      <c r="Q1362">
        <v>2</v>
      </c>
      <c r="R1362">
        <v>2</v>
      </c>
      <c r="S13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63" spans="1:19" ht="14.25" x14ac:dyDescent="0.2">
      <c r="A1363">
        <v>19664301</v>
      </c>
      <c r="B1363">
        <v>26</v>
      </c>
      <c r="C1363" t="s">
        <v>25</v>
      </c>
      <c r="D1363" t="s">
        <v>24</v>
      </c>
      <c r="E1363" t="s">
        <v>22</v>
      </c>
      <c r="F1363">
        <f>IF(Table2[[#This Row],[Attrition]]="Yes", 1, 0)</f>
        <v>0</v>
      </c>
      <c r="G1363" t="s">
        <v>28</v>
      </c>
      <c r="H1363" t="s">
        <v>23</v>
      </c>
      <c r="I1363">
        <v>6</v>
      </c>
      <c r="J1363">
        <v>3</v>
      </c>
      <c r="K1363" t="s">
        <v>27</v>
      </c>
      <c r="L1363">
        <v>3</v>
      </c>
      <c r="M1363">
        <v>4</v>
      </c>
      <c r="N1363" s="3">
        <v>2544</v>
      </c>
      <c r="O1363" s="3" t="str">
        <f>IF(Table2[[#This Row],[MonthlyIncome]]&lt;=5000, "$1001 - $5000", IF(Table2[[#This Row],[MonthlyIncome]]&lt;=9000, "$5001 - $9000", IF(Table2[[#This Row],[MonthlyIncome]]&lt;=13000, "$9001 - $13000", IF(Table2[[#This Row],[MonthlyIncome]]&lt;=17000, "$13001 - $17000", IF(Table2[[#This Row],[MonthlyIncome]]&lt;=21000, "$17001 - $21000")))))</f>
        <v>$1001 - $5000</v>
      </c>
      <c r="P1363">
        <v>0</v>
      </c>
      <c r="Q1363">
        <v>3</v>
      </c>
      <c r="R1363">
        <v>7</v>
      </c>
      <c r="S13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64" spans="1:19" ht="14.25" x14ac:dyDescent="0.2">
      <c r="A1364">
        <v>47685547</v>
      </c>
      <c r="B1364">
        <v>45</v>
      </c>
      <c r="C1364" t="s">
        <v>25</v>
      </c>
      <c r="D1364" t="s">
        <v>19</v>
      </c>
      <c r="E1364" t="s">
        <v>22</v>
      </c>
      <c r="F1364">
        <f>IF(Table2[[#This Row],[Attrition]]="Yes", 1, 0)</f>
        <v>0</v>
      </c>
      <c r="G1364" t="s">
        <v>32</v>
      </c>
      <c r="H1364" t="s">
        <v>23</v>
      </c>
      <c r="I1364">
        <v>1</v>
      </c>
      <c r="J1364">
        <v>4</v>
      </c>
      <c r="K1364" t="s">
        <v>29</v>
      </c>
      <c r="L1364">
        <v>2</v>
      </c>
      <c r="M1364">
        <v>3</v>
      </c>
      <c r="N1364" s="3">
        <v>5399</v>
      </c>
      <c r="O1364" s="3" t="str">
        <f>IF(Table2[[#This Row],[MonthlyIncome]]&lt;=5000, "$1001 - $5000", IF(Table2[[#This Row],[MonthlyIncome]]&lt;=9000, "$5001 - $9000", IF(Table2[[#This Row],[MonthlyIncome]]&lt;=13000, "$9001 - $13000", IF(Table2[[#This Row],[MonthlyIncome]]&lt;=17000, "$13001 - $17000", IF(Table2[[#This Row],[MonthlyIncome]]&lt;=21000, "$17001 - $21000")))))</f>
        <v>$5001 - $9000</v>
      </c>
      <c r="P1364">
        <v>4</v>
      </c>
      <c r="Q1364">
        <v>3</v>
      </c>
      <c r="R1364">
        <v>4</v>
      </c>
      <c r="S13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65" spans="1:19" ht="14.25" x14ac:dyDescent="0.2">
      <c r="A1365">
        <v>52608957</v>
      </c>
      <c r="B1365">
        <v>33</v>
      </c>
      <c r="C1365" t="s">
        <v>25</v>
      </c>
      <c r="D1365" t="s">
        <v>19</v>
      </c>
      <c r="E1365" t="s">
        <v>22</v>
      </c>
      <c r="F1365">
        <f>IF(Table2[[#This Row],[Attrition]]="Yes", 1, 0)</f>
        <v>0</v>
      </c>
      <c r="G1365" t="s">
        <v>21</v>
      </c>
      <c r="H1365" t="s">
        <v>17</v>
      </c>
      <c r="I1365">
        <v>10</v>
      </c>
      <c r="J1365">
        <v>4</v>
      </c>
      <c r="K1365" t="s">
        <v>36</v>
      </c>
      <c r="L1365">
        <v>2</v>
      </c>
      <c r="M1365">
        <v>3</v>
      </c>
      <c r="N1365" s="3">
        <v>5487</v>
      </c>
      <c r="O1365" s="3" t="str">
        <f>IF(Table2[[#This Row],[MonthlyIncome]]&lt;=5000, "$1001 - $5000", IF(Table2[[#This Row],[MonthlyIncome]]&lt;=9000, "$5001 - $9000", IF(Table2[[#This Row],[MonthlyIncome]]&lt;=13000, "$9001 - $13000", IF(Table2[[#This Row],[MonthlyIncome]]&lt;=17000, "$13001 - $17000", IF(Table2[[#This Row],[MonthlyIncome]]&lt;=21000, "$17001 - $21000")))))</f>
        <v>$5001 - $9000</v>
      </c>
      <c r="P1365">
        <v>1</v>
      </c>
      <c r="Q1365">
        <v>2</v>
      </c>
      <c r="R1365">
        <v>10</v>
      </c>
      <c r="S13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366" spans="1:19" ht="14.25" x14ac:dyDescent="0.2">
      <c r="A1366">
        <v>85456028</v>
      </c>
      <c r="B1366">
        <v>28</v>
      </c>
      <c r="C1366" t="s">
        <v>25</v>
      </c>
      <c r="D1366" t="s">
        <v>24</v>
      </c>
      <c r="E1366" t="s">
        <v>22</v>
      </c>
      <c r="F1366">
        <f>IF(Table2[[#This Row],[Attrition]]="Yes", 1, 0)</f>
        <v>0</v>
      </c>
      <c r="G1366" t="s">
        <v>21</v>
      </c>
      <c r="H1366" t="s">
        <v>17</v>
      </c>
      <c r="I1366">
        <v>1</v>
      </c>
      <c r="J1366">
        <v>2</v>
      </c>
      <c r="K1366" t="s">
        <v>18</v>
      </c>
      <c r="L1366">
        <v>3</v>
      </c>
      <c r="M1366">
        <v>4</v>
      </c>
      <c r="N1366" s="3">
        <v>6834</v>
      </c>
      <c r="O1366" s="3" t="str">
        <f>IF(Table2[[#This Row],[MonthlyIncome]]&lt;=5000, "$1001 - $5000", IF(Table2[[#This Row],[MonthlyIncome]]&lt;=9000, "$5001 - $9000", IF(Table2[[#This Row],[MonthlyIncome]]&lt;=13000, "$9001 - $13000", IF(Table2[[#This Row],[MonthlyIncome]]&lt;=17000, "$13001 - $17000", IF(Table2[[#This Row],[MonthlyIncome]]&lt;=21000, "$17001 - $21000")))))</f>
        <v>$5001 - $9000</v>
      </c>
      <c r="P1366">
        <v>1</v>
      </c>
      <c r="Q1366">
        <v>3</v>
      </c>
      <c r="R1366">
        <v>7</v>
      </c>
      <c r="S13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67" spans="1:19" ht="14.25" x14ac:dyDescent="0.2">
      <c r="A1367">
        <v>48186711</v>
      </c>
      <c r="B1367">
        <v>29</v>
      </c>
      <c r="C1367" t="s">
        <v>25</v>
      </c>
      <c r="D1367" t="s">
        <v>19</v>
      </c>
      <c r="E1367" t="s">
        <v>16</v>
      </c>
      <c r="F1367">
        <f>IF(Table2[[#This Row],[Attrition]]="Yes", 1, 0)</f>
        <v>1</v>
      </c>
      <c r="G1367" t="s">
        <v>34</v>
      </c>
      <c r="H1367" t="s">
        <v>17</v>
      </c>
      <c r="I1367">
        <v>24</v>
      </c>
      <c r="J1367">
        <v>3</v>
      </c>
      <c r="K1367" t="s">
        <v>37</v>
      </c>
      <c r="L1367">
        <v>3</v>
      </c>
      <c r="M1367">
        <v>1</v>
      </c>
      <c r="N1367" s="3">
        <v>1091</v>
      </c>
      <c r="O1367" s="3" t="str">
        <f>IF(Table2[[#This Row],[MonthlyIncome]]&lt;=5000, "$1001 - $5000", IF(Table2[[#This Row],[MonthlyIncome]]&lt;=9000, "$5001 - $9000", IF(Table2[[#This Row],[MonthlyIncome]]&lt;=13000, "$9001 - $13000", IF(Table2[[#This Row],[MonthlyIncome]]&lt;=17000, "$13001 - $17000", IF(Table2[[#This Row],[MonthlyIncome]]&lt;=21000, "$17001 - $21000")))))</f>
        <v>$1001 - $5000</v>
      </c>
      <c r="P1367">
        <v>1</v>
      </c>
      <c r="Q1367">
        <v>3</v>
      </c>
      <c r="R1367">
        <v>1</v>
      </c>
      <c r="S13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68" spans="1:19" ht="14.25" x14ac:dyDescent="0.2">
      <c r="A1368">
        <v>42987679</v>
      </c>
      <c r="B1368">
        <v>39</v>
      </c>
      <c r="C1368" t="s">
        <v>20</v>
      </c>
      <c r="D1368" t="s">
        <v>24</v>
      </c>
      <c r="E1368" t="s">
        <v>22</v>
      </c>
      <c r="F1368">
        <f>IF(Table2[[#This Row],[Attrition]]="Yes", 1, 0)</f>
        <v>0</v>
      </c>
      <c r="G1368" t="s">
        <v>21</v>
      </c>
      <c r="H1368" t="s">
        <v>17</v>
      </c>
      <c r="I1368">
        <v>21</v>
      </c>
      <c r="J1368">
        <v>4</v>
      </c>
      <c r="K1368" t="s">
        <v>18</v>
      </c>
      <c r="L1368">
        <v>1</v>
      </c>
      <c r="M1368">
        <v>3</v>
      </c>
      <c r="N1368" s="3">
        <v>5736</v>
      </c>
      <c r="O1368" s="3" t="str">
        <f>IF(Table2[[#This Row],[MonthlyIncome]]&lt;=5000, "$1001 - $5000", IF(Table2[[#This Row],[MonthlyIncome]]&lt;=9000, "$5001 - $9000", IF(Table2[[#This Row],[MonthlyIncome]]&lt;=13000, "$9001 - $13000", IF(Table2[[#This Row],[MonthlyIncome]]&lt;=17000, "$13001 - $17000", IF(Table2[[#This Row],[MonthlyIncome]]&lt;=21000, "$17001 - $21000")))))</f>
        <v>$5001 - $9000</v>
      </c>
      <c r="P1368">
        <v>6</v>
      </c>
      <c r="Q1368">
        <v>3</v>
      </c>
      <c r="R1368">
        <v>3</v>
      </c>
      <c r="S13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69" spans="1:19" ht="14.25" x14ac:dyDescent="0.2">
      <c r="A1369">
        <v>12474564</v>
      </c>
      <c r="B1369">
        <v>27</v>
      </c>
      <c r="C1369" t="s">
        <v>25</v>
      </c>
      <c r="D1369" t="s">
        <v>24</v>
      </c>
      <c r="E1369" t="s">
        <v>22</v>
      </c>
      <c r="F1369">
        <f>IF(Table2[[#This Row],[Attrition]]="Yes", 1, 0)</f>
        <v>0</v>
      </c>
      <c r="G1369" t="s">
        <v>26</v>
      </c>
      <c r="H1369" t="s">
        <v>23</v>
      </c>
      <c r="I1369">
        <v>2</v>
      </c>
      <c r="J1369">
        <v>4</v>
      </c>
      <c r="K1369" t="s">
        <v>37</v>
      </c>
      <c r="L1369">
        <v>2</v>
      </c>
      <c r="M1369">
        <v>2</v>
      </c>
      <c r="N1369" s="3">
        <v>2226</v>
      </c>
      <c r="O1369" s="3" t="str">
        <f>IF(Table2[[#This Row],[MonthlyIncome]]&lt;=5000, "$1001 - $5000", IF(Table2[[#This Row],[MonthlyIncome]]&lt;=9000, "$5001 - $9000", IF(Table2[[#This Row],[MonthlyIncome]]&lt;=13000, "$9001 - $13000", IF(Table2[[#This Row],[MonthlyIncome]]&lt;=17000, "$13001 - $17000", IF(Table2[[#This Row],[MonthlyIncome]]&lt;=21000, "$17001 - $21000")))))</f>
        <v>$1001 - $5000</v>
      </c>
      <c r="P1369">
        <v>1</v>
      </c>
      <c r="Q1369">
        <v>2</v>
      </c>
      <c r="R1369">
        <v>5</v>
      </c>
      <c r="S13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70" spans="1:19" ht="14.25" x14ac:dyDescent="0.2">
      <c r="A1370">
        <v>57871056</v>
      </c>
      <c r="B1370">
        <v>34</v>
      </c>
      <c r="C1370" t="s">
        <v>25</v>
      </c>
      <c r="D1370" t="s">
        <v>24</v>
      </c>
      <c r="E1370" t="s">
        <v>22</v>
      </c>
      <c r="F1370">
        <f>IF(Table2[[#This Row],[Attrition]]="Yes", 1, 0)</f>
        <v>0</v>
      </c>
      <c r="G1370" t="s">
        <v>26</v>
      </c>
      <c r="H1370" t="s">
        <v>23</v>
      </c>
      <c r="I1370">
        <v>22</v>
      </c>
      <c r="J1370">
        <v>4</v>
      </c>
      <c r="K1370" t="s">
        <v>27</v>
      </c>
      <c r="L1370">
        <v>3</v>
      </c>
      <c r="M1370">
        <v>4</v>
      </c>
      <c r="N1370" s="3">
        <v>5747</v>
      </c>
      <c r="O1370" s="3" t="str">
        <f>IF(Table2[[#This Row],[MonthlyIncome]]&lt;=5000, "$1001 - $5000", IF(Table2[[#This Row],[MonthlyIncome]]&lt;=9000, "$5001 - $9000", IF(Table2[[#This Row],[MonthlyIncome]]&lt;=13000, "$9001 - $13000", IF(Table2[[#This Row],[MonthlyIncome]]&lt;=17000, "$13001 - $17000", IF(Table2[[#This Row],[MonthlyIncome]]&lt;=21000, "$17001 - $21000")))))</f>
        <v>$5001 - $9000</v>
      </c>
      <c r="P1370">
        <v>1</v>
      </c>
      <c r="Q1370">
        <v>3</v>
      </c>
      <c r="R1370">
        <v>15</v>
      </c>
      <c r="S13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371" spans="1:19" ht="14.25" x14ac:dyDescent="0.2">
      <c r="A1371">
        <v>14842271</v>
      </c>
      <c r="B1371">
        <v>28</v>
      </c>
      <c r="C1371" t="s">
        <v>20</v>
      </c>
      <c r="D1371" t="s">
        <v>19</v>
      </c>
      <c r="E1371" t="s">
        <v>16</v>
      </c>
      <c r="F1371">
        <f>IF(Table2[[#This Row],[Attrition]]="Yes", 1, 0)</f>
        <v>1</v>
      </c>
      <c r="G1371" t="s">
        <v>21</v>
      </c>
      <c r="H1371" t="s">
        <v>17</v>
      </c>
      <c r="I1371">
        <v>13</v>
      </c>
      <c r="J1371">
        <v>2</v>
      </c>
      <c r="K1371" t="s">
        <v>36</v>
      </c>
      <c r="L1371">
        <v>4</v>
      </c>
      <c r="M1371">
        <v>3</v>
      </c>
      <c r="N1371" s="3">
        <v>9854</v>
      </c>
      <c r="O1371" s="3" t="str">
        <f>IF(Table2[[#This Row],[MonthlyIncome]]&lt;=5000, "$1001 - $5000", IF(Table2[[#This Row],[MonthlyIncome]]&lt;=9000, "$5001 - $9000", IF(Table2[[#This Row],[MonthlyIncome]]&lt;=13000, "$9001 - $13000", IF(Table2[[#This Row],[MonthlyIncome]]&lt;=17000, "$13001 - $17000", IF(Table2[[#This Row],[MonthlyIncome]]&lt;=21000, "$17001 - $21000")))))</f>
        <v>$9001 - $13000</v>
      </c>
      <c r="P1371">
        <v>3</v>
      </c>
      <c r="Q1371">
        <v>3</v>
      </c>
      <c r="R1371">
        <v>2</v>
      </c>
      <c r="S13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72" spans="1:19" ht="14.25" x14ac:dyDescent="0.2">
      <c r="A1372">
        <v>55262808</v>
      </c>
      <c r="B1372">
        <v>47</v>
      </c>
      <c r="C1372" t="s">
        <v>25</v>
      </c>
      <c r="D1372" t="s">
        <v>24</v>
      </c>
      <c r="E1372" t="s">
        <v>22</v>
      </c>
      <c r="F1372">
        <f>IF(Table2[[#This Row],[Attrition]]="Yes", 1, 0)</f>
        <v>0</v>
      </c>
      <c r="G1372" t="s">
        <v>26</v>
      </c>
      <c r="H1372" t="s">
        <v>23</v>
      </c>
      <c r="I1372">
        <v>14</v>
      </c>
      <c r="J1372">
        <v>4</v>
      </c>
      <c r="K1372" t="s">
        <v>37</v>
      </c>
      <c r="L1372">
        <v>3</v>
      </c>
      <c r="M1372">
        <v>2</v>
      </c>
      <c r="N1372" s="3">
        <v>5467</v>
      </c>
      <c r="O1372" s="3" t="str">
        <f>IF(Table2[[#This Row],[MonthlyIncome]]&lt;=5000, "$1001 - $5000", IF(Table2[[#This Row],[MonthlyIncome]]&lt;=9000, "$5001 - $9000", IF(Table2[[#This Row],[MonthlyIncome]]&lt;=13000, "$9001 - $13000", IF(Table2[[#This Row],[MonthlyIncome]]&lt;=17000, "$13001 - $17000", IF(Table2[[#This Row],[MonthlyIncome]]&lt;=21000, "$17001 - $21000")))))</f>
        <v>$5001 - $9000</v>
      </c>
      <c r="P1372">
        <v>8</v>
      </c>
      <c r="Q1372">
        <v>4</v>
      </c>
      <c r="R1372">
        <v>8</v>
      </c>
      <c r="S137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73" spans="1:19" ht="14.25" x14ac:dyDescent="0.2">
      <c r="A1373">
        <v>58216471</v>
      </c>
      <c r="B1373">
        <v>56</v>
      </c>
      <c r="C1373" t="s">
        <v>20</v>
      </c>
      <c r="D1373" t="s">
        <v>24</v>
      </c>
      <c r="E1373" t="s">
        <v>22</v>
      </c>
      <c r="F1373">
        <f>IF(Table2[[#This Row],[Attrition]]="Yes", 1, 0)</f>
        <v>0</v>
      </c>
      <c r="G1373" t="s">
        <v>21</v>
      </c>
      <c r="H1373" t="s">
        <v>17</v>
      </c>
      <c r="I1373">
        <v>11</v>
      </c>
      <c r="J1373">
        <v>5</v>
      </c>
      <c r="K1373" t="s">
        <v>36</v>
      </c>
      <c r="L1373">
        <v>4</v>
      </c>
      <c r="M1373">
        <v>1</v>
      </c>
      <c r="N1373" s="3">
        <v>5380</v>
      </c>
      <c r="O1373" s="3" t="str">
        <f>IF(Table2[[#This Row],[MonthlyIncome]]&lt;=5000, "$1001 - $5000", IF(Table2[[#This Row],[MonthlyIncome]]&lt;=9000, "$5001 - $9000", IF(Table2[[#This Row],[MonthlyIncome]]&lt;=13000, "$9001 - $13000", IF(Table2[[#This Row],[MonthlyIncome]]&lt;=17000, "$13001 - $17000", IF(Table2[[#This Row],[MonthlyIncome]]&lt;=21000, "$17001 - $21000")))))</f>
        <v>$5001 - $9000</v>
      </c>
      <c r="P1373">
        <v>4</v>
      </c>
      <c r="Q1373">
        <v>3</v>
      </c>
      <c r="R1373">
        <v>0</v>
      </c>
      <c r="S137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74" spans="1:19" ht="14.25" x14ac:dyDescent="0.2">
      <c r="A1374">
        <v>67147003</v>
      </c>
      <c r="B1374">
        <v>39</v>
      </c>
      <c r="C1374" t="s">
        <v>25</v>
      </c>
      <c r="D1374" t="s">
        <v>24</v>
      </c>
      <c r="E1374" t="s">
        <v>22</v>
      </c>
      <c r="F1374">
        <f>IF(Table2[[#This Row],[Attrition]]="Yes", 1, 0)</f>
        <v>0</v>
      </c>
      <c r="G1374" t="s">
        <v>31</v>
      </c>
      <c r="H1374" t="s">
        <v>23</v>
      </c>
      <c r="I1374">
        <v>9</v>
      </c>
      <c r="J1374">
        <v>2</v>
      </c>
      <c r="K1374" t="s">
        <v>29</v>
      </c>
      <c r="L1374">
        <v>1</v>
      </c>
      <c r="M1374">
        <v>1</v>
      </c>
      <c r="N1374" s="3">
        <v>5151</v>
      </c>
      <c r="O1374" s="3" t="str">
        <f>IF(Table2[[#This Row],[MonthlyIncome]]&lt;=5000, "$1001 - $5000", IF(Table2[[#This Row],[MonthlyIncome]]&lt;=9000, "$5001 - $9000", IF(Table2[[#This Row],[MonthlyIncome]]&lt;=13000, "$9001 - $13000", IF(Table2[[#This Row],[MonthlyIncome]]&lt;=17000, "$13001 - $17000", IF(Table2[[#This Row],[MonthlyIncome]]&lt;=21000, "$17001 - $21000")))))</f>
        <v>$5001 - $9000</v>
      </c>
      <c r="P1374">
        <v>1</v>
      </c>
      <c r="Q1374">
        <v>3</v>
      </c>
      <c r="R1374">
        <v>10</v>
      </c>
      <c r="S137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375" spans="1:19" ht="14.25" x14ac:dyDescent="0.2">
      <c r="A1375">
        <v>25727728</v>
      </c>
      <c r="B1375">
        <v>38</v>
      </c>
      <c r="C1375" t="s">
        <v>20</v>
      </c>
      <c r="D1375" t="s">
        <v>30</v>
      </c>
      <c r="E1375" t="s">
        <v>22</v>
      </c>
      <c r="F1375">
        <f>IF(Table2[[#This Row],[Attrition]]="Yes", 1, 0)</f>
        <v>0</v>
      </c>
      <c r="G1375" t="s">
        <v>26</v>
      </c>
      <c r="H1375" t="s">
        <v>23</v>
      </c>
      <c r="I1375">
        <v>8</v>
      </c>
      <c r="J1375">
        <v>3</v>
      </c>
      <c r="K1375" t="s">
        <v>29</v>
      </c>
      <c r="L1375">
        <v>4</v>
      </c>
      <c r="M1375">
        <v>2</v>
      </c>
      <c r="N1375" s="3">
        <v>2133</v>
      </c>
      <c r="O1375" s="3" t="str">
        <f>IF(Table2[[#This Row],[MonthlyIncome]]&lt;=5000, "$1001 - $5000", IF(Table2[[#This Row],[MonthlyIncome]]&lt;=9000, "$5001 - $9000", IF(Table2[[#This Row],[MonthlyIncome]]&lt;=13000, "$9001 - $13000", IF(Table2[[#This Row],[MonthlyIncome]]&lt;=17000, "$13001 - $17000", IF(Table2[[#This Row],[MonthlyIncome]]&lt;=21000, "$17001 - $21000")))))</f>
        <v>$1001 - $5000</v>
      </c>
      <c r="P1375">
        <v>1</v>
      </c>
      <c r="Q1375">
        <v>3</v>
      </c>
      <c r="R1375">
        <v>20</v>
      </c>
      <c r="S137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376" spans="1:19" ht="14.25" x14ac:dyDescent="0.2">
      <c r="A1376">
        <v>32753054</v>
      </c>
      <c r="B1376">
        <v>58</v>
      </c>
      <c r="C1376" t="s">
        <v>20</v>
      </c>
      <c r="D1376" t="s">
        <v>24</v>
      </c>
      <c r="E1376" t="s">
        <v>22</v>
      </c>
      <c r="F1376">
        <f>IF(Table2[[#This Row],[Attrition]]="Yes", 1, 0)</f>
        <v>0</v>
      </c>
      <c r="G1376" t="s">
        <v>33</v>
      </c>
      <c r="H1376" t="s">
        <v>17</v>
      </c>
      <c r="I1376">
        <v>21</v>
      </c>
      <c r="J1376">
        <v>3</v>
      </c>
      <c r="K1376" t="s">
        <v>18</v>
      </c>
      <c r="L1376">
        <v>4</v>
      </c>
      <c r="M1376">
        <v>4</v>
      </c>
      <c r="N1376" s="3">
        <v>17875</v>
      </c>
      <c r="O1376" s="3" t="str">
        <f>IF(Table2[[#This Row],[MonthlyIncome]]&lt;=5000, "$1001 - $5000", IF(Table2[[#This Row],[MonthlyIncome]]&lt;=9000, "$5001 - $9000", IF(Table2[[#This Row],[MonthlyIncome]]&lt;=13000, "$9001 - $13000", IF(Table2[[#This Row],[MonthlyIncome]]&lt;=17000, "$13001 - $17000", IF(Table2[[#This Row],[MonthlyIncome]]&lt;=21000, "$17001 - $21000")))))</f>
        <v>$17001 - $21000</v>
      </c>
      <c r="P1376">
        <v>4</v>
      </c>
      <c r="Q1376">
        <v>2</v>
      </c>
      <c r="R1376">
        <v>1</v>
      </c>
      <c r="S137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77" spans="1:19" ht="14.25" x14ac:dyDescent="0.2">
      <c r="A1377">
        <v>37264185</v>
      </c>
      <c r="B1377">
        <v>32</v>
      </c>
      <c r="C1377" t="s">
        <v>20</v>
      </c>
      <c r="D1377" t="s">
        <v>19</v>
      </c>
      <c r="E1377" t="s">
        <v>16</v>
      </c>
      <c r="F1377">
        <f>IF(Table2[[#This Row],[Attrition]]="Yes", 1, 0)</f>
        <v>1</v>
      </c>
      <c r="G1377" t="s">
        <v>26</v>
      </c>
      <c r="H1377" t="s">
        <v>23</v>
      </c>
      <c r="I1377">
        <v>5</v>
      </c>
      <c r="J1377">
        <v>2</v>
      </c>
      <c r="K1377" t="s">
        <v>18</v>
      </c>
      <c r="L1377">
        <v>1</v>
      </c>
      <c r="M1377">
        <v>3</v>
      </c>
      <c r="N1377" s="3">
        <v>2432</v>
      </c>
      <c r="O1377" s="3" t="str">
        <f>IF(Table2[[#This Row],[MonthlyIncome]]&lt;=5000, "$1001 - $5000", IF(Table2[[#This Row],[MonthlyIncome]]&lt;=9000, "$5001 - $9000", IF(Table2[[#This Row],[MonthlyIncome]]&lt;=13000, "$9001 - $13000", IF(Table2[[#This Row],[MonthlyIncome]]&lt;=17000, "$13001 - $17000", IF(Table2[[#This Row],[MonthlyIncome]]&lt;=21000, "$17001 - $21000")))))</f>
        <v>$1001 - $5000</v>
      </c>
      <c r="P1377">
        <v>3</v>
      </c>
      <c r="Q1377">
        <v>3</v>
      </c>
      <c r="R1377">
        <v>4</v>
      </c>
      <c r="S137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78" spans="1:19" ht="14.25" x14ac:dyDescent="0.2">
      <c r="A1378">
        <v>68693462</v>
      </c>
      <c r="B1378">
        <v>38</v>
      </c>
      <c r="C1378" t="s">
        <v>25</v>
      </c>
      <c r="D1378" t="s">
        <v>30</v>
      </c>
      <c r="E1378" t="s">
        <v>22</v>
      </c>
      <c r="F1378">
        <f>IF(Table2[[#This Row],[Attrition]]="Yes", 1, 0)</f>
        <v>0</v>
      </c>
      <c r="G1378" t="s">
        <v>26</v>
      </c>
      <c r="H1378" t="s">
        <v>23</v>
      </c>
      <c r="I1378">
        <v>9</v>
      </c>
      <c r="J1378">
        <v>2</v>
      </c>
      <c r="K1378" t="s">
        <v>18</v>
      </c>
      <c r="L1378">
        <v>2</v>
      </c>
      <c r="M1378">
        <v>4</v>
      </c>
      <c r="N1378" s="3">
        <v>4771</v>
      </c>
      <c r="O1378" s="3" t="str">
        <f>IF(Table2[[#This Row],[MonthlyIncome]]&lt;=5000, "$1001 - $5000", IF(Table2[[#This Row],[MonthlyIncome]]&lt;=9000, "$5001 - $9000", IF(Table2[[#This Row],[MonthlyIncome]]&lt;=13000, "$9001 - $13000", IF(Table2[[#This Row],[MonthlyIncome]]&lt;=17000, "$13001 - $17000", IF(Table2[[#This Row],[MonthlyIncome]]&lt;=21000, "$17001 - $21000")))))</f>
        <v>$1001 - $5000</v>
      </c>
      <c r="P1378">
        <v>2</v>
      </c>
      <c r="Q1378">
        <v>4</v>
      </c>
      <c r="R1378">
        <v>5</v>
      </c>
      <c r="S137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79" spans="1:19" ht="14.25" x14ac:dyDescent="0.2">
      <c r="A1379">
        <v>24103360</v>
      </c>
      <c r="B1379">
        <v>49</v>
      </c>
      <c r="C1379" t="s">
        <v>25</v>
      </c>
      <c r="D1379" t="s">
        <v>24</v>
      </c>
      <c r="E1379" t="s">
        <v>22</v>
      </c>
      <c r="F1379">
        <f>IF(Table2[[#This Row],[Attrition]]="Yes", 1, 0)</f>
        <v>0</v>
      </c>
      <c r="G1379" t="s">
        <v>35</v>
      </c>
      <c r="H1379" t="s">
        <v>23</v>
      </c>
      <c r="I1379">
        <v>2</v>
      </c>
      <c r="J1379">
        <v>1</v>
      </c>
      <c r="K1379" t="s">
        <v>18</v>
      </c>
      <c r="L1379">
        <v>2</v>
      </c>
      <c r="M1379">
        <v>4</v>
      </c>
      <c r="N1379" s="3">
        <v>19161</v>
      </c>
      <c r="O1379" s="3" t="str">
        <f>IF(Table2[[#This Row],[MonthlyIncome]]&lt;=5000, "$1001 - $5000", IF(Table2[[#This Row],[MonthlyIncome]]&lt;=9000, "$5001 - $9000", IF(Table2[[#This Row],[MonthlyIncome]]&lt;=13000, "$9001 - $13000", IF(Table2[[#This Row],[MonthlyIncome]]&lt;=17000, "$13001 - $17000", IF(Table2[[#This Row],[MonthlyIncome]]&lt;=21000, "$17001 - $21000")))))</f>
        <v>$17001 - $21000</v>
      </c>
      <c r="P1379">
        <v>3</v>
      </c>
      <c r="Q1379">
        <v>3</v>
      </c>
      <c r="R1379">
        <v>5</v>
      </c>
      <c r="S137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80" spans="1:19" ht="14.25" x14ac:dyDescent="0.2">
      <c r="A1380">
        <v>68264759</v>
      </c>
      <c r="B1380">
        <v>42</v>
      </c>
      <c r="C1380" t="s">
        <v>25</v>
      </c>
      <c r="D1380" t="s">
        <v>30</v>
      </c>
      <c r="E1380" t="s">
        <v>22</v>
      </c>
      <c r="F1380">
        <f>IF(Table2[[#This Row],[Attrition]]="Yes", 1, 0)</f>
        <v>0</v>
      </c>
      <c r="G1380" t="s">
        <v>21</v>
      </c>
      <c r="H1380" t="s">
        <v>17</v>
      </c>
      <c r="I1380">
        <v>12</v>
      </c>
      <c r="J1380">
        <v>4</v>
      </c>
      <c r="K1380" t="s">
        <v>36</v>
      </c>
      <c r="L1380">
        <v>2</v>
      </c>
      <c r="M1380">
        <v>4</v>
      </c>
      <c r="N1380" s="3">
        <v>5087</v>
      </c>
      <c r="O1380" s="3" t="str">
        <f>IF(Table2[[#This Row],[MonthlyIncome]]&lt;=5000, "$1001 - $5000", IF(Table2[[#This Row],[MonthlyIncome]]&lt;=9000, "$5001 - $9000", IF(Table2[[#This Row],[MonthlyIncome]]&lt;=13000, "$9001 - $13000", IF(Table2[[#This Row],[MonthlyIncome]]&lt;=17000, "$13001 - $17000", IF(Table2[[#This Row],[MonthlyIncome]]&lt;=21000, "$17001 - $21000")))))</f>
        <v>$5001 - $9000</v>
      </c>
      <c r="P1380">
        <v>3</v>
      </c>
      <c r="Q1380">
        <v>3</v>
      </c>
      <c r="R1380">
        <v>0</v>
      </c>
      <c r="S138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81" spans="1:19" ht="14.25" x14ac:dyDescent="0.2">
      <c r="A1381">
        <v>72889007</v>
      </c>
      <c r="B1381">
        <v>27</v>
      </c>
      <c r="C1381" t="s">
        <v>20</v>
      </c>
      <c r="D1381" t="s">
        <v>24</v>
      </c>
      <c r="E1381" t="s">
        <v>16</v>
      </c>
      <c r="F1381">
        <f>IF(Table2[[#This Row],[Attrition]]="Yes", 1, 0)</f>
        <v>1</v>
      </c>
      <c r="G1381" t="s">
        <v>38</v>
      </c>
      <c r="H1381" t="s">
        <v>38</v>
      </c>
      <c r="I1381">
        <v>22</v>
      </c>
      <c r="J1381">
        <v>3</v>
      </c>
      <c r="K1381" t="s">
        <v>38</v>
      </c>
      <c r="L1381">
        <v>1</v>
      </c>
      <c r="M1381">
        <v>2</v>
      </c>
      <c r="N1381" s="3">
        <v>2863</v>
      </c>
      <c r="O1381" s="3" t="str">
        <f>IF(Table2[[#This Row],[MonthlyIncome]]&lt;=5000, "$1001 - $5000", IF(Table2[[#This Row],[MonthlyIncome]]&lt;=9000, "$5001 - $9000", IF(Table2[[#This Row],[MonthlyIncome]]&lt;=13000, "$9001 - $13000", IF(Table2[[#This Row],[MonthlyIncome]]&lt;=17000, "$13001 - $17000", IF(Table2[[#This Row],[MonthlyIncome]]&lt;=21000, "$17001 - $21000")))))</f>
        <v>$1001 - $5000</v>
      </c>
      <c r="P1381">
        <v>1</v>
      </c>
      <c r="Q1381">
        <v>3</v>
      </c>
      <c r="R1381">
        <v>1</v>
      </c>
      <c r="S138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82" spans="1:19" ht="14.25" x14ac:dyDescent="0.2">
      <c r="A1382">
        <v>79112690</v>
      </c>
      <c r="B1382">
        <v>35</v>
      </c>
      <c r="C1382" t="s">
        <v>25</v>
      </c>
      <c r="D1382" t="s">
        <v>24</v>
      </c>
      <c r="E1382" t="s">
        <v>22</v>
      </c>
      <c r="F1382">
        <f>IF(Table2[[#This Row],[Attrition]]="Yes", 1, 0)</f>
        <v>0</v>
      </c>
      <c r="G1382" t="s">
        <v>21</v>
      </c>
      <c r="H1382" t="s">
        <v>17</v>
      </c>
      <c r="I1382">
        <v>18</v>
      </c>
      <c r="J1382">
        <v>4</v>
      </c>
      <c r="K1382" t="s">
        <v>29</v>
      </c>
      <c r="L1382">
        <v>2</v>
      </c>
      <c r="M1382">
        <v>1</v>
      </c>
      <c r="N1382" s="3">
        <v>5561</v>
      </c>
      <c r="O1382" s="3" t="str">
        <f>IF(Table2[[#This Row],[MonthlyIncome]]&lt;=5000, "$1001 - $5000", IF(Table2[[#This Row],[MonthlyIncome]]&lt;=9000, "$5001 - $9000", IF(Table2[[#This Row],[MonthlyIncome]]&lt;=13000, "$9001 - $13000", IF(Table2[[#This Row],[MonthlyIncome]]&lt;=17000, "$13001 - $17000", IF(Table2[[#This Row],[MonthlyIncome]]&lt;=21000, "$17001 - $21000")))))</f>
        <v>$5001 - $9000</v>
      </c>
      <c r="P1382">
        <v>0</v>
      </c>
      <c r="Q1382">
        <v>1</v>
      </c>
      <c r="R1382">
        <v>5</v>
      </c>
      <c r="S138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83" spans="1:19" ht="14.25" x14ac:dyDescent="0.2">
      <c r="A1383">
        <v>27872198</v>
      </c>
      <c r="B1383">
        <v>28</v>
      </c>
      <c r="C1383" t="s">
        <v>25</v>
      </c>
      <c r="D1383" t="s">
        <v>19</v>
      </c>
      <c r="E1383" t="s">
        <v>22</v>
      </c>
      <c r="F1383">
        <f>IF(Table2[[#This Row],[Attrition]]="Yes", 1, 0)</f>
        <v>0</v>
      </c>
      <c r="G1383" t="s">
        <v>26</v>
      </c>
      <c r="H1383" t="s">
        <v>23</v>
      </c>
      <c r="I1383">
        <v>16</v>
      </c>
      <c r="J1383">
        <v>3</v>
      </c>
      <c r="K1383" t="s">
        <v>29</v>
      </c>
      <c r="L1383">
        <v>3</v>
      </c>
      <c r="M1383">
        <v>3</v>
      </c>
      <c r="N1383" s="3">
        <v>2144</v>
      </c>
      <c r="O1383" s="3" t="str">
        <f>IF(Table2[[#This Row],[MonthlyIncome]]&lt;=5000, "$1001 - $5000", IF(Table2[[#This Row],[MonthlyIncome]]&lt;=9000, "$5001 - $9000", IF(Table2[[#This Row],[MonthlyIncome]]&lt;=13000, "$9001 - $13000", IF(Table2[[#This Row],[MonthlyIncome]]&lt;=17000, "$13001 - $17000", IF(Table2[[#This Row],[MonthlyIncome]]&lt;=21000, "$17001 - $21000")))))</f>
        <v>$1001 - $5000</v>
      </c>
      <c r="P1383">
        <v>1</v>
      </c>
      <c r="Q1383">
        <v>2</v>
      </c>
      <c r="R1383">
        <v>5</v>
      </c>
      <c r="S138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84" spans="1:19" ht="14.25" x14ac:dyDescent="0.2">
      <c r="A1384">
        <v>62029867</v>
      </c>
      <c r="B1384">
        <v>31</v>
      </c>
      <c r="C1384" t="s">
        <v>25</v>
      </c>
      <c r="D1384" t="s">
        <v>30</v>
      </c>
      <c r="E1384" t="s">
        <v>22</v>
      </c>
      <c r="F1384">
        <f>IF(Table2[[#This Row],[Attrition]]="Yes", 1, 0)</f>
        <v>0</v>
      </c>
      <c r="G1384" t="s">
        <v>26</v>
      </c>
      <c r="H1384" t="s">
        <v>23</v>
      </c>
      <c r="I1384">
        <v>3</v>
      </c>
      <c r="J1384">
        <v>2</v>
      </c>
      <c r="K1384" t="s">
        <v>29</v>
      </c>
      <c r="L1384">
        <v>3</v>
      </c>
      <c r="M1384">
        <v>1</v>
      </c>
      <c r="N1384" s="3">
        <v>3065</v>
      </c>
      <c r="O1384" s="3" t="str">
        <f>IF(Table2[[#This Row],[MonthlyIncome]]&lt;=5000, "$1001 - $5000", IF(Table2[[#This Row],[MonthlyIncome]]&lt;=9000, "$5001 - $9000", IF(Table2[[#This Row],[MonthlyIncome]]&lt;=13000, "$9001 - $13000", IF(Table2[[#This Row],[MonthlyIncome]]&lt;=17000, "$13001 - $17000", IF(Table2[[#This Row],[MonthlyIncome]]&lt;=21000, "$17001 - $21000")))))</f>
        <v>$1001 - $5000</v>
      </c>
      <c r="P1384">
        <v>1</v>
      </c>
      <c r="Q1384">
        <v>4</v>
      </c>
      <c r="R1384">
        <v>4</v>
      </c>
      <c r="S138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85" spans="1:19" ht="14.25" x14ac:dyDescent="0.2">
      <c r="A1385">
        <v>79006377</v>
      </c>
      <c r="B1385">
        <v>36</v>
      </c>
      <c r="C1385" t="s">
        <v>25</v>
      </c>
      <c r="D1385" t="s">
        <v>24</v>
      </c>
      <c r="E1385" t="s">
        <v>22</v>
      </c>
      <c r="F1385">
        <f>IF(Table2[[#This Row],[Attrition]]="Yes", 1, 0)</f>
        <v>0</v>
      </c>
      <c r="G1385" t="s">
        <v>28</v>
      </c>
      <c r="H1385" t="s">
        <v>23</v>
      </c>
      <c r="I1385">
        <v>9</v>
      </c>
      <c r="J1385">
        <v>4</v>
      </c>
      <c r="K1385" t="s">
        <v>18</v>
      </c>
      <c r="L1385">
        <v>1</v>
      </c>
      <c r="M1385">
        <v>2</v>
      </c>
      <c r="N1385" s="3">
        <v>2810</v>
      </c>
      <c r="O1385" s="3" t="str">
        <f>IF(Table2[[#This Row],[MonthlyIncome]]&lt;=5000, "$1001 - $5000", IF(Table2[[#This Row],[MonthlyIncome]]&lt;=9000, "$5001 - $9000", IF(Table2[[#This Row],[MonthlyIncome]]&lt;=13000, "$9001 - $13000", IF(Table2[[#This Row],[MonthlyIncome]]&lt;=17000, "$13001 - $17000", IF(Table2[[#This Row],[MonthlyIncome]]&lt;=21000, "$17001 - $21000")))))</f>
        <v>$1001 - $5000</v>
      </c>
      <c r="P1385">
        <v>1</v>
      </c>
      <c r="Q1385">
        <v>3</v>
      </c>
      <c r="R1385">
        <v>5</v>
      </c>
      <c r="S138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86" spans="1:19" ht="14.25" x14ac:dyDescent="0.2">
      <c r="A1386">
        <v>55924274</v>
      </c>
      <c r="B1386">
        <v>34</v>
      </c>
      <c r="C1386" t="s">
        <v>25</v>
      </c>
      <c r="D1386" t="s">
        <v>19</v>
      </c>
      <c r="E1386" t="s">
        <v>22</v>
      </c>
      <c r="F1386">
        <f>IF(Table2[[#This Row],[Attrition]]="Yes", 1, 0)</f>
        <v>0</v>
      </c>
      <c r="G1386" t="s">
        <v>21</v>
      </c>
      <c r="H1386" t="s">
        <v>17</v>
      </c>
      <c r="I1386">
        <v>1</v>
      </c>
      <c r="J1386">
        <v>3</v>
      </c>
      <c r="K1386" t="s">
        <v>36</v>
      </c>
      <c r="L1386">
        <v>1</v>
      </c>
      <c r="M1386">
        <v>4</v>
      </c>
      <c r="N1386" s="3">
        <v>9888</v>
      </c>
      <c r="O1386" s="3" t="str">
        <f>IF(Table2[[#This Row],[MonthlyIncome]]&lt;=5000, "$1001 - $5000", IF(Table2[[#This Row],[MonthlyIncome]]&lt;=9000, "$5001 - $9000", IF(Table2[[#This Row],[MonthlyIncome]]&lt;=13000, "$9001 - $13000", IF(Table2[[#This Row],[MonthlyIncome]]&lt;=17000, "$13001 - $17000", IF(Table2[[#This Row],[MonthlyIncome]]&lt;=21000, "$17001 - $21000")))))</f>
        <v>$9001 - $13000</v>
      </c>
      <c r="P1386">
        <v>1</v>
      </c>
      <c r="Q1386">
        <v>2</v>
      </c>
      <c r="R1386">
        <v>14</v>
      </c>
      <c r="S138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387" spans="1:19" ht="14.25" x14ac:dyDescent="0.2">
      <c r="A1387">
        <v>29001575</v>
      </c>
      <c r="B1387">
        <v>34</v>
      </c>
      <c r="C1387" t="s">
        <v>25</v>
      </c>
      <c r="D1387" t="s">
        <v>30</v>
      </c>
      <c r="E1387" t="s">
        <v>22</v>
      </c>
      <c r="F1387">
        <f>IF(Table2[[#This Row],[Attrition]]="Yes", 1, 0)</f>
        <v>0</v>
      </c>
      <c r="G1387" t="s">
        <v>21</v>
      </c>
      <c r="H1387" t="s">
        <v>17</v>
      </c>
      <c r="I1387">
        <v>13</v>
      </c>
      <c r="J1387">
        <v>4</v>
      </c>
      <c r="K1387" t="s">
        <v>29</v>
      </c>
      <c r="L1387">
        <v>4</v>
      </c>
      <c r="M1387">
        <v>3</v>
      </c>
      <c r="N1387" s="3">
        <v>8628</v>
      </c>
      <c r="O1387" s="3" t="str">
        <f>IF(Table2[[#This Row],[MonthlyIncome]]&lt;=5000, "$1001 - $5000", IF(Table2[[#This Row],[MonthlyIncome]]&lt;=9000, "$5001 - $9000", IF(Table2[[#This Row],[MonthlyIncome]]&lt;=13000, "$9001 - $13000", IF(Table2[[#This Row],[MonthlyIncome]]&lt;=17000, "$13001 - $17000", IF(Table2[[#This Row],[MonthlyIncome]]&lt;=21000, "$17001 - $21000")))))</f>
        <v>$5001 - $9000</v>
      </c>
      <c r="P1387">
        <v>1</v>
      </c>
      <c r="Q1387">
        <v>2</v>
      </c>
      <c r="R1387">
        <v>8</v>
      </c>
      <c r="S138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88" spans="1:19" ht="14.25" x14ac:dyDescent="0.2">
      <c r="A1388">
        <v>52262247</v>
      </c>
      <c r="B1388">
        <v>26</v>
      </c>
      <c r="C1388" t="s">
        <v>25</v>
      </c>
      <c r="D1388" t="s">
        <v>19</v>
      </c>
      <c r="E1388" t="s">
        <v>22</v>
      </c>
      <c r="F1388">
        <f>IF(Table2[[#This Row],[Attrition]]="Yes", 1, 0)</f>
        <v>0</v>
      </c>
      <c r="G1388" t="s">
        <v>28</v>
      </c>
      <c r="H1388" t="s">
        <v>23</v>
      </c>
      <c r="I1388">
        <v>1</v>
      </c>
      <c r="J1388">
        <v>3</v>
      </c>
      <c r="K1388" t="s">
        <v>29</v>
      </c>
      <c r="L1388">
        <v>3</v>
      </c>
      <c r="M1388">
        <v>1</v>
      </c>
      <c r="N1388" s="3">
        <v>2867</v>
      </c>
      <c r="O1388" s="3" t="str">
        <f>IF(Table2[[#This Row],[MonthlyIncome]]&lt;=5000, "$1001 - $5000", IF(Table2[[#This Row],[MonthlyIncome]]&lt;=9000, "$5001 - $9000", IF(Table2[[#This Row],[MonthlyIncome]]&lt;=13000, "$9001 - $13000", IF(Table2[[#This Row],[MonthlyIncome]]&lt;=17000, "$13001 - $17000", IF(Table2[[#This Row],[MonthlyIncome]]&lt;=21000, "$17001 - $21000")))))</f>
        <v>$1001 - $5000</v>
      </c>
      <c r="P1388">
        <v>0</v>
      </c>
      <c r="Q1388">
        <v>2</v>
      </c>
      <c r="R1388">
        <v>7</v>
      </c>
      <c r="S138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89" spans="1:19" ht="14.25" x14ac:dyDescent="0.2">
      <c r="A1389">
        <v>41620404</v>
      </c>
      <c r="B1389">
        <v>29</v>
      </c>
      <c r="C1389" t="s">
        <v>25</v>
      </c>
      <c r="D1389" t="s">
        <v>24</v>
      </c>
      <c r="E1389" t="s">
        <v>22</v>
      </c>
      <c r="F1389">
        <f>IF(Table2[[#This Row],[Attrition]]="Yes", 1, 0)</f>
        <v>0</v>
      </c>
      <c r="G1389" t="s">
        <v>32</v>
      </c>
      <c r="H1389" t="s">
        <v>23</v>
      </c>
      <c r="I1389">
        <v>1</v>
      </c>
      <c r="J1389">
        <v>3</v>
      </c>
      <c r="K1389" t="s">
        <v>18</v>
      </c>
      <c r="L1389">
        <v>1</v>
      </c>
      <c r="M1389">
        <v>1</v>
      </c>
      <c r="N1389" s="3">
        <v>5373</v>
      </c>
      <c r="O1389" s="3" t="str">
        <f>IF(Table2[[#This Row],[MonthlyIncome]]&lt;=5000, "$1001 - $5000", IF(Table2[[#This Row],[MonthlyIncome]]&lt;=9000, "$5001 - $9000", IF(Table2[[#This Row],[MonthlyIncome]]&lt;=13000, "$9001 - $13000", IF(Table2[[#This Row],[MonthlyIncome]]&lt;=17000, "$13001 - $17000", IF(Table2[[#This Row],[MonthlyIncome]]&lt;=21000, "$17001 - $21000")))))</f>
        <v>$5001 - $9000</v>
      </c>
      <c r="P1389">
        <v>0</v>
      </c>
      <c r="Q1389">
        <v>2</v>
      </c>
      <c r="R1389">
        <v>5</v>
      </c>
      <c r="S138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90" spans="1:19" ht="14.25" x14ac:dyDescent="0.2">
      <c r="A1390">
        <v>35621435</v>
      </c>
      <c r="B1390">
        <v>32</v>
      </c>
      <c r="C1390" t="s">
        <v>20</v>
      </c>
      <c r="D1390" t="s">
        <v>30</v>
      </c>
      <c r="E1390" t="s">
        <v>22</v>
      </c>
      <c r="F1390">
        <f>IF(Table2[[#This Row],[Attrition]]="Yes", 1, 0)</f>
        <v>0</v>
      </c>
      <c r="G1390" t="s">
        <v>32</v>
      </c>
      <c r="H1390" t="s">
        <v>23</v>
      </c>
      <c r="I1390">
        <v>15</v>
      </c>
      <c r="J1390">
        <v>4</v>
      </c>
      <c r="K1390" t="s">
        <v>29</v>
      </c>
      <c r="L1390">
        <v>3</v>
      </c>
      <c r="M1390">
        <v>4</v>
      </c>
      <c r="N1390" s="3">
        <v>6667</v>
      </c>
      <c r="O1390" s="3" t="str">
        <f>IF(Table2[[#This Row],[MonthlyIncome]]&lt;=5000, "$1001 - $5000", IF(Table2[[#This Row],[MonthlyIncome]]&lt;=9000, "$5001 - $9000", IF(Table2[[#This Row],[MonthlyIncome]]&lt;=13000, "$9001 - $13000", IF(Table2[[#This Row],[MonthlyIncome]]&lt;=17000, "$13001 - $17000", IF(Table2[[#This Row],[MonthlyIncome]]&lt;=21000, "$17001 - $21000")))))</f>
        <v>$5001 - $9000</v>
      </c>
      <c r="P1390">
        <v>5</v>
      </c>
      <c r="Q1390">
        <v>3</v>
      </c>
      <c r="R1390">
        <v>5</v>
      </c>
      <c r="S139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91" spans="1:19" ht="14.25" x14ac:dyDescent="0.2">
      <c r="A1391">
        <v>65925203</v>
      </c>
      <c r="B1391">
        <v>31</v>
      </c>
      <c r="C1391" t="s">
        <v>25</v>
      </c>
      <c r="D1391" t="s">
        <v>24</v>
      </c>
      <c r="E1391" t="s">
        <v>22</v>
      </c>
      <c r="F1391">
        <f>IF(Table2[[#This Row],[Attrition]]="Yes", 1, 0)</f>
        <v>0</v>
      </c>
      <c r="G1391" t="s">
        <v>26</v>
      </c>
      <c r="H1391" t="s">
        <v>23</v>
      </c>
      <c r="I1391">
        <v>1</v>
      </c>
      <c r="J1391">
        <v>3</v>
      </c>
      <c r="K1391" t="s">
        <v>18</v>
      </c>
      <c r="L1391">
        <v>4</v>
      </c>
      <c r="M1391">
        <v>1</v>
      </c>
      <c r="N1391" s="3">
        <v>5003</v>
      </c>
      <c r="O1391" s="3" t="str">
        <f>IF(Table2[[#This Row],[MonthlyIncome]]&lt;=5000, "$1001 - $5000", IF(Table2[[#This Row],[MonthlyIncome]]&lt;=9000, "$5001 - $9000", IF(Table2[[#This Row],[MonthlyIncome]]&lt;=13000, "$9001 - $13000", IF(Table2[[#This Row],[MonthlyIncome]]&lt;=17000, "$13001 - $17000", IF(Table2[[#This Row],[MonthlyIncome]]&lt;=21000, "$17001 - $21000")))))</f>
        <v>$5001 - $9000</v>
      </c>
      <c r="P1391">
        <v>1</v>
      </c>
      <c r="Q1391">
        <v>3</v>
      </c>
      <c r="R1391">
        <v>10</v>
      </c>
      <c r="S139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392" spans="1:19" ht="14.25" x14ac:dyDescent="0.2">
      <c r="A1392">
        <v>38842188</v>
      </c>
      <c r="B1392">
        <v>28</v>
      </c>
      <c r="C1392" t="s">
        <v>25</v>
      </c>
      <c r="D1392" t="s">
        <v>30</v>
      </c>
      <c r="E1392" t="s">
        <v>16</v>
      </c>
      <c r="F1392">
        <f>IF(Table2[[#This Row],[Attrition]]="Yes", 1, 0)</f>
        <v>1</v>
      </c>
      <c r="G1392" t="s">
        <v>28</v>
      </c>
      <c r="H1392" t="s">
        <v>23</v>
      </c>
      <c r="I1392">
        <v>17</v>
      </c>
      <c r="J1392">
        <v>3</v>
      </c>
      <c r="K1392" t="s">
        <v>37</v>
      </c>
      <c r="L1392">
        <v>3</v>
      </c>
      <c r="M1392">
        <v>4</v>
      </c>
      <c r="N1392" s="3">
        <v>2367</v>
      </c>
      <c r="O1392" s="3" t="str">
        <f>IF(Table2[[#This Row],[MonthlyIncome]]&lt;=5000, "$1001 - $5000", IF(Table2[[#This Row],[MonthlyIncome]]&lt;=9000, "$5001 - $9000", IF(Table2[[#This Row],[MonthlyIncome]]&lt;=13000, "$9001 - $13000", IF(Table2[[#This Row],[MonthlyIncome]]&lt;=17000, "$13001 - $17000", IF(Table2[[#This Row],[MonthlyIncome]]&lt;=21000, "$17001 - $21000")))))</f>
        <v>$1001 - $5000</v>
      </c>
      <c r="P1392">
        <v>5</v>
      </c>
      <c r="Q1392">
        <v>2</v>
      </c>
      <c r="R1392">
        <v>4</v>
      </c>
      <c r="S139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93" spans="1:19" ht="14.25" x14ac:dyDescent="0.2">
      <c r="A1393">
        <v>24171603</v>
      </c>
      <c r="B1393">
        <v>38</v>
      </c>
      <c r="C1393" t="s">
        <v>25</v>
      </c>
      <c r="D1393" t="s">
        <v>19</v>
      </c>
      <c r="E1393" t="s">
        <v>22</v>
      </c>
      <c r="F1393">
        <f>IF(Table2[[#This Row],[Attrition]]="Yes", 1, 0)</f>
        <v>0</v>
      </c>
      <c r="G1393" t="s">
        <v>34</v>
      </c>
      <c r="H1393" t="s">
        <v>17</v>
      </c>
      <c r="I1393">
        <v>1</v>
      </c>
      <c r="J1393">
        <v>3</v>
      </c>
      <c r="K1393" t="s">
        <v>18</v>
      </c>
      <c r="L1393">
        <v>1</v>
      </c>
      <c r="M1393">
        <v>1</v>
      </c>
      <c r="N1393" s="3">
        <v>2858</v>
      </c>
      <c r="O1393" s="3" t="str">
        <f>IF(Table2[[#This Row],[MonthlyIncome]]&lt;=5000, "$1001 - $5000", IF(Table2[[#This Row],[MonthlyIncome]]&lt;=9000, "$5001 - $9000", IF(Table2[[#This Row],[MonthlyIncome]]&lt;=13000, "$9001 - $13000", IF(Table2[[#This Row],[MonthlyIncome]]&lt;=17000, "$13001 - $17000", IF(Table2[[#This Row],[MonthlyIncome]]&lt;=21000, "$17001 - $21000")))))</f>
        <v>$1001 - $5000</v>
      </c>
      <c r="P1393">
        <v>4</v>
      </c>
      <c r="Q1393">
        <v>2</v>
      </c>
      <c r="R1393">
        <v>1</v>
      </c>
      <c r="S139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94" spans="1:19" ht="14.25" x14ac:dyDescent="0.2">
      <c r="A1394">
        <v>22036079</v>
      </c>
      <c r="B1394">
        <v>35</v>
      </c>
      <c r="C1394" t="s">
        <v>20</v>
      </c>
      <c r="D1394" t="s">
        <v>24</v>
      </c>
      <c r="E1394" t="s">
        <v>22</v>
      </c>
      <c r="F1394">
        <f>IF(Table2[[#This Row],[Attrition]]="Yes", 1, 0)</f>
        <v>0</v>
      </c>
      <c r="G1394" t="s">
        <v>21</v>
      </c>
      <c r="H1394" t="s">
        <v>17</v>
      </c>
      <c r="I1394">
        <v>7</v>
      </c>
      <c r="J1394">
        <v>4</v>
      </c>
      <c r="K1394" t="s">
        <v>18</v>
      </c>
      <c r="L1394">
        <v>3</v>
      </c>
      <c r="M1394">
        <v>4</v>
      </c>
      <c r="N1394" s="3">
        <v>5204</v>
      </c>
      <c r="O1394" s="3" t="str">
        <f>IF(Table2[[#This Row],[MonthlyIncome]]&lt;=5000, "$1001 - $5000", IF(Table2[[#This Row],[MonthlyIncome]]&lt;=9000, "$5001 - $9000", IF(Table2[[#This Row],[MonthlyIncome]]&lt;=13000, "$9001 - $13000", IF(Table2[[#This Row],[MonthlyIncome]]&lt;=17000, "$13001 - $17000", IF(Table2[[#This Row],[MonthlyIncome]]&lt;=21000, "$17001 - $21000")))))</f>
        <v>$5001 - $9000</v>
      </c>
      <c r="P1394">
        <v>1</v>
      </c>
      <c r="Q1394">
        <v>3</v>
      </c>
      <c r="R1394">
        <v>10</v>
      </c>
      <c r="S139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395" spans="1:19" ht="14.25" x14ac:dyDescent="0.2">
      <c r="A1395">
        <v>11417564</v>
      </c>
      <c r="B1395">
        <v>27</v>
      </c>
      <c r="C1395" t="s">
        <v>25</v>
      </c>
      <c r="D1395" t="s">
        <v>19</v>
      </c>
      <c r="E1395" t="s">
        <v>22</v>
      </c>
      <c r="F1395">
        <f>IF(Table2[[#This Row],[Attrition]]="Yes", 1, 0)</f>
        <v>0</v>
      </c>
      <c r="G1395" t="s">
        <v>21</v>
      </c>
      <c r="H1395" t="s">
        <v>17</v>
      </c>
      <c r="I1395">
        <v>9</v>
      </c>
      <c r="J1395">
        <v>3</v>
      </c>
      <c r="K1395" t="s">
        <v>36</v>
      </c>
      <c r="L1395">
        <v>4</v>
      </c>
      <c r="M1395">
        <v>4</v>
      </c>
      <c r="N1395" s="3">
        <v>4105</v>
      </c>
      <c r="O1395" s="3" t="str">
        <f>IF(Table2[[#This Row],[MonthlyIncome]]&lt;=5000, "$1001 - $5000", IF(Table2[[#This Row],[MonthlyIncome]]&lt;=9000, "$5001 - $9000", IF(Table2[[#This Row],[MonthlyIncome]]&lt;=13000, "$9001 - $13000", IF(Table2[[#This Row],[MonthlyIncome]]&lt;=17000, "$13001 - $17000", IF(Table2[[#This Row],[MonthlyIncome]]&lt;=21000, "$17001 - $21000")))))</f>
        <v>$1001 - $5000</v>
      </c>
      <c r="P1395">
        <v>1</v>
      </c>
      <c r="Q1395">
        <v>3</v>
      </c>
      <c r="R1395">
        <v>7</v>
      </c>
      <c r="S139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396" spans="1:19" ht="14.25" x14ac:dyDescent="0.2">
      <c r="A1396">
        <v>51444151</v>
      </c>
      <c r="B1396">
        <v>32</v>
      </c>
      <c r="C1396" t="s">
        <v>25</v>
      </c>
      <c r="D1396" t="s">
        <v>19</v>
      </c>
      <c r="E1396" t="s">
        <v>22</v>
      </c>
      <c r="F1396">
        <f>IF(Table2[[#This Row],[Attrition]]="Yes", 1, 0)</f>
        <v>0</v>
      </c>
      <c r="G1396" t="s">
        <v>31</v>
      </c>
      <c r="H1396" t="s">
        <v>23</v>
      </c>
      <c r="I1396">
        <v>5</v>
      </c>
      <c r="J1396">
        <v>4</v>
      </c>
      <c r="K1396" t="s">
        <v>18</v>
      </c>
      <c r="L1396">
        <v>4</v>
      </c>
      <c r="M1396">
        <v>4</v>
      </c>
      <c r="N1396" s="3">
        <v>9679</v>
      </c>
      <c r="O1396" s="3" t="str">
        <f>IF(Table2[[#This Row],[MonthlyIncome]]&lt;=5000, "$1001 - $5000", IF(Table2[[#This Row],[MonthlyIncome]]&lt;=9000, "$5001 - $9000", IF(Table2[[#This Row],[MonthlyIncome]]&lt;=13000, "$9001 - $13000", IF(Table2[[#This Row],[MonthlyIncome]]&lt;=17000, "$13001 - $17000", IF(Table2[[#This Row],[MonthlyIncome]]&lt;=21000, "$17001 - $21000")))))</f>
        <v>$9001 - $13000</v>
      </c>
      <c r="P1396">
        <v>8</v>
      </c>
      <c r="Q1396">
        <v>3</v>
      </c>
      <c r="R1396">
        <v>1</v>
      </c>
      <c r="S139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97" spans="1:19" ht="14.25" x14ac:dyDescent="0.2">
      <c r="A1397">
        <v>17456162</v>
      </c>
      <c r="B1397">
        <v>31</v>
      </c>
      <c r="C1397" t="s">
        <v>25</v>
      </c>
      <c r="D1397" t="s">
        <v>24</v>
      </c>
      <c r="E1397" t="s">
        <v>16</v>
      </c>
      <c r="F1397">
        <f>IF(Table2[[#This Row],[Attrition]]="Yes", 1, 0)</f>
        <v>1</v>
      </c>
      <c r="G1397" t="s">
        <v>21</v>
      </c>
      <c r="H1397" t="s">
        <v>17</v>
      </c>
      <c r="I1397">
        <v>26</v>
      </c>
      <c r="J1397">
        <v>4</v>
      </c>
      <c r="K1397" t="s">
        <v>36</v>
      </c>
      <c r="L1397">
        <v>1</v>
      </c>
      <c r="M1397">
        <v>4</v>
      </c>
      <c r="N1397" s="3">
        <v>5617</v>
      </c>
      <c r="O1397" s="3" t="str">
        <f>IF(Table2[[#This Row],[MonthlyIncome]]&lt;=5000, "$1001 - $5000", IF(Table2[[#This Row],[MonthlyIncome]]&lt;=9000, "$5001 - $9000", IF(Table2[[#This Row],[MonthlyIncome]]&lt;=13000, "$9001 - $13000", IF(Table2[[#This Row],[MonthlyIncome]]&lt;=17000, "$13001 - $17000", IF(Table2[[#This Row],[MonthlyIncome]]&lt;=21000, "$17001 - $21000")))))</f>
        <v>$5001 - $9000</v>
      </c>
      <c r="P1397">
        <v>1</v>
      </c>
      <c r="Q1397">
        <v>3</v>
      </c>
      <c r="R1397">
        <v>10</v>
      </c>
      <c r="S139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398" spans="1:19" ht="14.25" x14ac:dyDescent="0.2">
      <c r="A1398">
        <v>60638903</v>
      </c>
      <c r="B1398">
        <v>53</v>
      </c>
      <c r="C1398" t="s">
        <v>25</v>
      </c>
      <c r="D1398" t="s">
        <v>19</v>
      </c>
      <c r="E1398" t="s">
        <v>16</v>
      </c>
      <c r="F1398">
        <f>IF(Table2[[#This Row],[Attrition]]="Yes", 1, 0)</f>
        <v>1</v>
      </c>
      <c r="G1398" t="s">
        <v>21</v>
      </c>
      <c r="H1398" t="s">
        <v>17</v>
      </c>
      <c r="I1398">
        <v>24</v>
      </c>
      <c r="J1398">
        <v>4</v>
      </c>
      <c r="K1398" t="s">
        <v>18</v>
      </c>
      <c r="L1398">
        <v>1</v>
      </c>
      <c r="M1398">
        <v>1</v>
      </c>
      <c r="N1398" s="3">
        <v>10448</v>
      </c>
      <c r="O1398" s="3" t="str">
        <f>IF(Table2[[#This Row],[MonthlyIncome]]&lt;=5000, "$1001 - $5000", IF(Table2[[#This Row],[MonthlyIncome]]&lt;=9000, "$5001 - $9000", IF(Table2[[#This Row],[MonthlyIncome]]&lt;=13000, "$9001 - $13000", IF(Table2[[#This Row],[MonthlyIncome]]&lt;=17000, "$13001 - $17000", IF(Table2[[#This Row],[MonthlyIncome]]&lt;=21000, "$17001 - $21000")))))</f>
        <v>$9001 - $13000</v>
      </c>
      <c r="P1398">
        <v>6</v>
      </c>
      <c r="Q1398">
        <v>2</v>
      </c>
      <c r="R1398">
        <v>2</v>
      </c>
      <c r="S139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399" spans="1:19" ht="14.25" x14ac:dyDescent="0.2">
      <c r="A1399">
        <v>69714739</v>
      </c>
      <c r="B1399">
        <v>54</v>
      </c>
      <c r="C1399" t="s">
        <v>20</v>
      </c>
      <c r="D1399" t="s">
        <v>24</v>
      </c>
      <c r="E1399" t="s">
        <v>22</v>
      </c>
      <c r="F1399">
        <f>IF(Table2[[#This Row],[Attrition]]="Yes", 1, 0)</f>
        <v>0</v>
      </c>
      <c r="G1399" t="s">
        <v>26</v>
      </c>
      <c r="H1399" t="s">
        <v>23</v>
      </c>
      <c r="I1399">
        <v>9</v>
      </c>
      <c r="J1399">
        <v>2</v>
      </c>
      <c r="K1399" t="s">
        <v>18</v>
      </c>
      <c r="L1399">
        <v>1</v>
      </c>
      <c r="M1399">
        <v>3</v>
      </c>
      <c r="N1399" s="3">
        <v>2897</v>
      </c>
      <c r="O1399" s="3" t="str">
        <f>IF(Table2[[#This Row],[MonthlyIncome]]&lt;=5000, "$1001 - $5000", IF(Table2[[#This Row],[MonthlyIncome]]&lt;=9000, "$5001 - $9000", IF(Table2[[#This Row],[MonthlyIncome]]&lt;=13000, "$9001 - $13000", IF(Table2[[#This Row],[MonthlyIncome]]&lt;=17000, "$13001 - $17000", IF(Table2[[#This Row],[MonthlyIncome]]&lt;=21000, "$17001 - $21000")))))</f>
        <v>$1001 - $5000</v>
      </c>
      <c r="P1399">
        <v>3</v>
      </c>
      <c r="Q1399">
        <v>2</v>
      </c>
      <c r="R1399">
        <v>4</v>
      </c>
      <c r="S139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00" spans="1:19" ht="14.25" x14ac:dyDescent="0.2">
      <c r="A1400">
        <v>33179133</v>
      </c>
      <c r="B1400">
        <v>33</v>
      </c>
      <c r="C1400" t="s">
        <v>25</v>
      </c>
      <c r="D1400" t="s">
        <v>30</v>
      </c>
      <c r="E1400" t="s">
        <v>22</v>
      </c>
      <c r="F1400">
        <f>IF(Table2[[#This Row],[Attrition]]="Yes", 1, 0)</f>
        <v>0</v>
      </c>
      <c r="G1400" t="s">
        <v>32</v>
      </c>
      <c r="H1400" t="s">
        <v>23</v>
      </c>
      <c r="I1400">
        <v>7</v>
      </c>
      <c r="J1400">
        <v>2</v>
      </c>
      <c r="K1400" t="s">
        <v>18</v>
      </c>
      <c r="L1400">
        <v>4</v>
      </c>
      <c r="M1400">
        <v>3</v>
      </c>
      <c r="N1400" s="3">
        <v>5968</v>
      </c>
      <c r="O1400" s="3" t="str">
        <f>IF(Table2[[#This Row],[MonthlyIncome]]&lt;=5000, "$1001 - $5000", IF(Table2[[#This Row],[MonthlyIncome]]&lt;=9000, "$5001 - $9000", IF(Table2[[#This Row],[MonthlyIncome]]&lt;=13000, "$9001 - $13000", IF(Table2[[#This Row],[MonthlyIncome]]&lt;=17000, "$13001 - $17000", IF(Table2[[#This Row],[MonthlyIncome]]&lt;=21000, "$17001 - $21000")))))</f>
        <v>$5001 - $9000</v>
      </c>
      <c r="P1400">
        <v>1</v>
      </c>
      <c r="Q1400">
        <v>3</v>
      </c>
      <c r="R1400">
        <v>9</v>
      </c>
      <c r="S140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01" spans="1:19" ht="14.25" x14ac:dyDescent="0.2">
      <c r="A1401">
        <v>62623047</v>
      </c>
      <c r="B1401">
        <v>43</v>
      </c>
      <c r="C1401" t="s">
        <v>25</v>
      </c>
      <c r="D1401" t="s">
        <v>24</v>
      </c>
      <c r="E1401" t="s">
        <v>22</v>
      </c>
      <c r="F1401">
        <f>IF(Table2[[#This Row],[Attrition]]="Yes", 1, 0)</f>
        <v>0</v>
      </c>
      <c r="G1401" t="s">
        <v>32</v>
      </c>
      <c r="H1401" t="s">
        <v>23</v>
      </c>
      <c r="I1401">
        <v>11</v>
      </c>
      <c r="J1401">
        <v>3</v>
      </c>
      <c r="K1401" t="s">
        <v>18</v>
      </c>
      <c r="L1401">
        <v>1</v>
      </c>
      <c r="M1401">
        <v>3</v>
      </c>
      <c r="N1401" s="3">
        <v>7510</v>
      </c>
      <c r="O1401" s="3" t="str">
        <f>IF(Table2[[#This Row],[MonthlyIncome]]&lt;=5000, "$1001 - $5000", IF(Table2[[#This Row],[MonthlyIncome]]&lt;=9000, "$5001 - $9000", IF(Table2[[#This Row],[MonthlyIncome]]&lt;=13000, "$9001 - $13000", IF(Table2[[#This Row],[MonthlyIncome]]&lt;=17000, "$13001 - $17000", IF(Table2[[#This Row],[MonthlyIncome]]&lt;=21000, "$17001 - $21000")))))</f>
        <v>$5001 - $9000</v>
      </c>
      <c r="P1401">
        <v>1</v>
      </c>
      <c r="Q1401">
        <v>3</v>
      </c>
      <c r="R1401">
        <v>10</v>
      </c>
      <c r="S140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02" spans="1:19" ht="14.25" x14ac:dyDescent="0.2">
      <c r="A1402">
        <v>36541542</v>
      </c>
      <c r="B1402">
        <v>38</v>
      </c>
      <c r="C1402" t="s">
        <v>25</v>
      </c>
      <c r="D1402" t="s">
        <v>24</v>
      </c>
      <c r="E1402" t="s">
        <v>22</v>
      </c>
      <c r="F1402">
        <f>IF(Table2[[#This Row],[Attrition]]="Yes", 1, 0)</f>
        <v>0</v>
      </c>
      <c r="G1402" t="s">
        <v>38</v>
      </c>
      <c r="H1402" t="s">
        <v>38</v>
      </c>
      <c r="I1402">
        <v>1</v>
      </c>
      <c r="J1402">
        <v>4</v>
      </c>
      <c r="K1402" t="s">
        <v>27</v>
      </c>
      <c r="L1402">
        <v>4</v>
      </c>
      <c r="M1402">
        <v>2</v>
      </c>
      <c r="N1402" s="3">
        <v>2991</v>
      </c>
      <c r="O1402" s="3" t="str">
        <f>IF(Table2[[#This Row],[MonthlyIncome]]&lt;=5000, "$1001 - $5000", IF(Table2[[#This Row],[MonthlyIncome]]&lt;=9000, "$5001 - $9000", IF(Table2[[#This Row],[MonthlyIncome]]&lt;=13000, "$9001 - $13000", IF(Table2[[#This Row],[MonthlyIncome]]&lt;=17000, "$13001 - $17000", IF(Table2[[#This Row],[MonthlyIncome]]&lt;=21000, "$17001 - $21000")))))</f>
        <v>$1001 - $5000</v>
      </c>
      <c r="P1402">
        <v>0</v>
      </c>
      <c r="Q1402">
        <v>3</v>
      </c>
      <c r="R1402">
        <v>6</v>
      </c>
      <c r="S140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03" spans="1:19" ht="14.25" x14ac:dyDescent="0.2">
      <c r="A1403">
        <v>60515094</v>
      </c>
      <c r="B1403">
        <v>55</v>
      </c>
      <c r="C1403" t="s">
        <v>25</v>
      </c>
      <c r="D1403" t="s">
        <v>24</v>
      </c>
      <c r="E1403" t="s">
        <v>22</v>
      </c>
      <c r="F1403">
        <f>IF(Table2[[#This Row],[Attrition]]="Yes", 1, 0)</f>
        <v>0</v>
      </c>
      <c r="G1403" t="s">
        <v>33</v>
      </c>
      <c r="H1403" t="s">
        <v>38</v>
      </c>
      <c r="I1403">
        <v>26</v>
      </c>
      <c r="J1403">
        <v>4</v>
      </c>
      <c r="K1403" t="s">
        <v>38</v>
      </c>
      <c r="L1403">
        <v>3</v>
      </c>
      <c r="M1403">
        <v>2</v>
      </c>
      <c r="N1403" s="3">
        <v>19636</v>
      </c>
      <c r="O1403" s="3" t="str">
        <f>IF(Table2[[#This Row],[MonthlyIncome]]&lt;=5000, "$1001 - $5000", IF(Table2[[#This Row],[MonthlyIncome]]&lt;=9000, "$5001 - $9000", IF(Table2[[#This Row],[MonthlyIncome]]&lt;=13000, "$9001 - $13000", IF(Table2[[#This Row],[MonthlyIncome]]&lt;=17000, "$13001 - $17000", IF(Table2[[#This Row],[MonthlyIncome]]&lt;=21000, "$17001 - $21000")))))</f>
        <v>$17001 - $21000</v>
      </c>
      <c r="P1403">
        <v>4</v>
      </c>
      <c r="Q1403">
        <v>3</v>
      </c>
      <c r="R1403">
        <v>10</v>
      </c>
      <c r="S140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04" spans="1:19" ht="14.25" x14ac:dyDescent="0.2">
      <c r="A1404">
        <v>31842211</v>
      </c>
      <c r="B1404">
        <v>31</v>
      </c>
      <c r="C1404" t="s">
        <v>20</v>
      </c>
      <c r="D1404" t="s">
        <v>30</v>
      </c>
      <c r="E1404" t="s">
        <v>22</v>
      </c>
      <c r="F1404">
        <f>IF(Table2[[#This Row],[Attrition]]="Yes", 1, 0)</f>
        <v>0</v>
      </c>
      <c r="G1404" t="s">
        <v>28</v>
      </c>
      <c r="H1404" t="s">
        <v>23</v>
      </c>
      <c r="I1404">
        <v>2</v>
      </c>
      <c r="J1404">
        <v>1</v>
      </c>
      <c r="K1404" t="s">
        <v>29</v>
      </c>
      <c r="L1404">
        <v>4</v>
      </c>
      <c r="M1404">
        <v>4</v>
      </c>
      <c r="N1404" s="3">
        <v>1129</v>
      </c>
      <c r="O1404" s="3" t="str">
        <f>IF(Table2[[#This Row],[MonthlyIncome]]&lt;=5000, "$1001 - $5000", IF(Table2[[#This Row],[MonthlyIncome]]&lt;=9000, "$5001 - $9000", IF(Table2[[#This Row],[MonthlyIncome]]&lt;=13000, "$9001 - $13000", IF(Table2[[#This Row],[MonthlyIncome]]&lt;=17000, "$13001 - $17000", IF(Table2[[#This Row],[MonthlyIncome]]&lt;=21000, "$17001 - $21000")))))</f>
        <v>$1001 - $5000</v>
      </c>
      <c r="P1404">
        <v>1</v>
      </c>
      <c r="Q1404">
        <v>3</v>
      </c>
      <c r="R1404">
        <v>1</v>
      </c>
      <c r="S140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05" spans="1:19" ht="14.25" x14ac:dyDescent="0.2">
      <c r="A1405">
        <v>31159794</v>
      </c>
      <c r="B1405">
        <v>39</v>
      </c>
      <c r="C1405" t="s">
        <v>25</v>
      </c>
      <c r="D1405" t="s">
        <v>19</v>
      </c>
      <c r="E1405" t="s">
        <v>22</v>
      </c>
      <c r="F1405">
        <f>IF(Table2[[#This Row],[Attrition]]="Yes", 1, 0)</f>
        <v>0</v>
      </c>
      <c r="G1405" t="s">
        <v>21</v>
      </c>
      <c r="H1405" t="s">
        <v>17</v>
      </c>
      <c r="I1405">
        <v>15</v>
      </c>
      <c r="J1405">
        <v>4</v>
      </c>
      <c r="K1405" t="s">
        <v>36</v>
      </c>
      <c r="L1405">
        <v>2</v>
      </c>
      <c r="M1405">
        <v>1</v>
      </c>
      <c r="N1405" s="3">
        <v>13341</v>
      </c>
      <c r="O1405" s="3" t="str">
        <f>IF(Table2[[#This Row],[MonthlyIncome]]&lt;=5000, "$1001 - $5000", IF(Table2[[#This Row],[MonthlyIncome]]&lt;=9000, "$5001 - $9000", IF(Table2[[#This Row],[MonthlyIncome]]&lt;=13000, "$9001 - $13000", IF(Table2[[#This Row],[MonthlyIncome]]&lt;=17000, "$13001 - $17000", IF(Table2[[#This Row],[MonthlyIncome]]&lt;=21000, "$17001 - $21000")))))</f>
        <v>$13001 - $17000</v>
      </c>
      <c r="P1405">
        <v>0</v>
      </c>
      <c r="Q1405">
        <v>3</v>
      </c>
      <c r="R1405">
        <v>20</v>
      </c>
      <c r="S140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406" spans="1:19" ht="14.25" x14ac:dyDescent="0.2">
      <c r="A1406">
        <v>88574459</v>
      </c>
      <c r="B1406">
        <v>42</v>
      </c>
      <c r="C1406" t="s">
        <v>25</v>
      </c>
      <c r="D1406" t="s">
        <v>19</v>
      </c>
      <c r="E1406" t="s">
        <v>22</v>
      </c>
      <c r="F1406">
        <f>IF(Table2[[#This Row],[Attrition]]="Yes", 1, 0)</f>
        <v>0</v>
      </c>
      <c r="G1406" t="s">
        <v>26</v>
      </c>
      <c r="H1406" t="s">
        <v>23</v>
      </c>
      <c r="I1406">
        <v>23</v>
      </c>
      <c r="J1406">
        <v>2</v>
      </c>
      <c r="K1406" t="s">
        <v>18</v>
      </c>
      <c r="L1406">
        <v>4</v>
      </c>
      <c r="M1406">
        <v>3</v>
      </c>
      <c r="N1406" s="3">
        <v>4332</v>
      </c>
      <c r="O1406" s="3" t="str">
        <f>IF(Table2[[#This Row],[MonthlyIncome]]&lt;=5000, "$1001 - $5000", IF(Table2[[#This Row],[MonthlyIncome]]&lt;=9000, "$5001 - $9000", IF(Table2[[#This Row],[MonthlyIncome]]&lt;=13000, "$9001 - $13000", IF(Table2[[#This Row],[MonthlyIncome]]&lt;=17000, "$13001 - $17000", IF(Table2[[#This Row],[MonthlyIncome]]&lt;=21000, "$17001 - $21000")))))</f>
        <v>$1001 - $5000</v>
      </c>
      <c r="P1406">
        <v>1</v>
      </c>
      <c r="Q1406">
        <v>3</v>
      </c>
      <c r="R1406">
        <v>20</v>
      </c>
      <c r="S140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407" spans="1:19" ht="14.25" x14ac:dyDescent="0.2">
      <c r="A1407">
        <v>17935742</v>
      </c>
      <c r="B1407">
        <v>31</v>
      </c>
      <c r="C1407" t="s">
        <v>20</v>
      </c>
      <c r="D1407" t="s">
        <v>24</v>
      </c>
      <c r="E1407" t="s">
        <v>22</v>
      </c>
      <c r="F1407">
        <f>IF(Table2[[#This Row],[Attrition]]="Yes", 1, 0)</f>
        <v>0</v>
      </c>
      <c r="G1407" t="s">
        <v>35</v>
      </c>
      <c r="H1407" t="s">
        <v>23</v>
      </c>
      <c r="I1407">
        <v>10</v>
      </c>
      <c r="J1407">
        <v>3</v>
      </c>
      <c r="K1407" t="s">
        <v>29</v>
      </c>
      <c r="L1407">
        <v>3</v>
      </c>
      <c r="M1407">
        <v>3</v>
      </c>
      <c r="N1407" s="3">
        <v>11031</v>
      </c>
      <c r="O1407" s="3" t="str">
        <f>IF(Table2[[#This Row],[MonthlyIncome]]&lt;=5000, "$1001 - $5000", IF(Table2[[#This Row],[MonthlyIncome]]&lt;=9000, "$5001 - $9000", IF(Table2[[#This Row],[MonthlyIncome]]&lt;=13000, "$9001 - $13000", IF(Table2[[#This Row],[MonthlyIncome]]&lt;=17000, "$13001 - $17000", IF(Table2[[#This Row],[MonthlyIncome]]&lt;=21000, "$17001 - $21000")))))</f>
        <v>$9001 - $13000</v>
      </c>
      <c r="P1407">
        <v>4</v>
      </c>
      <c r="Q1407">
        <v>4</v>
      </c>
      <c r="R1407">
        <v>11</v>
      </c>
      <c r="S140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08" spans="1:19" ht="14.25" x14ac:dyDescent="0.2">
      <c r="A1408">
        <v>76964859</v>
      </c>
      <c r="B1408">
        <v>54</v>
      </c>
      <c r="C1408" t="s">
        <v>20</v>
      </c>
      <c r="D1408" t="s">
        <v>19</v>
      </c>
      <c r="E1408" t="s">
        <v>22</v>
      </c>
      <c r="F1408">
        <f>IF(Table2[[#This Row],[Attrition]]="Yes", 1, 0)</f>
        <v>0</v>
      </c>
      <c r="G1408" t="s">
        <v>31</v>
      </c>
      <c r="H1408" t="s">
        <v>23</v>
      </c>
      <c r="I1408">
        <v>10</v>
      </c>
      <c r="J1408">
        <v>3</v>
      </c>
      <c r="K1408" t="s">
        <v>29</v>
      </c>
      <c r="L1408">
        <v>3</v>
      </c>
      <c r="M1408">
        <v>1</v>
      </c>
      <c r="N1408" s="3">
        <v>4440</v>
      </c>
      <c r="O1408" s="3" t="str">
        <f>IF(Table2[[#This Row],[MonthlyIncome]]&lt;=5000, "$1001 - $5000", IF(Table2[[#This Row],[MonthlyIncome]]&lt;=9000, "$5001 - $9000", IF(Table2[[#This Row],[MonthlyIncome]]&lt;=13000, "$9001 - $13000", IF(Table2[[#This Row],[MonthlyIncome]]&lt;=17000, "$13001 - $17000", IF(Table2[[#This Row],[MonthlyIncome]]&lt;=21000, "$17001 - $21000")))))</f>
        <v>$1001 - $5000</v>
      </c>
      <c r="P1408">
        <v>6</v>
      </c>
      <c r="Q1408">
        <v>3</v>
      </c>
      <c r="R1408">
        <v>5</v>
      </c>
      <c r="S140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09" spans="1:19" ht="14.25" x14ac:dyDescent="0.2">
      <c r="A1409">
        <v>80008830</v>
      </c>
      <c r="B1409">
        <v>24</v>
      </c>
      <c r="C1409" t="s">
        <v>25</v>
      </c>
      <c r="D1409" t="s">
        <v>19</v>
      </c>
      <c r="E1409" t="s">
        <v>22</v>
      </c>
      <c r="F1409">
        <f>IF(Table2[[#This Row],[Attrition]]="Yes", 1, 0)</f>
        <v>0</v>
      </c>
      <c r="G1409" t="s">
        <v>32</v>
      </c>
      <c r="H1409" t="s">
        <v>23</v>
      </c>
      <c r="I1409">
        <v>1</v>
      </c>
      <c r="J1409">
        <v>2</v>
      </c>
      <c r="K1409" t="s">
        <v>18</v>
      </c>
      <c r="L1409">
        <v>2</v>
      </c>
      <c r="M1409">
        <v>3</v>
      </c>
      <c r="N1409" s="3">
        <v>4617</v>
      </c>
      <c r="O1409" s="3" t="str">
        <f>IF(Table2[[#This Row],[MonthlyIncome]]&lt;=5000, "$1001 - $5000", IF(Table2[[#This Row],[MonthlyIncome]]&lt;=9000, "$5001 - $9000", IF(Table2[[#This Row],[MonthlyIncome]]&lt;=13000, "$9001 - $13000", IF(Table2[[#This Row],[MonthlyIncome]]&lt;=17000, "$13001 - $17000", IF(Table2[[#This Row],[MonthlyIncome]]&lt;=21000, "$17001 - $21000")))))</f>
        <v>$1001 - $5000</v>
      </c>
      <c r="P1409">
        <v>1</v>
      </c>
      <c r="Q1409">
        <v>2</v>
      </c>
      <c r="R1409">
        <v>4</v>
      </c>
      <c r="S140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10" spans="1:19" ht="14.25" x14ac:dyDescent="0.2">
      <c r="A1410">
        <v>87169323</v>
      </c>
      <c r="B1410">
        <v>23</v>
      </c>
      <c r="C1410" t="s">
        <v>25</v>
      </c>
      <c r="D1410" t="s">
        <v>19</v>
      </c>
      <c r="E1410" t="s">
        <v>22</v>
      </c>
      <c r="F1410">
        <f>IF(Table2[[#This Row],[Attrition]]="Yes", 1, 0)</f>
        <v>0</v>
      </c>
      <c r="G1410" t="s">
        <v>28</v>
      </c>
      <c r="H1410" t="s">
        <v>23</v>
      </c>
      <c r="I1410">
        <v>12</v>
      </c>
      <c r="J1410">
        <v>2</v>
      </c>
      <c r="K1410" t="s">
        <v>27</v>
      </c>
      <c r="L1410">
        <v>4</v>
      </c>
      <c r="M1410">
        <v>4</v>
      </c>
      <c r="N1410" s="3">
        <v>2647</v>
      </c>
      <c r="O1410" s="3" t="str">
        <f>IF(Table2[[#This Row],[MonthlyIncome]]&lt;=5000, "$1001 - $5000", IF(Table2[[#This Row],[MonthlyIncome]]&lt;=9000, "$5001 - $9000", IF(Table2[[#This Row],[MonthlyIncome]]&lt;=13000, "$9001 - $13000", IF(Table2[[#This Row],[MonthlyIncome]]&lt;=17000, "$13001 - $17000", IF(Table2[[#This Row],[MonthlyIncome]]&lt;=21000, "$17001 - $21000")))))</f>
        <v>$1001 - $5000</v>
      </c>
      <c r="P1410">
        <v>1</v>
      </c>
      <c r="Q1410">
        <v>4</v>
      </c>
      <c r="R1410">
        <v>5</v>
      </c>
      <c r="S141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11" spans="1:19" ht="14.25" x14ac:dyDescent="0.2">
      <c r="A1411">
        <v>49777791</v>
      </c>
      <c r="B1411">
        <v>40</v>
      </c>
      <c r="C1411" t="s">
        <v>20</v>
      </c>
      <c r="D1411" t="s">
        <v>24</v>
      </c>
      <c r="E1411" t="s">
        <v>22</v>
      </c>
      <c r="F1411">
        <f>IF(Table2[[#This Row],[Attrition]]="Yes", 1, 0)</f>
        <v>0</v>
      </c>
      <c r="G1411" t="s">
        <v>28</v>
      </c>
      <c r="H1411" t="s">
        <v>23</v>
      </c>
      <c r="I1411">
        <v>11</v>
      </c>
      <c r="J1411">
        <v>3</v>
      </c>
      <c r="K1411" t="s">
        <v>37</v>
      </c>
      <c r="L1411">
        <v>4</v>
      </c>
      <c r="M1411">
        <v>3</v>
      </c>
      <c r="N1411" s="3">
        <v>6323</v>
      </c>
      <c r="O1411" s="3" t="str">
        <f>IF(Table2[[#This Row],[MonthlyIncome]]&lt;=5000, "$1001 - $5000", IF(Table2[[#This Row],[MonthlyIncome]]&lt;=9000, "$5001 - $9000", IF(Table2[[#This Row],[MonthlyIncome]]&lt;=13000, "$9001 - $13000", IF(Table2[[#This Row],[MonthlyIncome]]&lt;=17000, "$13001 - $17000", IF(Table2[[#This Row],[MonthlyIncome]]&lt;=21000, "$17001 - $21000")))))</f>
        <v>$5001 - $9000</v>
      </c>
      <c r="P1411">
        <v>1</v>
      </c>
      <c r="Q1411">
        <v>4</v>
      </c>
      <c r="R1411">
        <v>10</v>
      </c>
      <c r="S141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12" spans="1:19" ht="14.25" x14ac:dyDescent="0.2">
      <c r="A1412">
        <v>30981540</v>
      </c>
      <c r="B1412">
        <v>40</v>
      </c>
      <c r="C1412" t="s">
        <v>20</v>
      </c>
      <c r="D1412" t="s">
        <v>24</v>
      </c>
      <c r="E1412" t="s">
        <v>22</v>
      </c>
      <c r="F1412">
        <f>IF(Table2[[#This Row],[Attrition]]="Yes", 1, 0)</f>
        <v>0</v>
      </c>
      <c r="G1412" t="s">
        <v>21</v>
      </c>
      <c r="H1412" t="s">
        <v>17</v>
      </c>
      <c r="I1412">
        <v>2</v>
      </c>
      <c r="J1412">
        <v>2</v>
      </c>
      <c r="K1412" t="s">
        <v>36</v>
      </c>
      <c r="L1412">
        <v>2</v>
      </c>
      <c r="M1412">
        <v>2</v>
      </c>
      <c r="N1412" s="3">
        <v>5677</v>
      </c>
      <c r="O1412" s="3" t="str">
        <f>IF(Table2[[#This Row],[MonthlyIncome]]&lt;=5000, "$1001 - $5000", IF(Table2[[#This Row],[MonthlyIncome]]&lt;=9000, "$5001 - $9000", IF(Table2[[#This Row],[MonthlyIncome]]&lt;=13000, "$9001 - $13000", IF(Table2[[#This Row],[MonthlyIncome]]&lt;=17000, "$13001 - $17000", IF(Table2[[#This Row],[MonthlyIncome]]&lt;=21000, "$17001 - $21000")))))</f>
        <v>$5001 - $9000</v>
      </c>
      <c r="P1412">
        <v>3</v>
      </c>
      <c r="Q1412">
        <v>3</v>
      </c>
      <c r="R1412">
        <v>11</v>
      </c>
      <c r="S141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13" spans="1:19" ht="14.25" x14ac:dyDescent="0.2">
      <c r="A1413">
        <v>79853921</v>
      </c>
      <c r="B1413">
        <v>25</v>
      </c>
      <c r="C1413" t="s">
        <v>20</v>
      </c>
      <c r="D1413" t="s">
        <v>24</v>
      </c>
      <c r="E1413" t="s">
        <v>22</v>
      </c>
      <c r="F1413">
        <f>IF(Table2[[#This Row],[Attrition]]="Yes", 1, 0)</f>
        <v>0</v>
      </c>
      <c r="G1413" t="s">
        <v>38</v>
      </c>
      <c r="H1413" t="s">
        <v>38</v>
      </c>
      <c r="I1413">
        <v>2</v>
      </c>
      <c r="J1413">
        <v>3</v>
      </c>
      <c r="K1413" t="s">
        <v>38</v>
      </c>
      <c r="L1413">
        <v>3</v>
      </c>
      <c r="M1413">
        <v>2</v>
      </c>
      <c r="N1413" s="3">
        <v>2187</v>
      </c>
      <c r="O1413" s="3" t="str">
        <f>IF(Table2[[#This Row],[MonthlyIncome]]&lt;=5000, "$1001 - $5000", IF(Table2[[#This Row],[MonthlyIncome]]&lt;=9000, "$5001 - $9000", IF(Table2[[#This Row],[MonthlyIncome]]&lt;=13000, "$9001 - $13000", IF(Table2[[#This Row],[MonthlyIncome]]&lt;=17000, "$13001 - $17000", IF(Table2[[#This Row],[MonthlyIncome]]&lt;=21000, "$17001 - $21000")))))</f>
        <v>$1001 - $5000</v>
      </c>
      <c r="P1413">
        <v>4</v>
      </c>
      <c r="Q1413">
        <v>3</v>
      </c>
      <c r="R1413">
        <v>2</v>
      </c>
      <c r="S141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14" spans="1:19" ht="14.25" x14ac:dyDescent="0.2">
      <c r="A1414">
        <v>46641067</v>
      </c>
      <c r="B1414">
        <v>30</v>
      </c>
      <c r="C1414" t="s">
        <v>25</v>
      </c>
      <c r="D1414" t="s">
        <v>24</v>
      </c>
      <c r="E1414" t="s">
        <v>22</v>
      </c>
      <c r="F1414">
        <f>IF(Table2[[#This Row],[Attrition]]="Yes", 1, 0)</f>
        <v>0</v>
      </c>
      <c r="G1414" t="s">
        <v>28</v>
      </c>
      <c r="H1414" t="s">
        <v>23</v>
      </c>
      <c r="I1414">
        <v>1</v>
      </c>
      <c r="J1414">
        <v>2</v>
      </c>
      <c r="K1414" t="s">
        <v>29</v>
      </c>
      <c r="L1414">
        <v>4</v>
      </c>
      <c r="M1414">
        <v>2</v>
      </c>
      <c r="N1414" s="3">
        <v>3748</v>
      </c>
      <c r="O1414" s="3" t="str">
        <f>IF(Table2[[#This Row],[MonthlyIncome]]&lt;=5000, "$1001 - $5000", IF(Table2[[#This Row],[MonthlyIncome]]&lt;=9000, "$5001 - $9000", IF(Table2[[#This Row],[MonthlyIncome]]&lt;=13000, "$9001 - $13000", IF(Table2[[#This Row],[MonthlyIncome]]&lt;=17000, "$13001 - $17000", IF(Table2[[#This Row],[MonthlyIncome]]&lt;=21000, "$17001 - $21000")))))</f>
        <v>$1001 - $5000</v>
      </c>
      <c r="P1414">
        <v>1</v>
      </c>
      <c r="Q1414">
        <v>2</v>
      </c>
      <c r="R1414">
        <v>12</v>
      </c>
      <c r="S141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15" spans="1:19" ht="14.25" x14ac:dyDescent="0.2">
      <c r="A1415">
        <v>52172646</v>
      </c>
      <c r="B1415">
        <v>25</v>
      </c>
      <c r="C1415" t="s">
        <v>25</v>
      </c>
      <c r="D1415" t="s">
        <v>30</v>
      </c>
      <c r="E1415" t="s">
        <v>22</v>
      </c>
      <c r="F1415">
        <f>IF(Table2[[#This Row],[Attrition]]="Yes", 1, 0)</f>
        <v>0</v>
      </c>
      <c r="G1415" t="s">
        <v>28</v>
      </c>
      <c r="H1415" t="s">
        <v>23</v>
      </c>
      <c r="I1415">
        <v>2</v>
      </c>
      <c r="J1415">
        <v>1</v>
      </c>
      <c r="K1415" t="s">
        <v>27</v>
      </c>
      <c r="L1415">
        <v>4</v>
      </c>
      <c r="M1415">
        <v>3</v>
      </c>
      <c r="N1415" s="3">
        <v>3977</v>
      </c>
      <c r="O1415" s="3" t="str">
        <f>IF(Table2[[#This Row],[MonthlyIncome]]&lt;=5000, "$1001 - $5000", IF(Table2[[#This Row],[MonthlyIncome]]&lt;=9000, "$5001 - $9000", IF(Table2[[#This Row],[MonthlyIncome]]&lt;=13000, "$9001 - $13000", IF(Table2[[#This Row],[MonthlyIncome]]&lt;=17000, "$13001 - $17000", IF(Table2[[#This Row],[MonthlyIncome]]&lt;=21000, "$17001 - $21000")))))</f>
        <v>$1001 - $5000</v>
      </c>
      <c r="P1415">
        <v>6</v>
      </c>
      <c r="Q1415">
        <v>2</v>
      </c>
      <c r="R1415">
        <v>2</v>
      </c>
      <c r="S141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16" spans="1:19" ht="14.25" x14ac:dyDescent="0.2">
      <c r="A1416">
        <v>43081151</v>
      </c>
      <c r="B1416">
        <v>47</v>
      </c>
      <c r="C1416" t="s">
        <v>25</v>
      </c>
      <c r="D1416" t="s">
        <v>19</v>
      </c>
      <c r="E1416" t="s">
        <v>22</v>
      </c>
      <c r="F1416">
        <f>IF(Table2[[#This Row],[Attrition]]="Yes", 1, 0)</f>
        <v>0</v>
      </c>
      <c r="G1416" t="s">
        <v>32</v>
      </c>
      <c r="H1416" t="s">
        <v>23</v>
      </c>
      <c r="I1416">
        <v>25</v>
      </c>
      <c r="J1416">
        <v>3</v>
      </c>
      <c r="K1416" t="s">
        <v>29</v>
      </c>
      <c r="L1416">
        <v>1</v>
      </c>
      <c r="M1416">
        <v>3</v>
      </c>
      <c r="N1416" s="3">
        <v>8633</v>
      </c>
      <c r="O1416" s="3" t="str">
        <f>IF(Table2[[#This Row],[MonthlyIncome]]&lt;=5000, "$1001 - $5000", IF(Table2[[#This Row],[MonthlyIncome]]&lt;=9000, "$5001 - $9000", IF(Table2[[#This Row],[MonthlyIncome]]&lt;=13000, "$9001 - $13000", IF(Table2[[#This Row],[MonthlyIncome]]&lt;=17000, "$13001 - $17000", IF(Table2[[#This Row],[MonthlyIncome]]&lt;=21000, "$17001 - $21000")))))</f>
        <v>$5001 - $9000</v>
      </c>
      <c r="P1416">
        <v>2</v>
      </c>
      <c r="Q1416">
        <v>3</v>
      </c>
      <c r="R1416">
        <v>17</v>
      </c>
      <c r="S141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417" spans="1:19" ht="14.25" x14ac:dyDescent="0.2">
      <c r="A1417">
        <v>17809385</v>
      </c>
      <c r="B1417">
        <v>33</v>
      </c>
      <c r="C1417" t="s">
        <v>25</v>
      </c>
      <c r="D1417" t="s">
        <v>30</v>
      </c>
      <c r="E1417" t="s">
        <v>22</v>
      </c>
      <c r="F1417">
        <f>IF(Table2[[#This Row],[Attrition]]="Yes", 1, 0)</f>
        <v>0</v>
      </c>
      <c r="G1417" t="s">
        <v>28</v>
      </c>
      <c r="H1417" t="s">
        <v>23</v>
      </c>
      <c r="I1417">
        <v>1</v>
      </c>
      <c r="J1417">
        <v>2</v>
      </c>
      <c r="K1417" t="s">
        <v>29</v>
      </c>
      <c r="L1417">
        <v>2</v>
      </c>
      <c r="M1417">
        <v>3</v>
      </c>
      <c r="N1417" s="3">
        <v>2008</v>
      </c>
      <c r="O1417" s="3" t="str">
        <f>IF(Table2[[#This Row],[MonthlyIncome]]&lt;=5000, "$1001 - $5000", IF(Table2[[#This Row],[MonthlyIncome]]&lt;=9000, "$5001 - $9000", IF(Table2[[#This Row],[MonthlyIncome]]&lt;=13000, "$9001 - $13000", IF(Table2[[#This Row],[MonthlyIncome]]&lt;=17000, "$13001 - $17000", IF(Table2[[#This Row],[MonthlyIncome]]&lt;=21000, "$17001 - $21000")))))</f>
        <v>$1001 - $5000</v>
      </c>
      <c r="P1417">
        <v>1</v>
      </c>
      <c r="Q1417">
        <v>2</v>
      </c>
      <c r="R1417">
        <v>1</v>
      </c>
      <c r="S141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18" spans="1:19" ht="14.25" x14ac:dyDescent="0.2">
      <c r="A1418">
        <v>85257032</v>
      </c>
      <c r="B1418">
        <v>38</v>
      </c>
      <c r="C1418" t="s">
        <v>25</v>
      </c>
      <c r="D1418" t="s">
        <v>24</v>
      </c>
      <c r="E1418" t="s">
        <v>22</v>
      </c>
      <c r="F1418">
        <f>IF(Table2[[#This Row],[Attrition]]="Yes", 1, 0)</f>
        <v>0</v>
      </c>
      <c r="G1418" t="s">
        <v>21</v>
      </c>
      <c r="H1418" t="s">
        <v>17</v>
      </c>
      <c r="I1418">
        <v>1</v>
      </c>
      <c r="J1418">
        <v>4</v>
      </c>
      <c r="K1418" t="s">
        <v>18</v>
      </c>
      <c r="L1418">
        <v>4</v>
      </c>
      <c r="M1418">
        <v>2</v>
      </c>
      <c r="N1418" s="3">
        <v>4440</v>
      </c>
      <c r="O1418" s="3" t="str">
        <f>IF(Table2[[#This Row],[MonthlyIncome]]&lt;=5000, "$1001 - $5000", IF(Table2[[#This Row],[MonthlyIncome]]&lt;=9000, "$5001 - $9000", IF(Table2[[#This Row],[MonthlyIncome]]&lt;=13000, "$9001 - $13000", IF(Table2[[#This Row],[MonthlyIncome]]&lt;=17000, "$13001 - $17000", IF(Table2[[#This Row],[MonthlyIncome]]&lt;=21000, "$17001 - $21000")))))</f>
        <v>$1001 - $5000</v>
      </c>
      <c r="P1418">
        <v>0</v>
      </c>
      <c r="Q1418">
        <v>3</v>
      </c>
      <c r="R1418">
        <v>15</v>
      </c>
      <c r="S141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419" spans="1:19" ht="14.25" x14ac:dyDescent="0.2">
      <c r="A1419">
        <v>67630734</v>
      </c>
      <c r="B1419">
        <v>31</v>
      </c>
      <c r="C1419" t="s">
        <v>25</v>
      </c>
      <c r="D1419" t="s">
        <v>24</v>
      </c>
      <c r="E1419" t="s">
        <v>22</v>
      </c>
      <c r="F1419">
        <f>IF(Table2[[#This Row],[Attrition]]="Yes", 1, 0)</f>
        <v>0</v>
      </c>
      <c r="G1419" t="s">
        <v>34</v>
      </c>
      <c r="H1419" t="s">
        <v>17</v>
      </c>
      <c r="I1419">
        <v>2</v>
      </c>
      <c r="J1419">
        <v>2</v>
      </c>
      <c r="K1419" t="s">
        <v>18</v>
      </c>
      <c r="L1419">
        <v>1</v>
      </c>
      <c r="M1419">
        <v>3</v>
      </c>
      <c r="N1419" s="3">
        <v>3067</v>
      </c>
      <c r="O1419" s="3" t="str">
        <f>IF(Table2[[#This Row],[MonthlyIncome]]&lt;=5000, "$1001 - $5000", IF(Table2[[#This Row],[MonthlyIncome]]&lt;=9000, "$5001 - $9000", IF(Table2[[#This Row],[MonthlyIncome]]&lt;=13000, "$9001 - $13000", IF(Table2[[#This Row],[MonthlyIncome]]&lt;=17000, "$13001 - $17000", IF(Table2[[#This Row],[MonthlyIncome]]&lt;=21000, "$17001 - $21000")))))</f>
        <v>$1001 - $5000</v>
      </c>
      <c r="P1419">
        <v>0</v>
      </c>
      <c r="Q1419">
        <v>3</v>
      </c>
      <c r="R1419">
        <v>2</v>
      </c>
      <c r="S141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20" spans="1:19" ht="14.25" x14ac:dyDescent="0.2">
      <c r="A1420">
        <v>54067781</v>
      </c>
      <c r="B1420">
        <v>38</v>
      </c>
      <c r="C1420" t="s">
        <v>25</v>
      </c>
      <c r="D1420" t="s">
        <v>24</v>
      </c>
      <c r="E1420" t="s">
        <v>22</v>
      </c>
      <c r="F1420">
        <f>IF(Table2[[#This Row],[Attrition]]="Yes", 1, 0)</f>
        <v>0</v>
      </c>
      <c r="G1420" t="s">
        <v>31</v>
      </c>
      <c r="H1420" t="s">
        <v>23</v>
      </c>
      <c r="I1420">
        <v>6</v>
      </c>
      <c r="J1420">
        <v>4</v>
      </c>
      <c r="K1420" t="s">
        <v>18</v>
      </c>
      <c r="L1420">
        <v>1</v>
      </c>
      <c r="M1420">
        <v>3</v>
      </c>
      <c r="N1420" s="3">
        <v>5321</v>
      </c>
      <c r="O1420" s="3" t="str">
        <f>IF(Table2[[#This Row],[MonthlyIncome]]&lt;=5000, "$1001 - $5000", IF(Table2[[#This Row],[MonthlyIncome]]&lt;=9000, "$5001 - $9000", IF(Table2[[#This Row],[MonthlyIncome]]&lt;=13000, "$9001 - $13000", IF(Table2[[#This Row],[MonthlyIncome]]&lt;=17000, "$13001 - $17000", IF(Table2[[#This Row],[MonthlyIncome]]&lt;=21000, "$17001 - $21000")))))</f>
        <v>$5001 - $9000</v>
      </c>
      <c r="P1420">
        <v>2</v>
      </c>
      <c r="Q1420">
        <v>3</v>
      </c>
      <c r="R1420">
        <v>8</v>
      </c>
      <c r="S142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21" spans="1:19" ht="14.25" x14ac:dyDescent="0.2">
      <c r="A1421">
        <v>72785308</v>
      </c>
      <c r="B1421">
        <v>42</v>
      </c>
      <c r="C1421" t="s">
        <v>25</v>
      </c>
      <c r="D1421" t="s">
        <v>30</v>
      </c>
      <c r="E1421" t="s">
        <v>22</v>
      </c>
      <c r="F1421">
        <f>IF(Table2[[#This Row],[Attrition]]="Yes", 1, 0)</f>
        <v>0</v>
      </c>
      <c r="G1421" t="s">
        <v>26</v>
      </c>
      <c r="H1421" t="s">
        <v>23</v>
      </c>
      <c r="I1421">
        <v>18</v>
      </c>
      <c r="J1421">
        <v>4</v>
      </c>
      <c r="K1421" t="s">
        <v>18</v>
      </c>
      <c r="L1421">
        <v>4</v>
      </c>
      <c r="M1421">
        <v>1</v>
      </c>
      <c r="N1421" s="3">
        <v>5410</v>
      </c>
      <c r="O1421" s="3" t="str">
        <f>IF(Table2[[#This Row],[MonthlyIncome]]&lt;=5000, "$1001 - $5000", IF(Table2[[#This Row],[MonthlyIncome]]&lt;=9000, "$5001 - $9000", IF(Table2[[#This Row],[MonthlyIncome]]&lt;=13000, "$9001 - $13000", IF(Table2[[#This Row],[MonthlyIncome]]&lt;=17000, "$13001 - $17000", IF(Table2[[#This Row],[MonthlyIncome]]&lt;=21000, "$17001 - $21000")))))</f>
        <v>$5001 - $9000</v>
      </c>
      <c r="P1421">
        <v>6</v>
      </c>
      <c r="Q1421">
        <v>2</v>
      </c>
      <c r="R1421">
        <v>4</v>
      </c>
      <c r="S142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22" spans="1:19" ht="14.25" x14ac:dyDescent="0.2">
      <c r="A1422">
        <v>65571186</v>
      </c>
      <c r="B1422">
        <v>41</v>
      </c>
      <c r="C1422" t="s">
        <v>25</v>
      </c>
      <c r="D1422" t="s">
        <v>24</v>
      </c>
      <c r="E1422" t="s">
        <v>22</v>
      </c>
      <c r="F1422">
        <f>IF(Table2[[#This Row],[Attrition]]="Yes", 1, 0)</f>
        <v>0</v>
      </c>
      <c r="G1422" t="s">
        <v>26</v>
      </c>
      <c r="H1422" t="s">
        <v>23</v>
      </c>
      <c r="I1422">
        <v>1</v>
      </c>
      <c r="J1422">
        <v>3</v>
      </c>
      <c r="K1422" t="s">
        <v>18</v>
      </c>
      <c r="L1422">
        <v>4</v>
      </c>
      <c r="M1422">
        <v>4</v>
      </c>
      <c r="N1422" s="3">
        <v>2782</v>
      </c>
      <c r="O1422" s="3" t="str">
        <f>IF(Table2[[#This Row],[MonthlyIncome]]&lt;=5000, "$1001 - $5000", IF(Table2[[#This Row],[MonthlyIncome]]&lt;=9000, "$5001 - $9000", IF(Table2[[#This Row],[MonthlyIncome]]&lt;=13000, "$9001 - $13000", IF(Table2[[#This Row],[MonthlyIncome]]&lt;=17000, "$13001 - $17000", IF(Table2[[#This Row],[MonthlyIncome]]&lt;=21000, "$17001 - $21000")))))</f>
        <v>$1001 - $5000</v>
      </c>
      <c r="P1422">
        <v>3</v>
      </c>
      <c r="Q1422">
        <v>3</v>
      </c>
      <c r="R1422">
        <v>5</v>
      </c>
      <c r="S142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23" spans="1:19" ht="14.25" x14ac:dyDescent="0.2">
      <c r="A1423">
        <v>52643316</v>
      </c>
      <c r="B1423">
        <v>47</v>
      </c>
      <c r="C1423" t="s">
        <v>20</v>
      </c>
      <c r="D1423" t="s">
        <v>24</v>
      </c>
      <c r="E1423" t="s">
        <v>22</v>
      </c>
      <c r="F1423">
        <f>IF(Table2[[#This Row],[Attrition]]="Yes", 1, 0)</f>
        <v>0</v>
      </c>
      <c r="G1423" t="s">
        <v>35</v>
      </c>
      <c r="H1423" t="s">
        <v>23</v>
      </c>
      <c r="I1423">
        <v>1</v>
      </c>
      <c r="J1423">
        <v>1</v>
      </c>
      <c r="K1423" t="s">
        <v>29</v>
      </c>
      <c r="L1423">
        <v>3</v>
      </c>
      <c r="M1423">
        <v>2</v>
      </c>
      <c r="N1423" s="3">
        <v>11957</v>
      </c>
      <c r="O1423" s="3" t="str">
        <f>IF(Table2[[#This Row],[MonthlyIncome]]&lt;=5000, "$1001 - $5000", IF(Table2[[#This Row],[MonthlyIncome]]&lt;=9000, "$5001 - $9000", IF(Table2[[#This Row],[MonthlyIncome]]&lt;=13000, "$9001 - $13000", IF(Table2[[#This Row],[MonthlyIncome]]&lt;=17000, "$13001 - $17000", IF(Table2[[#This Row],[MonthlyIncome]]&lt;=21000, "$17001 - $21000")))))</f>
        <v>$9001 - $13000</v>
      </c>
      <c r="P1423">
        <v>0</v>
      </c>
      <c r="Q1423">
        <v>1</v>
      </c>
      <c r="R1423">
        <v>13</v>
      </c>
      <c r="S142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24" spans="1:19" ht="14.25" x14ac:dyDescent="0.2">
      <c r="A1424">
        <v>80450632</v>
      </c>
      <c r="B1424">
        <v>35</v>
      </c>
      <c r="C1424" t="s">
        <v>25</v>
      </c>
      <c r="D1424" t="s">
        <v>24</v>
      </c>
      <c r="E1424" t="s">
        <v>22</v>
      </c>
      <c r="F1424">
        <f>IF(Table2[[#This Row],[Attrition]]="Yes", 1, 0)</f>
        <v>0</v>
      </c>
      <c r="G1424" t="s">
        <v>28</v>
      </c>
      <c r="H1424" t="s">
        <v>23</v>
      </c>
      <c r="I1424">
        <v>11</v>
      </c>
      <c r="J1424">
        <v>4</v>
      </c>
      <c r="K1424" t="s">
        <v>29</v>
      </c>
      <c r="L1424">
        <v>4</v>
      </c>
      <c r="M1424">
        <v>3</v>
      </c>
      <c r="N1424" s="3">
        <v>2660</v>
      </c>
      <c r="O1424" s="3" t="str">
        <f>IF(Table2[[#This Row],[MonthlyIncome]]&lt;=5000, "$1001 - $5000", IF(Table2[[#This Row],[MonthlyIncome]]&lt;=9000, "$5001 - $9000", IF(Table2[[#This Row],[MonthlyIncome]]&lt;=13000, "$9001 - $13000", IF(Table2[[#This Row],[MonthlyIncome]]&lt;=17000, "$13001 - $17000", IF(Table2[[#This Row],[MonthlyIncome]]&lt;=21000, "$17001 - $21000")))))</f>
        <v>$1001 - $5000</v>
      </c>
      <c r="P1424">
        <v>7</v>
      </c>
      <c r="Q1424">
        <v>3</v>
      </c>
      <c r="R1424">
        <v>2</v>
      </c>
      <c r="S142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25" spans="1:19" ht="14.25" x14ac:dyDescent="0.2">
      <c r="A1425">
        <v>66451302</v>
      </c>
      <c r="B1425">
        <v>22</v>
      </c>
      <c r="C1425" t="s">
        <v>25</v>
      </c>
      <c r="D1425" t="s">
        <v>19</v>
      </c>
      <c r="E1425" t="s">
        <v>22</v>
      </c>
      <c r="F1425">
        <f>IF(Table2[[#This Row],[Attrition]]="Yes", 1, 0)</f>
        <v>0</v>
      </c>
      <c r="G1425" t="s">
        <v>26</v>
      </c>
      <c r="H1425" t="s">
        <v>23</v>
      </c>
      <c r="I1425">
        <v>1</v>
      </c>
      <c r="J1425">
        <v>2</v>
      </c>
      <c r="K1425" t="s">
        <v>18</v>
      </c>
      <c r="L1425">
        <v>4</v>
      </c>
      <c r="M1425">
        <v>3</v>
      </c>
      <c r="N1425" s="3">
        <v>3375</v>
      </c>
      <c r="O1425" s="3" t="str">
        <f>IF(Table2[[#This Row],[MonthlyIncome]]&lt;=5000, "$1001 - $5000", IF(Table2[[#This Row],[MonthlyIncome]]&lt;=9000, "$5001 - $9000", IF(Table2[[#This Row],[MonthlyIncome]]&lt;=13000, "$9001 - $13000", IF(Table2[[#This Row],[MonthlyIncome]]&lt;=17000, "$13001 - $17000", IF(Table2[[#This Row],[MonthlyIncome]]&lt;=21000, "$17001 - $21000")))))</f>
        <v>$1001 - $5000</v>
      </c>
      <c r="P1425">
        <v>0</v>
      </c>
      <c r="Q1425">
        <v>4</v>
      </c>
      <c r="R1425">
        <v>3</v>
      </c>
      <c r="S142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26" spans="1:19" ht="14.25" x14ac:dyDescent="0.2">
      <c r="A1426">
        <v>72806237</v>
      </c>
      <c r="B1426">
        <v>35</v>
      </c>
      <c r="C1426" t="s">
        <v>25</v>
      </c>
      <c r="D1426" t="s">
        <v>19</v>
      </c>
      <c r="E1426" t="s">
        <v>22</v>
      </c>
      <c r="F1426">
        <f>IF(Table2[[#This Row],[Attrition]]="Yes", 1, 0)</f>
        <v>0</v>
      </c>
      <c r="G1426" t="s">
        <v>26</v>
      </c>
      <c r="H1426" t="s">
        <v>23</v>
      </c>
      <c r="I1426">
        <v>9</v>
      </c>
      <c r="J1426">
        <v>4</v>
      </c>
      <c r="K1426" t="s">
        <v>29</v>
      </c>
      <c r="L1426">
        <v>2</v>
      </c>
      <c r="M1426">
        <v>3</v>
      </c>
      <c r="N1426" s="3">
        <v>5098</v>
      </c>
      <c r="O1426" s="3" t="str">
        <f>IF(Table2[[#This Row],[MonthlyIncome]]&lt;=5000, "$1001 - $5000", IF(Table2[[#This Row],[MonthlyIncome]]&lt;=9000, "$5001 - $9000", IF(Table2[[#This Row],[MonthlyIncome]]&lt;=13000, "$9001 - $13000", IF(Table2[[#This Row],[MonthlyIncome]]&lt;=17000, "$13001 - $17000", IF(Table2[[#This Row],[MonthlyIncome]]&lt;=21000, "$17001 - $21000")))))</f>
        <v>$5001 - $9000</v>
      </c>
      <c r="P1426">
        <v>1</v>
      </c>
      <c r="Q1426">
        <v>3</v>
      </c>
      <c r="R1426">
        <v>10</v>
      </c>
      <c r="S142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27" spans="1:19" ht="14.25" x14ac:dyDescent="0.2">
      <c r="A1427">
        <v>74877224</v>
      </c>
      <c r="B1427">
        <v>33</v>
      </c>
      <c r="C1427" t="s">
        <v>20</v>
      </c>
      <c r="D1427" t="s">
        <v>24</v>
      </c>
      <c r="E1427" t="s">
        <v>22</v>
      </c>
      <c r="F1427">
        <f>IF(Table2[[#This Row],[Attrition]]="Yes", 1, 0)</f>
        <v>0</v>
      </c>
      <c r="G1427" t="s">
        <v>32</v>
      </c>
      <c r="H1427" t="s">
        <v>23</v>
      </c>
      <c r="I1427">
        <v>15</v>
      </c>
      <c r="J1427">
        <v>2</v>
      </c>
      <c r="K1427" t="s">
        <v>29</v>
      </c>
      <c r="L1427">
        <v>2</v>
      </c>
      <c r="M1427">
        <v>4</v>
      </c>
      <c r="N1427" s="3">
        <v>4878</v>
      </c>
      <c r="O1427" s="3" t="str">
        <f>IF(Table2[[#This Row],[MonthlyIncome]]&lt;=5000, "$1001 - $5000", IF(Table2[[#This Row],[MonthlyIncome]]&lt;=9000, "$5001 - $9000", IF(Table2[[#This Row],[MonthlyIncome]]&lt;=13000, "$9001 - $13000", IF(Table2[[#This Row],[MonthlyIncome]]&lt;=17000, "$13001 - $17000", IF(Table2[[#This Row],[MonthlyIncome]]&lt;=21000, "$17001 - $21000")))))</f>
        <v>$1001 - $5000</v>
      </c>
      <c r="P1427">
        <v>0</v>
      </c>
      <c r="Q1427">
        <v>3</v>
      </c>
      <c r="R1427">
        <v>9</v>
      </c>
      <c r="S142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28" spans="1:19" ht="14.25" x14ac:dyDescent="0.2">
      <c r="A1428">
        <v>44201791</v>
      </c>
      <c r="B1428">
        <v>32</v>
      </c>
      <c r="C1428" t="s">
        <v>20</v>
      </c>
      <c r="D1428" t="s">
        <v>19</v>
      </c>
      <c r="E1428" t="s">
        <v>22</v>
      </c>
      <c r="F1428">
        <f>IF(Table2[[#This Row],[Attrition]]="Yes", 1, 0)</f>
        <v>0</v>
      </c>
      <c r="G1428" t="s">
        <v>28</v>
      </c>
      <c r="H1428" t="s">
        <v>23</v>
      </c>
      <c r="I1428">
        <v>29</v>
      </c>
      <c r="J1428">
        <v>4</v>
      </c>
      <c r="K1428" t="s">
        <v>18</v>
      </c>
      <c r="L1428">
        <v>3</v>
      </c>
      <c r="M1428">
        <v>2</v>
      </c>
      <c r="N1428" s="3">
        <v>2837</v>
      </c>
      <c r="O1428" s="3" t="str">
        <f>IF(Table2[[#This Row],[MonthlyIncome]]&lt;=5000, "$1001 - $5000", IF(Table2[[#This Row],[MonthlyIncome]]&lt;=9000, "$5001 - $9000", IF(Table2[[#This Row],[MonthlyIncome]]&lt;=13000, "$9001 - $13000", IF(Table2[[#This Row],[MonthlyIncome]]&lt;=17000, "$13001 - $17000", IF(Table2[[#This Row],[MonthlyIncome]]&lt;=21000, "$17001 - $21000")))))</f>
        <v>$1001 - $5000</v>
      </c>
      <c r="P1428">
        <v>1</v>
      </c>
      <c r="Q1428">
        <v>3</v>
      </c>
      <c r="R1428">
        <v>6</v>
      </c>
      <c r="S142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29" spans="1:19" ht="14.25" x14ac:dyDescent="0.2">
      <c r="A1429">
        <v>46103377</v>
      </c>
      <c r="B1429">
        <v>40</v>
      </c>
      <c r="C1429" t="s">
        <v>25</v>
      </c>
      <c r="D1429" t="s">
        <v>24</v>
      </c>
      <c r="E1429" t="s">
        <v>22</v>
      </c>
      <c r="F1429">
        <f>IF(Table2[[#This Row],[Attrition]]="Yes", 1, 0)</f>
        <v>0</v>
      </c>
      <c r="G1429" t="s">
        <v>28</v>
      </c>
      <c r="H1429" t="s">
        <v>23</v>
      </c>
      <c r="I1429">
        <v>1</v>
      </c>
      <c r="J1429">
        <v>4</v>
      </c>
      <c r="K1429" t="s">
        <v>18</v>
      </c>
      <c r="L1429">
        <v>1</v>
      </c>
      <c r="M1429">
        <v>4</v>
      </c>
      <c r="N1429" s="3">
        <v>2406</v>
      </c>
      <c r="O1429" s="3" t="str">
        <f>IF(Table2[[#This Row],[MonthlyIncome]]&lt;=5000, "$1001 - $5000", IF(Table2[[#This Row],[MonthlyIncome]]&lt;=9000, "$5001 - $9000", IF(Table2[[#This Row],[MonthlyIncome]]&lt;=13000, "$9001 - $13000", IF(Table2[[#This Row],[MonthlyIncome]]&lt;=17000, "$13001 - $17000", IF(Table2[[#This Row],[MonthlyIncome]]&lt;=21000, "$17001 - $21000")))))</f>
        <v>$1001 - $5000</v>
      </c>
      <c r="P1429">
        <v>8</v>
      </c>
      <c r="Q1429">
        <v>2</v>
      </c>
      <c r="R1429">
        <v>1</v>
      </c>
      <c r="S142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30" spans="1:19" ht="14.25" x14ac:dyDescent="0.2">
      <c r="A1430">
        <v>62986319</v>
      </c>
      <c r="B1430">
        <v>32</v>
      </c>
      <c r="C1430" t="s">
        <v>25</v>
      </c>
      <c r="D1430" t="s">
        <v>24</v>
      </c>
      <c r="E1430" t="s">
        <v>22</v>
      </c>
      <c r="F1430">
        <f>IF(Table2[[#This Row],[Attrition]]="Yes", 1, 0)</f>
        <v>0</v>
      </c>
      <c r="G1430" t="s">
        <v>34</v>
      </c>
      <c r="H1430" t="s">
        <v>17</v>
      </c>
      <c r="I1430">
        <v>1</v>
      </c>
      <c r="J1430">
        <v>4</v>
      </c>
      <c r="K1430" t="s">
        <v>29</v>
      </c>
      <c r="L1430">
        <v>2</v>
      </c>
      <c r="M1430">
        <v>2</v>
      </c>
      <c r="N1430" s="3">
        <v>2269</v>
      </c>
      <c r="O1430" s="3" t="str">
        <f>IF(Table2[[#This Row],[MonthlyIncome]]&lt;=5000, "$1001 - $5000", IF(Table2[[#This Row],[MonthlyIncome]]&lt;=9000, "$5001 - $9000", IF(Table2[[#This Row],[MonthlyIncome]]&lt;=13000, "$9001 - $13000", IF(Table2[[#This Row],[MonthlyIncome]]&lt;=17000, "$13001 - $17000", IF(Table2[[#This Row],[MonthlyIncome]]&lt;=21000, "$17001 - $21000")))))</f>
        <v>$1001 - $5000</v>
      </c>
      <c r="P1430">
        <v>0</v>
      </c>
      <c r="Q1430">
        <v>3</v>
      </c>
      <c r="R1430">
        <v>2</v>
      </c>
      <c r="S143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31" spans="1:19" ht="14.25" x14ac:dyDescent="0.2">
      <c r="A1431">
        <v>68845240</v>
      </c>
      <c r="B1431">
        <v>39</v>
      </c>
      <c r="C1431" t="s">
        <v>25</v>
      </c>
      <c r="D1431" t="s">
        <v>19</v>
      </c>
      <c r="E1431" t="s">
        <v>22</v>
      </c>
      <c r="F1431">
        <f>IF(Table2[[#This Row],[Attrition]]="Yes", 1, 0)</f>
        <v>0</v>
      </c>
      <c r="G1431" t="s">
        <v>26</v>
      </c>
      <c r="H1431" t="s">
        <v>23</v>
      </c>
      <c r="I1431">
        <v>24</v>
      </c>
      <c r="J1431">
        <v>1</v>
      </c>
      <c r="K1431" t="s">
        <v>18</v>
      </c>
      <c r="L1431">
        <v>1</v>
      </c>
      <c r="M1431">
        <v>4</v>
      </c>
      <c r="N1431" s="3">
        <v>4108</v>
      </c>
      <c r="O1431" s="3" t="str">
        <f>IF(Table2[[#This Row],[MonthlyIncome]]&lt;=5000, "$1001 - $5000", IF(Table2[[#This Row],[MonthlyIncome]]&lt;=9000, "$5001 - $9000", IF(Table2[[#This Row],[MonthlyIncome]]&lt;=13000, "$9001 - $13000", IF(Table2[[#This Row],[MonthlyIncome]]&lt;=17000, "$13001 - $17000", IF(Table2[[#This Row],[MonthlyIncome]]&lt;=21000, "$17001 - $21000")))))</f>
        <v>$1001 - $5000</v>
      </c>
      <c r="P1431">
        <v>7</v>
      </c>
      <c r="Q1431">
        <v>3</v>
      </c>
      <c r="R1431">
        <v>7</v>
      </c>
      <c r="S143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32" spans="1:19" ht="14.25" x14ac:dyDescent="0.2">
      <c r="A1432">
        <v>75712380</v>
      </c>
      <c r="B1432">
        <v>38</v>
      </c>
      <c r="C1432" t="s">
        <v>20</v>
      </c>
      <c r="D1432" t="s">
        <v>24</v>
      </c>
      <c r="E1432" t="s">
        <v>22</v>
      </c>
      <c r="F1432">
        <f>IF(Table2[[#This Row],[Attrition]]="Yes", 1, 0)</f>
        <v>0</v>
      </c>
      <c r="G1432" t="s">
        <v>35</v>
      </c>
      <c r="H1432" t="s">
        <v>23</v>
      </c>
      <c r="I1432">
        <v>10</v>
      </c>
      <c r="J1432">
        <v>3</v>
      </c>
      <c r="K1432" t="s">
        <v>29</v>
      </c>
      <c r="L1432">
        <v>2</v>
      </c>
      <c r="M1432">
        <v>3</v>
      </c>
      <c r="N1432" s="3">
        <v>13206</v>
      </c>
      <c r="O1432" s="3" t="str">
        <f>IF(Table2[[#This Row],[MonthlyIncome]]&lt;=5000, "$1001 - $5000", IF(Table2[[#This Row],[MonthlyIncome]]&lt;=9000, "$5001 - $9000", IF(Table2[[#This Row],[MonthlyIncome]]&lt;=13000, "$9001 - $13000", IF(Table2[[#This Row],[MonthlyIncome]]&lt;=17000, "$13001 - $17000", IF(Table2[[#This Row],[MonthlyIncome]]&lt;=21000, "$17001 - $21000")))))</f>
        <v>$13001 - $17000</v>
      </c>
      <c r="P1432">
        <v>3</v>
      </c>
      <c r="Q1432">
        <v>3</v>
      </c>
      <c r="R1432">
        <v>18</v>
      </c>
      <c r="S143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433" spans="1:19" ht="14.25" x14ac:dyDescent="0.2">
      <c r="A1433">
        <v>82272685</v>
      </c>
      <c r="B1433">
        <v>32</v>
      </c>
      <c r="C1433" t="s">
        <v>20</v>
      </c>
      <c r="D1433" t="s">
        <v>24</v>
      </c>
      <c r="E1433" t="s">
        <v>22</v>
      </c>
      <c r="F1433">
        <f>IF(Table2[[#This Row],[Attrition]]="Yes", 1, 0)</f>
        <v>0</v>
      </c>
      <c r="G1433" t="s">
        <v>21</v>
      </c>
      <c r="H1433" t="s">
        <v>17</v>
      </c>
      <c r="I1433">
        <v>1</v>
      </c>
      <c r="J1433">
        <v>4</v>
      </c>
      <c r="K1433" t="s">
        <v>36</v>
      </c>
      <c r="L1433">
        <v>3</v>
      </c>
      <c r="M1433">
        <v>4</v>
      </c>
      <c r="N1433" s="3">
        <v>10422</v>
      </c>
      <c r="O1433" s="3" t="str">
        <f>IF(Table2[[#This Row],[MonthlyIncome]]&lt;=5000, "$1001 - $5000", IF(Table2[[#This Row],[MonthlyIncome]]&lt;=9000, "$5001 - $9000", IF(Table2[[#This Row],[MonthlyIncome]]&lt;=13000, "$9001 - $13000", IF(Table2[[#This Row],[MonthlyIncome]]&lt;=17000, "$13001 - $17000", IF(Table2[[#This Row],[MonthlyIncome]]&lt;=21000, "$17001 - $21000")))))</f>
        <v>$9001 - $13000</v>
      </c>
      <c r="P1433">
        <v>1</v>
      </c>
      <c r="Q1433">
        <v>3</v>
      </c>
      <c r="R1433">
        <v>14</v>
      </c>
      <c r="S143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34" spans="1:19" ht="14.25" x14ac:dyDescent="0.2">
      <c r="A1434">
        <v>46641607</v>
      </c>
      <c r="B1434">
        <v>37</v>
      </c>
      <c r="C1434" t="s">
        <v>20</v>
      </c>
      <c r="D1434" t="s">
        <v>24</v>
      </c>
      <c r="E1434" t="s">
        <v>22</v>
      </c>
      <c r="F1434">
        <f>IF(Table2[[#This Row],[Attrition]]="Yes", 1, 0)</f>
        <v>0</v>
      </c>
      <c r="G1434" t="s">
        <v>35</v>
      </c>
      <c r="H1434" t="s">
        <v>23</v>
      </c>
      <c r="I1434">
        <v>10</v>
      </c>
      <c r="J1434">
        <v>3</v>
      </c>
      <c r="K1434" t="s">
        <v>18</v>
      </c>
      <c r="L1434">
        <v>3</v>
      </c>
      <c r="M1434">
        <v>4</v>
      </c>
      <c r="N1434" s="3">
        <v>13744</v>
      </c>
      <c r="O1434" s="3" t="str">
        <f>IF(Table2[[#This Row],[MonthlyIncome]]&lt;=5000, "$1001 - $5000", IF(Table2[[#This Row],[MonthlyIncome]]&lt;=9000, "$5001 - $9000", IF(Table2[[#This Row],[MonthlyIncome]]&lt;=13000, "$9001 - $13000", IF(Table2[[#This Row],[MonthlyIncome]]&lt;=17000, "$13001 - $17000", IF(Table2[[#This Row],[MonthlyIncome]]&lt;=21000, "$17001 - $21000")))))</f>
        <v>$13001 - $17000</v>
      </c>
      <c r="P1434">
        <v>1</v>
      </c>
      <c r="Q1434">
        <v>3</v>
      </c>
      <c r="R1434">
        <v>16</v>
      </c>
      <c r="S143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435" spans="1:19" ht="14.25" x14ac:dyDescent="0.2">
      <c r="A1435">
        <v>32880032</v>
      </c>
      <c r="B1435">
        <v>25</v>
      </c>
      <c r="C1435" t="s">
        <v>20</v>
      </c>
      <c r="D1435" t="s">
        <v>30</v>
      </c>
      <c r="E1435" t="s">
        <v>22</v>
      </c>
      <c r="F1435">
        <f>IF(Table2[[#This Row],[Attrition]]="Yes", 1, 0)</f>
        <v>0</v>
      </c>
      <c r="G1435" t="s">
        <v>21</v>
      </c>
      <c r="H1435" t="s">
        <v>17</v>
      </c>
      <c r="I1435">
        <v>8</v>
      </c>
      <c r="J1435">
        <v>2</v>
      </c>
      <c r="K1435" t="s">
        <v>27</v>
      </c>
      <c r="L1435">
        <v>1</v>
      </c>
      <c r="M1435">
        <v>3</v>
      </c>
      <c r="N1435" s="3">
        <v>4907</v>
      </c>
      <c r="O1435" s="3" t="str">
        <f>IF(Table2[[#This Row],[MonthlyIncome]]&lt;=5000, "$1001 - $5000", IF(Table2[[#This Row],[MonthlyIncome]]&lt;=9000, "$5001 - $9000", IF(Table2[[#This Row],[MonthlyIncome]]&lt;=13000, "$9001 - $13000", IF(Table2[[#This Row],[MonthlyIncome]]&lt;=17000, "$13001 - $17000", IF(Table2[[#This Row],[MonthlyIncome]]&lt;=21000, "$17001 - $21000")))))</f>
        <v>$1001 - $5000</v>
      </c>
      <c r="P1435">
        <v>0</v>
      </c>
      <c r="Q1435">
        <v>2</v>
      </c>
      <c r="R1435">
        <v>5</v>
      </c>
      <c r="S143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36" spans="1:19" ht="14.25" x14ac:dyDescent="0.2">
      <c r="A1436">
        <v>41664992</v>
      </c>
      <c r="B1436">
        <v>52</v>
      </c>
      <c r="C1436" t="s">
        <v>25</v>
      </c>
      <c r="D1436" t="s">
        <v>30</v>
      </c>
      <c r="E1436" t="s">
        <v>22</v>
      </c>
      <c r="F1436">
        <f>IF(Table2[[#This Row],[Attrition]]="Yes", 1, 0)</f>
        <v>0</v>
      </c>
      <c r="G1436" t="s">
        <v>34</v>
      </c>
      <c r="H1436" t="s">
        <v>17</v>
      </c>
      <c r="I1436">
        <v>29</v>
      </c>
      <c r="J1436">
        <v>4</v>
      </c>
      <c r="K1436" t="s">
        <v>18</v>
      </c>
      <c r="L1436">
        <v>1</v>
      </c>
      <c r="M1436">
        <v>4</v>
      </c>
      <c r="N1436" s="3">
        <v>3482</v>
      </c>
      <c r="O1436" s="3" t="str">
        <f>IF(Table2[[#This Row],[MonthlyIncome]]&lt;=5000, "$1001 - $5000", IF(Table2[[#This Row],[MonthlyIncome]]&lt;=9000, "$5001 - $9000", IF(Table2[[#This Row],[MonthlyIncome]]&lt;=13000, "$9001 - $13000", IF(Table2[[#This Row],[MonthlyIncome]]&lt;=17000, "$13001 - $17000", IF(Table2[[#This Row],[MonthlyIncome]]&lt;=21000, "$17001 - $21000")))))</f>
        <v>$1001 - $5000</v>
      </c>
      <c r="P1436">
        <v>2</v>
      </c>
      <c r="Q1436">
        <v>2</v>
      </c>
      <c r="R1436">
        <v>9</v>
      </c>
      <c r="S143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37" spans="1:19" ht="14.25" x14ac:dyDescent="0.2">
      <c r="A1437">
        <v>59266555</v>
      </c>
      <c r="B1437">
        <v>44</v>
      </c>
      <c r="C1437" t="s">
        <v>25</v>
      </c>
      <c r="D1437" t="s">
        <v>19</v>
      </c>
      <c r="E1437" t="s">
        <v>22</v>
      </c>
      <c r="F1437">
        <f>IF(Table2[[#This Row],[Attrition]]="Yes", 1, 0)</f>
        <v>0</v>
      </c>
      <c r="G1437" t="s">
        <v>26</v>
      </c>
      <c r="H1437" t="s">
        <v>23</v>
      </c>
      <c r="I1437">
        <v>1</v>
      </c>
      <c r="J1437">
        <v>3</v>
      </c>
      <c r="K1437" t="s">
        <v>29</v>
      </c>
      <c r="L1437">
        <v>2</v>
      </c>
      <c r="M1437">
        <v>4</v>
      </c>
      <c r="N1437" s="3">
        <v>2436</v>
      </c>
      <c r="O1437" s="3" t="str">
        <f>IF(Table2[[#This Row],[MonthlyIncome]]&lt;=5000, "$1001 - $5000", IF(Table2[[#This Row],[MonthlyIncome]]&lt;=9000, "$5001 - $9000", IF(Table2[[#This Row],[MonthlyIncome]]&lt;=13000, "$9001 - $13000", IF(Table2[[#This Row],[MonthlyIncome]]&lt;=17000, "$13001 - $17000", IF(Table2[[#This Row],[MonthlyIncome]]&lt;=21000, "$17001 - $21000")))))</f>
        <v>$1001 - $5000</v>
      </c>
      <c r="P1437">
        <v>6</v>
      </c>
      <c r="Q1437">
        <v>3</v>
      </c>
      <c r="R1437">
        <v>4</v>
      </c>
      <c r="S143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38" spans="1:19" ht="14.25" x14ac:dyDescent="0.2">
      <c r="A1438">
        <v>41026239</v>
      </c>
      <c r="B1438">
        <v>21</v>
      </c>
      <c r="C1438" t="s">
        <v>25</v>
      </c>
      <c r="D1438" t="s">
        <v>19</v>
      </c>
      <c r="E1438" t="s">
        <v>22</v>
      </c>
      <c r="F1438">
        <f>IF(Table2[[#This Row],[Attrition]]="Yes", 1, 0)</f>
        <v>0</v>
      </c>
      <c r="G1438" t="s">
        <v>34</v>
      </c>
      <c r="H1438" t="s">
        <v>17</v>
      </c>
      <c r="I1438">
        <v>5</v>
      </c>
      <c r="J1438">
        <v>1</v>
      </c>
      <c r="K1438" t="s">
        <v>29</v>
      </c>
      <c r="L1438">
        <v>3</v>
      </c>
      <c r="M1438">
        <v>1</v>
      </c>
      <c r="N1438" s="3">
        <v>2380</v>
      </c>
      <c r="O1438" s="3" t="str">
        <f>IF(Table2[[#This Row],[MonthlyIncome]]&lt;=5000, "$1001 - $5000", IF(Table2[[#This Row],[MonthlyIncome]]&lt;=9000, "$5001 - $9000", IF(Table2[[#This Row],[MonthlyIncome]]&lt;=13000, "$9001 - $13000", IF(Table2[[#This Row],[MonthlyIncome]]&lt;=17000, "$13001 - $17000", IF(Table2[[#This Row],[MonthlyIncome]]&lt;=21000, "$17001 - $21000")))))</f>
        <v>$1001 - $5000</v>
      </c>
      <c r="P1438">
        <v>1</v>
      </c>
      <c r="Q1438">
        <v>3</v>
      </c>
      <c r="R1438">
        <v>2</v>
      </c>
      <c r="S143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39" spans="1:19" ht="14.25" x14ac:dyDescent="0.2">
      <c r="A1439">
        <v>83233459</v>
      </c>
      <c r="B1439">
        <v>39</v>
      </c>
      <c r="C1439" t="s">
        <v>25</v>
      </c>
      <c r="D1439" t="s">
        <v>19</v>
      </c>
      <c r="E1439" t="s">
        <v>22</v>
      </c>
      <c r="F1439">
        <f>IF(Table2[[#This Row],[Attrition]]="Yes", 1, 0)</f>
        <v>0</v>
      </c>
      <c r="G1439" t="s">
        <v>33</v>
      </c>
      <c r="H1439" t="s">
        <v>23</v>
      </c>
      <c r="I1439">
        <v>9</v>
      </c>
      <c r="J1439">
        <v>3</v>
      </c>
      <c r="K1439" t="s">
        <v>18</v>
      </c>
      <c r="L1439">
        <v>4</v>
      </c>
      <c r="M1439">
        <v>4</v>
      </c>
      <c r="N1439" s="3">
        <v>19431</v>
      </c>
      <c r="O1439" s="3" t="str">
        <f>IF(Table2[[#This Row],[MonthlyIncome]]&lt;=5000, "$1001 - $5000", IF(Table2[[#This Row],[MonthlyIncome]]&lt;=9000, "$5001 - $9000", IF(Table2[[#This Row],[MonthlyIncome]]&lt;=13000, "$9001 - $13000", IF(Table2[[#This Row],[MonthlyIncome]]&lt;=17000, "$13001 - $17000", IF(Table2[[#This Row],[MonthlyIncome]]&lt;=21000, "$17001 - $21000")))))</f>
        <v>$17001 - $21000</v>
      </c>
      <c r="P1439">
        <v>2</v>
      </c>
      <c r="Q1439">
        <v>2</v>
      </c>
      <c r="R1439">
        <v>6</v>
      </c>
      <c r="S143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40" spans="1:19" ht="14.25" x14ac:dyDescent="0.2">
      <c r="A1440">
        <v>76460510</v>
      </c>
      <c r="B1440">
        <v>23</v>
      </c>
      <c r="C1440" t="s">
        <v>25</v>
      </c>
      <c r="D1440" t="s">
        <v>24</v>
      </c>
      <c r="E1440" t="s">
        <v>16</v>
      </c>
      <c r="F1440">
        <f>IF(Table2[[#This Row],[Attrition]]="Yes", 1, 0)</f>
        <v>1</v>
      </c>
      <c r="G1440" t="s">
        <v>34</v>
      </c>
      <c r="H1440" t="s">
        <v>17</v>
      </c>
      <c r="I1440">
        <v>9</v>
      </c>
      <c r="J1440">
        <v>3</v>
      </c>
      <c r="K1440" t="s">
        <v>36</v>
      </c>
      <c r="L1440">
        <v>4</v>
      </c>
      <c r="M1440">
        <v>1</v>
      </c>
      <c r="N1440" s="3">
        <v>1790</v>
      </c>
      <c r="O1440" s="3" t="str">
        <f>IF(Table2[[#This Row],[MonthlyIncome]]&lt;=5000, "$1001 - $5000", IF(Table2[[#This Row],[MonthlyIncome]]&lt;=9000, "$5001 - $9000", IF(Table2[[#This Row],[MonthlyIncome]]&lt;=13000, "$9001 - $13000", IF(Table2[[#This Row],[MonthlyIncome]]&lt;=17000, "$13001 - $17000", IF(Table2[[#This Row],[MonthlyIncome]]&lt;=21000, "$17001 - $21000")))))</f>
        <v>$1001 - $5000</v>
      </c>
      <c r="P1440">
        <v>1</v>
      </c>
      <c r="Q1440">
        <v>2</v>
      </c>
      <c r="R1440">
        <v>1</v>
      </c>
      <c r="S144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41" spans="1:19" ht="14.25" x14ac:dyDescent="0.2">
      <c r="A1441">
        <v>77621102</v>
      </c>
      <c r="B1441">
        <v>36</v>
      </c>
      <c r="C1441" t="s">
        <v>20</v>
      </c>
      <c r="D1441" t="s">
        <v>24</v>
      </c>
      <c r="E1441" t="s">
        <v>22</v>
      </c>
      <c r="F1441">
        <f>IF(Table2[[#This Row],[Attrition]]="Yes", 1, 0)</f>
        <v>0</v>
      </c>
      <c r="G1441" t="s">
        <v>21</v>
      </c>
      <c r="H1441" t="s">
        <v>17</v>
      </c>
      <c r="I1441">
        <v>3</v>
      </c>
      <c r="J1441">
        <v>3</v>
      </c>
      <c r="K1441" t="s">
        <v>29</v>
      </c>
      <c r="L1441">
        <v>1</v>
      </c>
      <c r="M1441">
        <v>4</v>
      </c>
      <c r="N1441" s="3">
        <v>7644</v>
      </c>
      <c r="O1441" s="3" t="str">
        <f>IF(Table2[[#This Row],[MonthlyIncome]]&lt;=5000, "$1001 - $5000", IF(Table2[[#This Row],[MonthlyIncome]]&lt;=9000, "$5001 - $9000", IF(Table2[[#This Row],[MonthlyIncome]]&lt;=13000, "$9001 - $13000", IF(Table2[[#This Row],[MonthlyIncome]]&lt;=17000, "$13001 - $17000", IF(Table2[[#This Row],[MonthlyIncome]]&lt;=21000, "$17001 - $21000")))))</f>
        <v>$5001 - $9000</v>
      </c>
      <c r="P1441">
        <v>0</v>
      </c>
      <c r="Q1441">
        <v>3</v>
      </c>
      <c r="R1441">
        <v>9</v>
      </c>
      <c r="S144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42" spans="1:19" ht="14.25" x14ac:dyDescent="0.2">
      <c r="A1442">
        <v>52415918</v>
      </c>
      <c r="B1442">
        <v>36</v>
      </c>
      <c r="C1442" t="s">
        <v>20</v>
      </c>
      <c r="D1442" t="s">
        <v>30</v>
      </c>
      <c r="E1442" t="s">
        <v>22</v>
      </c>
      <c r="F1442">
        <f>IF(Table2[[#This Row],[Attrition]]="Yes", 1, 0)</f>
        <v>0</v>
      </c>
      <c r="G1442" t="s">
        <v>31</v>
      </c>
      <c r="H1442" t="s">
        <v>23</v>
      </c>
      <c r="I1442">
        <v>4</v>
      </c>
      <c r="J1442">
        <v>2</v>
      </c>
      <c r="K1442" t="s">
        <v>18</v>
      </c>
      <c r="L1442">
        <v>4</v>
      </c>
      <c r="M1442">
        <v>2</v>
      </c>
      <c r="N1442" s="3">
        <v>5131</v>
      </c>
      <c r="O1442" s="3" t="str">
        <f>IF(Table2[[#This Row],[MonthlyIncome]]&lt;=5000, "$1001 - $5000", IF(Table2[[#This Row],[MonthlyIncome]]&lt;=9000, "$5001 - $9000", IF(Table2[[#This Row],[MonthlyIncome]]&lt;=13000, "$9001 - $13000", IF(Table2[[#This Row],[MonthlyIncome]]&lt;=17000, "$13001 - $17000", IF(Table2[[#This Row],[MonthlyIncome]]&lt;=21000, "$17001 - $21000")))))</f>
        <v>$5001 - $9000</v>
      </c>
      <c r="P1442">
        <v>7</v>
      </c>
      <c r="Q1442">
        <v>3</v>
      </c>
      <c r="R1442">
        <v>4</v>
      </c>
      <c r="S144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43" spans="1:19" ht="14.25" x14ac:dyDescent="0.2">
      <c r="A1443">
        <v>19648099</v>
      </c>
      <c r="B1443">
        <v>56</v>
      </c>
      <c r="C1443" t="s">
        <v>25</v>
      </c>
      <c r="D1443" t="s">
        <v>30</v>
      </c>
      <c r="E1443" t="s">
        <v>22</v>
      </c>
      <c r="F1443">
        <f>IF(Table2[[#This Row],[Attrition]]="Yes", 1, 0)</f>
        <v>0</v>
      </c>
      <c r="G1443" t="s">
        <v>32</v>
      </c>
      <c r="H1443" t="s">
        <v>23</v>
      </c>
      <c r="I1443">
        <v>1</v>
      </c>
      <c r="J1443">
        <v>4</v>
      </c>
      <c r="K1443" t="s">
        <v>18</v>
      </c>
      <c r="L1443">
        <v>3</v>
      </c>
      <c r="M1443">
        <v>3</v>
      </c>
      <c r="N1443" s="3">
        <v>6306</v>
      </c>
      <c r="O1443" s="3" t="str">
        <f>IF(Table2[[#This Row],[MonthlyIncome]]&lt;=5000, "$1001 - $5000", IF(Table2[[#This Row],[MonthlyIncome]]&lt;=9000, "$5001 - $9000", IF(Table2[[#This Row],[MonthlyIncome]]&lt;=13000, "$9001 - $13000", IF(Table2[[#This Row],[MonthlyIncome]]&lt;=17000, "$13001 - $17000", IF(Table2[[#This Row],[MonthlyIncome]]&lt;=21000, "$17001 - $21000")))))</f>
        <v>$5001 - $9000</v>
      </c>
      <c r="P1443">
        <v>1</v>
      </c>
      <c r="Q1443">
        <v>2</v>
      </c>
      <c r="R1443">
        <v>13</v>
      </c>
      <c r="S144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44" spans="1:19" ht="14.25" x14ac:dyDescent="0.2">
      <c r="A1444">
        <v>51004972</v>
      </c>
      <c r="B1444">
        <v>29</v>
      </c>
      <c r="C1444" t="s">
        <v>25</v>
      </c>
      <c r="D1444" t="s">
        <v>24</v>
      </c>
      <c r="E1444" t="s">
        <v>16</v>
      </c>
      <c r="F1444">
        <f>IF(Table2[[#This Row],[Attrition]]="Yes", 1, 0)</f>
        <v>1</v>
      </c>
      <c r="G1444" t="s">
        <v>26</v>
      </c>
      <c r="H1444" t="s">
        <v>23</v>
      </c>
      <c r="I1444">
        <v>1</v>
      </c>
      <c r="J1444">
        <v>4</v>
      </c>
      <c r="K1444" t="s">
        <v>29</v>
      </c>
      <c r="L1444">
        <v>1</v>
      </c>
      <c r="M1444">
        <v>4</v>
      </c>
      <c r="N1444" s="3">
        <v>4787</v>
      </c>
      <c r="O1444" s="3" t="str">
        <f>IF(Table2[[#This Row],[MonthlyIncome]]&lt;=5000, "$1001 - $5000", IF(Table2[[#This Row],[MonthlyIncome]]&lt;=9000, "$5001 - $9000", IF(Table2[[#This Row],[MonthlyIncome]]&lt;=13000, "$9001 - $13000", IF(Table2[[#This Row],[MonthlyIncome]]&lt;=17000, "$13001 - $17000", IF(Table2[[#This Row],[MonthlyIncome]]&lt;=21000, "$17001 - $21000")))))</f>
        <v>$1001 - $5000</v>
      </c>
      <c r="P1444">
        <v>9</v>
      </c>
      <c r="Q1444">
        <v>4</v>
      </c>
      <c r="R1444">
        <v>2</v>
      </c>
      <c r="S144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45" spans="1:19" ht="14.25" x14ac:dyDescent="0.2">
      <c r="A1445">
        <v>59951280</v>
      </c>
      <c r="B1445">
        <v>42</v>
      </c>
      <c r="C1445" t="s">
        <v>25</v>
      </c>
      <c r="D1445" t="s">
        <v>24</v>
      </c>
      <c r="E1445" t="s">
        <v>22</v>
      </c>
      <c r="F1445">
        <f>IF(Table2[[#This Row],[Attrition]]="Yes", 1, 0)</f>
        <v>0</v>
      </c>
      <c r="G1445" t="s">
        <v>33</v>
      </c>
      <c r="H1445" t="s">
        <v>23</v>
      </c>
      <c r="I1445">
        <v>2</v>
      </c>
      <c r="J1445">
        <v>3</v>
      </c>
      <c r="K1445" t="s">
        <v>18</v>
      </c>
      <c r="L1445">
        <v>1</v>
      </c>
      <c r="M1445">
        <v>3</v>
      </c>
      <c r="N1445" s="3">
        <v>18880</v>
      </c>
      <c r="O1445" s="3" t="str">
        <f>IF(Table2[[#This Row],[MonthlyIncome]]&lt;=5000, "$1001 - $5000", IF(Table2[[#This Row],[MonthlyIncome]]&lt;=9000, "$5001 - $9000", IF(Table2[[#This Row],[MonthlyIncome]]&lt;=13000, "$9001 - $13000", IF(Table2[[#This Row],[MonthlyIncome]]&lt;=17000, "$13001 - $17000", IF(Table2[[#This Row],[MonthlyIncome]]&lt;=21000, "$17001 - $21000")))))</f>
        <v>$17001 - $21000</v>
      </c>
      <c r="P1445">
        <v>5</v>
      </c>
      <c r="Q1445">
        <v>2</v>
      </c>
      <c r="R1445">
        <v>22</v>
      </c>
      <c r="S144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446" spans="1:19" ht="14.25" x14ac:dyDescent="0.2">
      <c r="A1446">
        <v>38836656</v>
      </c>
      <c r="B1446">
        <v>56</v>
      </c>
      <c r="C1446" t="s">
        <v>25</v>
      </c>
      <c r="D1446" t="s">
        <v>24</v>
      </c>
      <c r="E1446" t="s">
        <v>16</v>
      </c>
      <c r="F1446">
        <f>IF(Table2[[#This Row],[Attrition]]="Yes", 1, 0)</f>
        <v>1</v>
      </c>
      <c r="G1446" t="s">
        <v>28</v>
      </c>
      <c r="H1446" t="s">
        <v>23</v>
      </c>
      <c r="I1446">
        <v>7</v>
      </c>
      <c r="J1446">
        <v>2</v>
      </c>
      <c r="K1446" t="s">
        <v>37</v>
      </c>
      <c r="L1446">
        <v>4</v>
      </c>
      <c r="M1446">
        <v>3</v>
      </c>
      <c r="N1446" s="3">
        <v>2339</v>
      </c>
      <c r="O1446" s="3" t="str">
        <f>IF(Table2[[#This Row],[MonthlyIncome]]&lt;=5000, "$1001 - $5000", IF(Table2[[#This Row],[MonthlyIncome]]&lt;=9000, "$5001 - $9000", IF(Table2[[#This Row],[MonthlyIncome]]&lt;=13000, "$9001 - $13000", IF(Table2[[#This Row],[MonthlyIncome]]&lt;=17000, "$13001 - $17000", IF(Table2[[#This Row],[MonthlyIncome]]&lt;=21000, "$17001 - $21000")))))</f>
        <v>$1001 - $5000</v>
      </c>
      <c r="P1446">
        <v>8</v>
      </c>
      <c r="Q1446">
        <v>1</v>
      </c>
      <c r="R1446">
        <v>10</v>
      </c>
      <c r="S144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47" spans="1:19" ht="14.25" x14ac:dyDescent="0.2">
      <c r="A1447">
        <v>30113382</v>
      </c>
      <c r="B1447">
        <v>41</v>
      </c>
      <c r="C1447" t="s">
        <v>20</v>
      </c>
      <c r="D1447" t="s">
        <v>24</v>
      </c>
      <c r="E1447" t="s">
        <v>22</v>
      </c>
      <c r="F1447">
        <f>IF(Table2[[#This Row],[Attrition]]="Yes", 1, 0)</f>
        <v>0</v>
      </c>
      <c r="G1447" t="s">
        <v>31</v>
      </c>
      <c r="H1447" t="s">
        <v>23</v>
      </c>
      <c r="I1447">
        <v>28</v>
      </c>
      <c r="J1447">
        <v>4</v>
      </c>
      <c r="K1447" t="s">
        <v>18</v>
      </c>
      <c r="L1447">
        <v>1</v>
      </c>
      <c r="M1447">
        <v>2</v>
      </c>
      <c r="N1447" s="3">
        <v>13570</v>
      </c>
      <c r="O1447" s="3" t="str">
        <f>IF(Table2[[#This Row],[MonthlyIncome]]&lt;=5000, "$1001 - $5000", IF(Table2[[#This Row],[MonthlyIncome]]&lt;=9000, "$5001 - $9000", IF(Table2[[#This Row],[MonthlyIncome]]&lt;=13000, "$9001 - $13000", IF(Table2[[#This Row],[MonthlyIncome]]&lt;=17000, "$13001 - $17000", IF(Table2[[#This Row],[MonthlyIncome]]&lt;=21000, "$17001 - $21000")))))</f>
        <v>$13001 - $17000</v>
      </c>
      <c r="P1447">
        <v>0</v>
      </c>
      <c r="Q1447">
        <v>3</v>
      </c>
      <c r="R1447">
        <v>20</v>
      </c>
      <c r="S144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448" spans="1:19" ht="14.25" x14ac:dyDescent="0.2">
      <c r="A1448">
        <v>65763778</v>
      </c>
      <c r="B1448">
        <v>34</v>
      </c>
      <c r="C1448" t="s">
        <v>20</v>
      </c>
      <c r="D1448" t="s">
        <v>24</v>
      </c>
      <c r="E1448" t="s">
        <v>22</v>
      </c>
      <c r="F1448">
        <f>IF(Table2[[#This Row],[Attrition]]="Yes", 1, 0)</f>
        <v>0</v>
      </c>
      <c r="G1448" t="s">
        <v>21</v>
      </c>
      <c r="H1448" t="s">
        <v>17</v>
      </c>
      <c r="I1448">
        <v>28</v>
      </c>
      <c r="J1448">
        <v>3</v>
      </c>
      <c r="K1448" t="s">
        <v>36</v>
      </c>
      <c r="L1448">
        <v>4</v>
      </c>
      <c r="M1448">
        <v>3</v>
      </c>
      <c r="N1448" s="3">
        <v>6712</v>
      </c>
      <c r="O1448" s="3" t="str">
        <f>IF(Table2[[#This Row],[MonthlyIncome]]&lt;=5000, "$1001 - $5000", IF(Table2[[#This Row],[MonthlyIncome]]&lt;=9000, "$5001 - $9000", IF(Table2[[#This Row],[MonthlyIncome]]&lt;=13000, "$9001 - $13000", IF(Table2[[#This Row],[MonthlyIncome]]&lt;=17000, "$13001 - $17000", IF(Table2[[#This Row],[MonthlyIncome]]&lt;=21000, "$17001 - $21000")))))</f>
        <v>$5001 - $9000</v>
      </c>
      <c r="P1448">
        <v>1</v>
      </c>
      <c r="Q1448">
        <v>3</v>
      </c>
      <c r="R1448">
        <v>8</v>
      </c>
      <c r="S144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49" spans="1:19" ht="14.25" x14ac:dyDescent="0.2">
      <c r="A1449">
        <v>50985619</v>
      </c>
      <c r="B1449">
        <v>36</v>
      </c>
      <c r="C1449" t="s">
        <v>25</v>
      </c>
      <c r="D1449" t="s">
        <v>30</v>
      </c>
      <c r="E1449" t="s">
        <v>22</v>
      </c>
      <c r="F1449">
        <f>IF(Table2[[#This Row],[Attrition]]="Yes", 1, 0)</f>
        <v>0</v>
      </c>
      <c r="G1449" t="s">
        <v>21</v>
      </c>
      <c r="H1449" t="s">
        <v>17</v>
      </c>
      <c r="I1449">
        <v>15</v>
      </c>
      <c r="J1449">
        <v>4</v>
      </c>
      <c r="K1449" t="s">
        <v>36</v>
      </c>
      <c r="L1449">
        <v>4</v>
      </c>
      <c r="M1449">
        <v>4</v>
      </c>
      <c r="N1449" s="3">
        <v>5406</v>
      </c>
      <c r="O1449" s="3" t="str">
        <f>IF(Table2[[#This Row],[MonthlyIncome]]&lt;=5000, "$1001 - $5000", IF(Table2[[#This Row],[MonthlyIncome]]&lt;=9000, "$5001 - $9000", IF(Table2[[#This Row],[MonthlyIncome]]&lt;=13000, "$9001 - $13000", IF(Table2[[#This Row],[MonthlyIncome]]&lt;=17000, "$13001 - $17000", IF(Table2[[#This Row],[MonthlyIncome]]&lt;=21000, "$17001 - $21000")))))</f>
        <v>$5001 - $9000</v>
      </c>
      <c r="P1449">
        <v>1</v>
      </c>
      <c r="Q1449">
        <v>2</v>
      </c>
      <c r="R1449">
        <v>15</v>
      </c>
      <c r="S144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15 - 20 Years</v>
      </c>
    </row>
    <row r="1450" spans="1:19" ht="14.25" x14ac:dyDescent="0.2">
      <c r="A1450">
        <v>57155950</v>
      </c>
      <c r="B1450">
        <v>41</v>
      </c>
      <c r="C1450" t="s">
        <v>25</v>
      </c>
      <c r="D1450" t="s">
        <v>30</v>
      </c>
      <c r="E1450" t="s">
        <v>22</v>
      </c>
      <c r="F1450">
        <f>IF(Table2[[#This Row],[Attrition]]="Yes", 1, 0)</f>
        <v>0</v>
      </c>
      <c r="G1450" t="s">
        <v>21</v>
      </c>
      <c r="H1450" t="s">
        <v>17</v>
      </c>
      <c r="I1450">
        <v>3</v>
      </c>
      <c r="J1450">
        <v>3</v>
      </c>
      <c r="K1450" t="s">
        <v>18</v>
      </c>
      <c r="L1450">
        <v>3</v>
      </c>
      <c r="M1450">
        <v>2</v>
      </c>
      <c r="N1450" s="3">
        <v>8938</v>
      </c>
      <c r="O1450" s="3" t="str">
        <f>IF(Table2[[#This Row],[MonthlyIncome]]&lt;=5000, "$1001 - $5000", IF(Table2[[#This Row],[MonthlyIncome]]&lt;=9000, "$5001 - $9000", IF(Table2[[#This Row],[MonthlyIncome]]&lt;=13000, "$9001 - $13000", IF(Table2[[#This Row],[MonthlyIncome]]&lt;=17000, "$13001 - $17000", IF(Table2[[#This Row],[MonthlyIncome]]&lt;=21000, "$17001 - $21000")))))</f>
        <v>$5001 - $9000</v>
      </c>
      <c r="P1450">
        <v>2</v>
      </c>
      <c r="Q1450">
        <v>3</v>
      </c>
      <c r="R1450">
        <v>5</v>
      </c>
      <c r="S145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51" spans="1:19" ht="14.25" x14ac:dyDescent="0.2">
      <c r="A1451">
        <v>86869357</v>
      </c>
      <c r="B1451">
        <v>32</v>
      </c>
      <c r="C1451" t="s">
        <v>25</v>
      </c>
      <c r="D1451" t="s">
        <v>19</v>
      </c>
      <c r="E1451" t="s">
        <v>22</v>
      </c>
      <c r="F1451">
        <f>IF(Table2[[#This Row],[Attrition]]="Yes", 1, 0)</f>
        <v>0</v>
      </c>
      <c r="G1451" t="s">
        <v>26</v>
      </c>
      <c r="H1451" t="s">
        <v>23</v>
      </c>
      <c r="I1451">
        <v>2</v>
      </c>
      <c r="J1451">
        <v>3</v>
      </c>
      <c r="K1451" t="s">
        <v>37</v>
      </c>
      <c r="L1451">
        <v>4</v>
      </c>
      <c r="M1451">
        <v>1</v>
      </c>
      <c r="N1451" s="3">
        <v>2439</v>
      </c>
      <c r="O1451" s="3" t="str">
        <f>IF(Table2[[#This Row],[MonthlyIncome]]&lt;=5000, "$1001 - $5000", IF(Table2[[#This Row],[MonthlyIncome]]&lt;=9000, "$5001 - $9000", IF(Table2[[#This Row],[MonthlyIncome]]&lt;=13000, "$9001 - $13000", IF(Table2[[#This Row],[MonthlyIncome]]&lt;=17000, "$13001 - $17000", IF(Table2[[#This Row],[MonthlyIncome]]&lt;=21000, "$17001 - $21000")))))</f>
        <v>$1001 - $5000</v>
      </c>
      <c r="P1451">
        <v>1</v>
      </c>
      <c r="Q1451">
        <v>3</v>
      </c>
      <c r="R1451">
        <v>4</v>
      </c>
      <c r="S145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52" spans="1:19" ht="14.25" x14ac:dyDescent="0.2">
      <c r="A1452">
        <v>89848154</v>
      </c>
      <c r="B1452">
        <v>35</v>
      </c>
      <c r="C1452" t="s">
        <v>20</v>
      </c>
      <c r="D1452" t="s">
        <v>19</v>
      </c>
      <c r="E1452" t="s">
        <v>22</v>
      </c>
      <c r="F1452">
        <f>IF(Table2[[#This Row],[Attrition]]="Yes", 1, 0)</f>
        <v>0</v>
      </c>
      <c r="G1452" t="s">
        <v>38</v>
      </c>
      <c r="H1452" t="s">
        <v>38</v>
      </c>
      <c r="I1452">
        <v>26</v>
      </c>
      <c r="J1452">
        <v>4</v>
      </c>
      <c r="K1452" t="s">
        <v>18</v>
      </c>
      <c r="L1452">
        <v>3</v>
      </c>
      <c r="M1452">
        <v>4</v>
      </c>
      <c r="N1452" s="3">
        <v>8837</v>
      </c>
      <c r="O1452" s="3" t="str">
        <f>IF(Table2[[#This Row],[MonthlyIncome]]&lt;=5000, "$1001 - $5000", IF(Table2[[#This Row],[MonthlyIncome]]&lt;=9000, "$5001 - $9000", IF(Table2[[#This Row],[MonthlyIncome]]&lt;=13000, "$9001 - $13000", IF(Table2[[#This Row],[MonthlyIncome]]&lt;=17000, "$13001 - $17000", IF(Table2[[#This Row],[MonthlyIncome]]&lt;=21000, "$17001 - $21000")))))</f>
        <v>$5001 - $9000</v>
      </c>
      <c r="P1452">
        <v>1</v>
      </c>
      <c r="Q1452">
        <v>3</v>
      </c>
      <c r="R1452">
        <v>9</v>
      </c>
      <c r="S145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53" spans="1:19" ht="14.25" x14ac:dyDescent="0.2">
      <c r="A1453">
        <v>36839571</v>
      </c>
      <c r="B1453">
        <v>38</v>
      </c>
      <c r="C1453" t="s">
        <v>20</v>
      </c>
      <c r="D1453" t="s">
        <v>24</v>
      </c>
      <c r="E1453" t="s">
        <v>22</v>
      </c>
      <c r="F1453">
        <f>IF(Table2[[#This Row],[Attrition]]="Yes", 1, 0)</f>
        <v>0</v>
      </c>
      <c r="G1453" t="s">
        <v>21</v>
      </c>
      <c r="H1453" t="s">
        <v>17</v>
      </c>
      <c r="I1453">
        <v>10</v>
      </c>
      <c r="J1453">
        <v>2</v>
      </c>
      <c r="K1453" t="s">
        <v>18</v>
      </c>
      <c r="L1453">
        <v>1</v>
      </c>
      <c r="M1453">
        <v>4</v>
      </c>
      <c r="N1453" s="3">
        <v>5343</v>
      </c>
      <c r="O1453" s="3" t="str">
        <f>IF(Table2[[#This Row],[MonthlyIncome]]&lt;=5000, "$1001 - $5000", IF(Table2[[#This Row],[MonthlyIncome]]&lt;=9000, "$5001 - $9000", IF(Table2[[#This Row],[MonthlyIncome]]&lt;=13000, "$9001 - $13000", IF(Table2[[#This Row],[MonthlyIncome]]&lt;=17000, "$13001 - $17000", IF(Table2[[#This Row],[MonthlyIncome]]&lt;=21000, "$17001 - $21000")))))</f>
        <v>$5001 - $9000</v>
      </c>
      <c r="P1453">
        <v>1</v>
      </c>
      <c r="Q1453">
        <v>3</v>
      </c>
      <c r="R1453">
        <v>10</v>
      </c>
      <c r="S145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54" spans="1:19" ht="14.25" x14ac:dyDescent="0.2">
      <c r="A1454">
        <v>33223911</v>
      </c>
      <c r="B1454">
        <v>50</v>
      </c>
      <c r="C1454" t="s">
        <v>25</v>
      </c>
      <c r="D1454" t="s">
        <v>30</v>
      </c>
      <c r="E1454" t="s">
        <v>16</v>
      </c>
      <c r="F1454">
        <f>IF(Table2[[#This Row],[Attrition]]="Yes", 1, 0)</f>
        <v>1</v>
      </c>
      <c r="G1454" t="s">
        <v>21</v>
      </c>
      <c r="H1454" t="s">
        <v>17</v>
      </c>
      <c r="I1454">
        <v>1</v>
      </c>
      <c r="J1454">
        <v>4</v>
      </c>
      <c r="K1454" t="s">
        <v>18</v>
      </c>
      <c r="L1454">
        <v>2</v>
      </c>
      <c r="M1454">
        <v>3</v>
      </c>
      <c r="N1454" s="3">
        <v>6728</v>
      </c>
      <c r="O1454" s="3" t="str">
        <f>IF(Table2[[#This Row],[MonthlyIncome]]&lt;=5000, "$1001 - $5000", IF(Table2[[#This Row],[MonthlyIncome]]&lt;=9000, "$5001 - $9000", IF(Table2[[#This Row],[MonthlyIncome]]&lt;=13000, "$9001 - $13000", IF(Table2[[#This Row],[MonthlyIncome]]&lt;=17000, "$13001 - $17000", IF(Table2[[#This Row],[MonthlyIncome]]&lt;=21000, "$17001 - $21000")))))</f>
        <v>$5001 - $9000</v>
      </c>
      <c r="P1454">
        <v>7</v>
      </c>
      <c r="Q1454">
        <v>3</v>
      </c>
      <c r="R1454">
        <v>6</v>
      </c>
      <c r="S145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55" spans="1:19" ht="14.25" x14ac:dyDescent="0.2">
      <c r="A1455">
        <v>14985445</v>
      </c>
      <c r="B1455">
        <v>36</v>
      </c>
      <c r="C1455" t="s">
        <v>20</v>
      </c>
      <c r="D1455" t="s">
        <v>24</v>
      </c>
      <c r="E1455" t="s">
        <v>22</v>
      </c>
      <c r="F1455">
        <f>IF(Table2[[#This Row],[Attrition]]="Yes", 1, 0)</f>
        <v>0</v>
      </c>
      <c r="G1455" t="s">
        <v>21</v>
      </c>
      <c r="H1455" t="s">
        <v>17</v>
      </c>
      <c r="I1455">
        <v>11</v>
      </c>
      <c r="J1455">
        <v>4</v>
      </c>
      <c r="K1455" t="s">
        <v>36</v>
      </c>
      <c r="L1455">
        <v>2</v>
      </c>
      <c r="M1455">
        <v>4</v>
      </c>
      <c r="N1455" s="3">
        <v>6652</v>
      </c>
      <c r="O1455" s="3" t="str">
        <f>IF(Table2[[#This Row],[MonthlyIncome]]&lt;=5000, "$1001 - $5000", IF(Table2[[#This Row],[MonthlyIncome]]&lt;=9000, "$5001 - $9000", IF(Table2[[#This Row],[MonthlyIncome]]&lt;=13000, "$9001 - $13000", IF(Table2[[#This Row],[MonthlyIncome]]&lt;=17000, "$13001 - $17000", IF(Table2[[#This Row],[MonthlyIncome]]&lt;=21000, "$17001 - $21000")))))</f>
        <v>$5001 - $9000</v>
      </c>
      <c r="P1455">
        <v>4</v>
      </c>
      <c r="Q1455">
        <v>2</v>
      </c>
      <c r="R1455">
        <v>6</v>
      </c>
      <c r="S145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56" spans="1:19" ht="14.25" x14ac:dyDescent="0.2">
      <c r="A1456">
        <v>23363262</v>
      </c>
      <c r="B1456">
        <v>45</v>
      </c>
      <c r="C1456" t="s">
        <v>20</v>
      </c>
      <c r="D1456" t="s">
        <v>19</v>
      </c>
      <c r="E1456" t="s">
        <v>22</v>
      </c>
      <c r="F1456">
        <f>IF(Table2[[#This Row],[Attrition]]="Yes", 1, 0)</f>
        <v>0</v>
      </c>
      <c r="G1456" t="s">
        <v>21</v>
      </c>
      <c r="H1456" t="s">
        <v>17</v>
      </c>
      <c r="I1456">
        <v>20</v>
      </c>
      <c r="J1456">
        <v>3</v>
      </c>
      <c r="K1456" t="s">
        <v>18</v>
      </c>
      <c r="L1456">
        <v>4</v>
      </c>
      <c r="M1456">
        <v>3</v>
      </c>
      <c r="N1456" s="3">
        <v>4850</v>
      </c>
      <c r="O1456" s="3" t="str">
        <f>IF(Table2[[#This Row],[MonthlyIncome]]&lt;=5000, "$1001 - $5000", IF(Table2[[#This Row],[MonthlyIncome]]&lt;=9000, "$5001 - $9000", IF(Table2[[#This Row],[MonthlyIncome]]&lt;=13000, "$9001 - $13000", IF(Table2[[#This Row],[MonthlyIncome]]&lt;=17000, "$13001 - $17000", IF(Table2[[#This Row],[MonthlyIncome]]&lt;=21000, "$17001 - $21000")))))</f>
        <v>$1001 - $5000</v>
      </c>
      <c r="P1456">
        <v>8</v>
      </c>
      <c r="Q1456">
        <v>3</v>
      </c>
      <c r="R1456">
        <v>5</v>
      </c>
      <c r="S145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57" spans="1:19" ht="14.25" x14ac:dyDescent="0.2">
      <c r="A1457">
        <v>81727647</v>
      </c>
      <c r="B1457">
        <v>40</v>
      </c>
      <c r="C1457" t="s">
        <v>25</v>
      </c>
      <c r="D1457" t="s">
        <v>19</v>
      </c>
      <c r="E1457" t="s">
        <v>22</v>
      </c>
      <c r="F1457">
        <f>IF(Table2[[#This Row],[Attrition]]="Yes", 1, 0)</f>
        <v>0</v>
      </c>
      <c r="G1457" t="s">
        <v>26</v>
      </c>
      <c r="H1457" t="s">
        <v>23</v>
      </c>
      <c r="I1457">
        <v>2</v>
      </c>
      <c r="J1457">
        <v>4</v>
      </c>
      <c r="K1457" t="s">
        <v>18</v>
      </c>
      <c r="L1457">
        <v>3</v>
      </c>
      <c r="M1457">
        <v>3</v>
      </c>
      <c r="N1457" s="3">
        <v>2809</v>
      </c>
      <c r="O1457" s="3" t="str">
        <f>IF(Table2[[#This Row],[MonthlyIncome]]&lt;=5000, "$1001 - $5000", IF(Table2[[#This Row],[MonthlyIncome]]&lt;=9000, "$5001 - $9000", IF(Table2[[#This Row],[MonthlyIncome]]&lt;=13000, "$9001 - $13000", IF(Table2[[#This Row],[MonthlyIncome]]&lt;=17000, "$13001 - $17000", IF(Table2[[#This Row],[MonthlyIncome]]&lt;=21000, "$17001 - $21000")))))</f>
        <v>$1001 - $5000</v>
      </c>
      <c r="P1457">
        <v>2</v>
      </c>
      <c r="Q1457">
        <v>3</v>
      </c>
      <c r="R1457">
        <v>2</v>
      </c>
      <c r="S145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58" spans="1:19" ht="14.25" x14ac:dyDescent="0.2">
      <c r="A1458">
        <v>75459303</v>
      </c>
      <c r="B1458">
        <v>35</v>
      </c>
      <c r="C1458" t="s">
        <v>25</v>
      </c>
      <c r="D1458" t="s">
        <v>24</v>
      </c>
      <c r="E1458" t="s">
        <v>22</v>
      </c>
      <c r="F1458">
        <f>IF(Table2[[#This Row],[Attrition]]="Yes", 1, 0)</f>
        <v>0</v>
      </c>
      <c r="G1458" t="s">
        <v>32</v>
      </c>
      <c r="H1458" t="s">
        <v>23</v>
      </c>
      <c r="I1458">
        <v>18</v>
      </c>
      <c r="J1458">
        <v>4</v>
      </c>
      <c r="K1458" t="s">
        <v>18</v>
      </c>
      <c r="L1458">
        <v>3</v>
      </c>
      <c r="M1458">
        <v>3</v>
      </c>
      <c r="N1458" s="3">
        <v>5689</v>
      </c>
      <c r="O1458" s="3" t="str">
        <f>IF(Table2[[#This Row],[MonthlyIncome]]&lt;=5000, "$1001 - $5000", IF(Table2[[#This Row],[MonthlyIncome]]&lt;=9000, "$5001 - $9000", IF(Table2[[#This Row],[MonthlyIncome]]&lt;=13000, "$9001 - $13000", IF(Table2[[#This Row],[MonthlyIncome]]&lt;=17000, "$13001 - $17000", IF(Table2[[#This Row],[MonthlyIncome]]&lt;=21000, "$17001 - $21000")))))</f>
        <v>$5001 - $9000</v>
      </c>
      <c r="P1458">
        <v>1</v>
      </c>
      <c r="Q1458">
        <v>4</v>
      </c>
      <c r="R1458">
        <v>10</v>
      </c>
      <c r="S145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10 - 15 Years</v>
      </c>
    </row>
    <row r="1459" spans="1:19" ht="14.25" x14ac:dyDescent="0.2">
      <c r="A1459">
        <v>39330684</v>
      </c>
      <c r="B1459">
        <v>40</v>
      </c>
      <c r="C1459" t="s">
        <v>20</v>
      </c>
      <c r="D1459" t="s">
        <v>24</v>
      </c>
      <c r="E1459" t="s">
        <v>22</v>
      </c>
      <c r="F1459">
        <f>IF(Table2[[#This Row],[Attrition]]="Yes", 1, 0)</f>
        <v>0</v>
      </c>
      <c r="G1459" t="s">
        <v>26</v>
      </c>
      <c r="H1459" t="s">
        <v>23</v>
      </c>
      <c r="I1459">
        <v>2</v>
      </c>
      <c r="J1459">
        <v>4</v>
      </c>
      <c r="K1459" t="s">
        <v>29</v>
      </c>
      <c r="L1459">
        <v>3</v>
      </c>
      <c r="M1459">
        <v>3</v>
      </c>
      <c r="N1459" s="3">
        <v>2001</v>
      </c>
      <c r="O1459" s="3" t="str">
        <f>IF(Table2[[#This Row],[MonthlyIncome]]&lt;=5000, "$1001 - $5000", IF(Table2[[#This Row],[MonthlyIncome]]&lt;=9000, "$5001 - $9000", IF(Table2[[#This Row],[MonthlyIncome]]&lt;=13000, "$9001 - $13000", IF(Table2[[#This Row],[MonthlyIncome]]&lt;=17000, "$13001 - $17000", IF(Table2[[#This Row],[MonthlyIncome]]&lt;=21000, "$17001 - $21000")))))</f>
        <v>$1001 - $5000</v>
      </c>
      <c r="P1459">
        <v>2</v>
      </c>
      <c r="Q1459">
        <v>3</v>
      </c>
      <c r="R1459">
        <v>5</v>
      </c>
      <c r="S145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60" spans="1:19" ht="14.25" x14ac:dyDescent="0.2">
      <c r="A1460">
        <v>48345801</v>
      </c>
      <c r="B1460">
        <v>35</v>
      </c>
      <c r="C1460" t="s">
        <v>20</v>
      </c>
      <c r="D1460" t="s">
        <v>24</v>
      </c>
      <c r="E1460" t="s">
        <v>22</v>
      </c>
      <c r="F1460">
        <f>IF(Table2[[#This Row],[Attrition]]="Yes", 1, 0)</f>
        <v>0</v>
      </c>
      <c r="G1460" t="s">
        <v>26</v>
      </c>
      <c r="H1460" t="s">
        <v>23</v>
      </c>
      <c r="I1460">
        <v>1</v>
      </c>
      <c r="J1460">
        <v>4</v>
      </c>
      <c r="K1460" t="s">
        <v>18</v>
      </c>
      <c r="L1460">
        <v>3</v>
      </c>
      <c r="M1460">
        <v>4</v>
      </c>
      <c r="N1460" s="3">
        <v>2977</v>
      </c>
      <c r="O1460" s="3" t="str">
        <f>IF(Table2[[#This Row],[MonthlyIncome]]&lt;=5000, "$1001 - $5000", IF(Table2[[#This Row],[MonthlyIncome]]&lt;=9000, "$5001 - $9000", IF(Table2[[#This Row],[MonthlyIncome]]&lt;=13000, "$9001 - $13000", IF(Table2[[#This Row],[MonthlyIncome]]&lt;=17000, "$13001 - $17000", IF(Table2[[#This Row],[MonthlyIncome]]&lt;=21000, "$17001 - $21000")))))</f>
        <v>$1001 - $5000</v>
      </c>
      <c r="P1460">
        <v>1</v>
      </c>
      <c r="Q1460">
        <v>3</v>
      </c>
      <c r="R1460">
        <v>4</v>
      </c>
      <c r="S146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61" spans="1:19" ht="14.25" x14ac:dyDescent="0.2">
      <c r="A1461">
        <v>25956610</v>
      </c>
      <c r="B1461">
        <v>29</v>
      </c>
      <c r="C1461" t="s">
        <v>25</v>
      </c>
      <c r="D1461" t="s">
        <v>24</v>
      </c>
      <c r="E1461" t="s">
        <v>22</v>
      </c>
      <c r="F1461">
        <f>IF(Table2[[#This Row],[Attrition]]="Yes", 1, 0)</f>
        <v>0</v>
      </c>
      <c r="G1461" t="s">
        <v>28</v>
      </c>
      <c r="H1461" t="s">
        <v>23</v>
      </c>
      <c r="I1461">
        <v>13</v>
      </c>
      <c r="J1461">
        <v>2</v>
      </c>
      <c r="K1461" t="s">
        <v>27</v>
      </c>
      <c r="L1461">
        <v>4</v>
      </c>
      <c r="M1461">
        <v>2</v>
      </c>
      <c r="N1461" s="3">
        <v>4025</v>
      </c>
      <c r="O1461" s="3" t="str">
        <f>IF(Table2[[#This Row],[MonthlyIncome]]&lt;=5000, "$1001 - $5000", IF(Table2[[#This Row],[MonthlyIncome]]&lt;=9000, "$5001 - $9000", IF(Table2[[#This Row],[MonthlyIncome]]&lt;=13000, "$9001 - $13000", IF(Table2[[#This Row],[MonthlyIncome]]&lt;=17000, "$13001 - $17000", IF(Table2[[#This Row],[MonthlyIncome]]&lt;=21000, "$17001 - $21000")))))</f>
        <v>$1001 - $5000</v>
      </c>
      <c r="P1461">
        <v>4</v>
      </c>
      <c r="Q1461">
        <v>3</v>
      </c>
      <c r="R1461">
        <v>4</v>
      </c>
      <c r="S146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62" spans="1:19" ht="14.25" x14ac:dyDescent="0.2">
      <c r="A1462">
        <v>11926037</v>
      </c>
      <c r="B1462">
        <v>29</v>
      </c>
      <c r="C1462" t="s">
        <v>20</v>
      </c>
      <c r="D1462" t="s">
        <v>19</v>
      </c>
      <c r="E1462" t="s">
        <v>22</v>
      </c>
      <c r="F1462">
        <f>IF(Table2[[#This Row],[Attrition]]="Yes", 1, 0)</f>
        <v>0</v>
      </c>
      <c r="G1462" t="s">
        <v>26</v>
      </c>
      <c r="H1462" t="s">
        <v>23</v>
      </c>
      <c r="I1462">
        <v>28</v>
      </c>
      <c r="J1462">
        <v>4</v>
      </c>
      <c r="K1462" t="s">
        <v>29</v>
      </c>
      <c r="L1462">
        <v>4</v>
      </c>
      <c r="M1462">
        <v>1</v>
      </c>
      <c r="N1462" s="3">
        <v>3785</v>
      </c>
      <c r="O1462" s="3" t="str">
        <f>IF(Table2[[#This Row],[MonthlyIncome]]&lt;=5000, "$1001 - $5000", IF(Table2[[#This Row],[MonthlyIncome]]&lt;=9000, "$5001 - $9000", IF(Table2[[#This Row],[MonthlyIncome]]&lt;=13000, "$9001 - $13000", IF(Table2[[#This Row],[MonthlyIncome]]&lt;=17000, "$13001 - $17000", IF(Table2[[#This Row],[MonthlyIncome]]&lt;=21000, "$17001 - $21000")))))</f>
        <v>$1001 - $5000</v>
      </c>
      <c r="P1462">
        <v>1</v>
      </c>
      <c r="Q1462">
        <v>1</v>
      </c>
      <c r="R1462">
        <v>5</v>
      </c>
      <c r="S1462"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63" spans="1:19" ht="14.25" x14ac:dyDescent="0.2">
      <c r="A1463">
        <v>25715481</v>
      </c>
      <c r="B1463">
        <v>50</v>
      </c>
      <c r="C1463" t="s">
        <v>25</v>
      </c>
      <c r="D1463" t="s">
        <v>30</v>
      </c>
      <c r="E1463" t="s">
        <v>16</v>
      </c>
      <c r="F1463">
        <f>IF(Table2[[#This Row],[Attrition]]="Yes", 1, 0)</f>
        <v>1</v>
      </c>
      <c r="G1463" t="s">
        <v>21</v>
      </c>
      <c r="H1463" t="s">
        <v>17</v>
      </c>
      <c r="I1463">
        <v>28</v>
      </c>
      <c r="J1463">
        <v>3</v>
      </c>
      <c r="K1463" t="s">
        <v>36</v>
      </c>
      <c r="L1463">
        <v>4</v>
      </c>
      <c r="M1463">
        <v>1</v>
      </c>
      <c r="N1463" s="3">
        <v>10854</v>
      </c>
      <c r="O1463" s="3" t="str">
        <f>IF(Table2[[#This Row],[MonthlyIncome]]&lt;=5000, "$1001 - $5000", IF(Table2[[#This Row],[MonthlyIncome]]&lt;=9000, "$5001 - $9000", IF(Table2[[#This Row],[MonthlyIncome]]&lt;=13000, "$9001 - $13000", IF(Table2[[#This Row],[MonthlyIncome]]&lt;=17000, "$13001 - $17000", IF(Table2[[#This Row],[MonthlyIncome]]&lt;=21000, "$17001 - $21000")))))</f>
        <v>$9001 - $13000</v>
      </c>
      <c r="P1463">
        <v>4</v>
      </c>
      <c r="Q1463">
        <v>3</v>
      </c>
      <c r="R1463">
        <v>3</v>
      </c>
      <c r="S1463"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64" spans="1:19" ht="14.25" x14ac:dyDescent="0.2">
      <c r="A1464">
        <v>87798001</v>
      </c>
      <c r="B1464">
        <v>39</v>
      </c>
      <c r="C1464" t="s">
        <v>20</v>
      </c>
      <c r="D1464" t="s">
        <v>24</v>
      </c>
      <c r="E1464" t="s">
        <v>22</v>
      </c>
      <c r="F1464">
        <f>IF(Table2[[#This Row],[Attrition]]="Yes", 1, 0)</f>
        <v>0</v>
      </c>
      <c r="G1464" t="s">
        <v>21</v>
      </c>
      <c r="H1464" t="s">
        <v>17</v>
      </c>
      <c r="I1464">
        <v>24</v>
      </c>
      <c r="J1464">
        <v>1</v>
      </c>
      <c r="K1464" t="s">
        <v>36</v>
      </c>
      <c r="L1464">
        <v>2</v>
      </c>
      <c r="M1464">
        <v>4</v>
      </c>
      <c r="N1464" s="3">
        <v>12031</v>
      </c>
      <c r="O1464" s="3" t="str">
        <f>IF(Table2[[#This Row],[MonthlyIncome]]&lt;=5000, "$1001 - $5000", IF(Table2[[#This Row],[MonthlyIncome]]&lt;=9000, "$5001 - $9000", IF(Table2[[#This Row],[MonthlyIncome]]&lt;=13000, "$9001 - $13000", IF(Table2[[#This Row],[MonthlyIncome]]&lt;=17000, "$13001 - $17000", IF(Table2[[#This Row],[MonthlyIncome]]&lt;=21000, "$17001 - $21000")))))</f>
        <v>$9001 - $13000</v>
      </c>
      <c r="P1464">
        <v>0</v>
      </c>
      <c r="Q1464">
        <v>2</v>
      </c>
      <c r="R1464">
        <v>20</v>
      </c>
      <c r="S1464"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20 - 25 Years</v>
      </c>
    </row>
    <row r="1465" spans="1:19" ht="14.25" x14ac:dyDescent="0.2">
      <c r="A1465">
        <v>40324466</v>
      </c>
      <c r="B1465">
        <v>31</v>
      </c>
      <c r="C1465" t="s">
        <v>25</v>
      </c>
      <c r="D1465" t="s">
        <v>19</v>
      </c>
      <c r="E1465" t="s">
        <v>22</v>
      </c>
      <c r="F1465">
        <f>IF(Table2[[#This Row],[Attrition]]="Yes", 1, 0)</f>
        <v>0</v>
      </c>
      <c r="G1465" t="s">
        <v>31</v>
      </c>
      <c r="H1465" t="s">
        <v>23</v>
      </c>
      <c r="I1465">
        <v>5</v>
      </c>
      <c r="J1465">
        <v>3</v>
      </c>
      <c r="K1465" t="s">
        <v>29</v>
      </c>
      <c r="L1465">
        <v>2</v>
      </c>
      <c r="M1465">
        <v>1</v>
      </c>
      <c r="N1465" s="3">
        <v>9936</v>
      </c>
      <c r="O1465" s="3" t="str">
        <f>IF(Table2[[#This Row],[MonthlyIncome]]&lt;=5000, "$1001 - $5000", IF(Table2[[#This Row],[MonthlyIncome]]&lt;=9000, "$5001 - $9000", IF(Table2[[#This Row],[MonthlyIncome]]&lt;=13000, "$9001 - $13000", IF(Table2[[#This Row],[MonthlyIncome]]&lt;=17000, "$13001 - $17000", IF(Table2[[#This Row],[MonthlyIncome]]&lt;=21000, "$17001 - $21000")))))</f>
        <v>$9001 - $13000</v>
      </c>
      <c r="P1465">
        <v>0</v>
      </c>
      <c r="Q1465">
        <v>3</v>
      </c>
      <c r="R1465">
        <v>9</v>
      </c>
      <c r="S1465"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66" spans="1:19" ht="14.25" x14ac:dyDescent="0.2">
      <c r="A1466">
        <v>49365366</v>
      </c>
      <c r="B1466">
        <v>26</v>
      </c>
      <c r="C1466" t="s">
        <v>20</v>
      </c>
      <c r="D1466" t="s">
        <v>19</v>
      </c>
      <c r="E1466" t="s">
        <v>22</v>
      </c>
      <c r="F1466">
        <f>IF(Table2[[#This Row],[Attrition]]="Yes", 1, 0)</f>
        <v>0</v>
      </c>
      <c r="G1466" t="s">
        <v>34</v>
      </c>
      <c r="H1466" t="s">
        <v>17</v>
      </c>
      <c r="I1466">
        <v>5</v>
      </c>
      <c r="J1466">
        <v>3</v>
      </c>
      <c r="K1466" t="s">
        <v>27</v>
      </c>
      <c r="L1466">
        <v>4</v>
      </c>
      <c r="M1466">
        <v>3</v>
      </c>
      <c r="N1466" s="3">
        <v>2966</v>
      </c>
      <c r="O1466" s="3" t="str">
        <f>IF(Table2[[#This Row],[MonthlyIncome]]&lt;=5000, "$1001 - $5000", IF(Table2[[#This Row],[MonthlyIncome]]&lt;=9000, "$5001 - $9000", IF(Table2[[#This Row],[MonthlyIncome]]&lt;=13000, "$9001 - $13000", IF(Table2[[#This Row],[MonthlyIncome]]&lt;=17000, "$13001 - $17000", IF(Table2[[#This Row],[MonthlyIncome]]&lt;=21000, "$17001 - $21000")))))</f>
        <v>$1001 - $5000</v>
      </c>
      <c r="P1466">
        <v>0</v>
      </c>
      <c r="Q1466">
        <v>3</v>
      </c>
      <c r="R1466">
        <v>4</v>
      </c>
      <c r="S1466"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row r="1467" spans="1:19" ht="14.25" x14ac:dyDescent="0.2">
      <c r="A1467">
        <v>88378585</v>
      </c>
      <c r="B1467">
        <v>36</v>
      </c>
      <c r="C1467" t="s">
        <v>25</v>
      </c>
      <c r="D1467" t="s">
        <v>24</v>
      </c>
      <c r="E1467" t="s">
        <v>22</v>
      </c>
      <c r="F1467">
        <f>IF(Table2[[#This Row],[Attrition]]="Yes", 1, 0)</f>
        <v>0</v>
      </c>
      <c r="G1467" t="s">
        <v>28</v>
      </c>
      <c r="H1467" t="s">
        <v>23</v>
      </c>
      <c r="I1467">
        <v>23</v>
      </c>
      <c r="J1467">
        <v>2</v>
      </c>
      <c r="K1467" t="s">
        <v>29</v>
      </c>
      <c r="L1467">
        <v>3</v>
      </c>
      <c r="M1467">
        <v>4</v>
      </c>
      <c r="N1467" s="3">
        <v>2571</v>
      </c>
      <c r="O1467" s="3" t="str">
        <f>IF(Table2[[#This Row],[MonthlyIncome]]&lt;=5000, "$1001 - $5000", IF(Table2[[#This Row],[MonthlyIncome]]&lt;=9000, "$5001 - $9000", IF(Table2[[#This Row],[MonthlyIncome]]&lt;=13000, "$9001 - $13000", IF(Table2[[#This Row],[MonthlyIncome]]&lt;=17000, "$13001 - $17000", IF(Table2[[#This Row],[MonthlyIncome]]&lt;=21000, "$17001 - $21000")))))</f>
        <v>$1001 - $5000</v>
      </c>
      <c r="P1467">
        <v>4</v>
      </c>
      <c r="Q1467">
        <v>3</v>
      </c>
      <c r="R1467">
        <v>5</v>
      </c>
      <c r="S1467"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68" spans="1:19" ht="14.25" x14ac:dyDescent="0.2">
      <c r="A1468">
        <v>61623424</v>
      </c>
      <c r="B1468">
        <v>39</v>
      </c>
      <c r="C1468" t="s">
        <v>25</v>
      </c>
      <c r="D1468" t="s">
        <v>24</v>
      </c>
      <c r="E1468" t="s">
        <v>22</v>
      </c>
      <c r="F1468">
        <f>IF(Table2[[#This Row],[Attrition]]="Yes", 1, 0)</f>
        <v>0</v>
      </c>
      <c r="G1468" t="s">
        <v>32</v>
      </c>
      <c r="H1468" t="s">
        <v>23</v>
      </c>
      <c r="I1468">
        <v>6</v>
      </c>
      <c r="J1468">
        <v>1</v>
      </c>
      <c r="K1468" t="s">
        <v>29</v>
      </c>
      <c r="L1468">
        <v>4</v>
      </c>
      <c r="M1468">
        <v>1</v>
      </c>
      <c r="N1468" s="3">
        <v>9991</v>
      </c>
      <c r="O1468" s="3" t="str">
        <f>IF(Table2[[#This Row],[MonthlyIncome]]&lt;=5000, "$1001 - $5000", IF(Table2[[#This Row],[MonthlyIncome]]&lt;=9000, "$5001 - $9000", IF(Table2[[#This Row],[MonthlyIncome]]&lt;=13000, "$9001 - $13000", IF(Table2[[#This Row],[MonthlyIncome]]&lt;=17000, "$13001 - $17000", IF(Table2[[#This Row],[MonthlyIncome]]&lt;=21000, "$17001 - $21000")))))</f>
        <v>$9001 - $13000</v>
      </c>
      <c r="P1468">
        <v>4</v>
      </c>
      <c r="Q1468">
        <v>3</v>
      </c>
      <c r="R1468">
        <v>7</v>
      </c>
      <c r="S1468"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69" spans="1:19" ht="14.25" x14ac:dyDescent="0.2">
      <c r="A1469">
        <v>81472308</v>
      </c>
      <c r="B1469">
        <v>27</v>
      </c>
      <c r="C1469" t="s">
        <v>25</v>
      </c>
      <c r="D1469" t="s">
        <v>24</v>
      </c>
      <c r="E1469" t="s">
        <v>22</v>
      </c>
      <c r="F1469">
        <f>IF(Table2[[#This Row],[Attrition]]="Yes", 1, 0)</f>
        <v>0</v>
      </c>
      <c r="G1469" t="s">
        <v>31</v>
      </c>
      <c r="H1469" t="s">
        <v>23</v>
      </c>
      <c r="I1469">
        <v>4</v>
      </c>
      <c r="J1469">
        <v>3</v>
      </c>
      <c r="K1469" t="s">
        <v>18</v>
      </c>
      <c r="L1469">
        <v>2</v>
      </c>
      <c r="M1469">
        <v>2</v>
      </c>
      <c r="N1469" s="3">
        <v>6142</v>
      </c>
      <c r="O1469" s="3" t="str">
        <f>IF(Table2[[#This Row],[MonthlyIncome]]&lt;=5000, "$1001 - $5000", IF(Table2[[#This Row],[MonthlyIncome]]&lt;=9000, "$5001 - $9000", IF(Table2[[#This Row],[MonthlyIncome]]&lt;=13000, "$9001 - $13000", IF(Table2[[#This Row],[MonthlyIncome]]&lt;=17000, "$13001 - $17000", IF(Table2[[#This Row],[MonthlyIncome]]&lt;=21000, "$17001 - $21000")))))</f>
        <v>$5001 - $9000</v>
      </c>
      <c r="P1469">
        <v>1</v>
      </c>
      <c r="Q1469">
        <v>3</v>
      </c>
      <c r="R1469">
        <v>6</v>
      </c>
      <c r="S1469"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70" spans="1:19" ht="14.25" x14ac:dyDescent="0.2">
      <c r="A1470">
        <v>77079853</v>
      </c>
      <c r="B1470">
        <v>49</v>
      </c>
      <c r="C1470" t="s">
        <v>25</v>
      </c>
      <c r="D1470" t="s">
        <v>24</v>
      </c>
      <c r="E1470" t="s">
        <v>22</v>
      </c>
      <c r="F1470">
        <f>IF(Table2[[#This Row],[Attrition]]="Yes", 1, 0)</f>
        <v>0</v>
      </c>
      <c r="G1470" t="s">
        <v>21</v>
      </c>
      <c r="H1470" t="s">
        <v>17</v>
      </c>
      <c r="I1470">
        <v>2</v>
      </c>
      <c r="J1470">
        <v>3</v>
      </c>
      <c r="K1470" t="s">
        <v>29</v>
      </c>
      <c r="L1470">
        <v>4</v>
      </c>
      <c r="M1470">
        <v>2</v>
      </c>
      <c r="N1470" s="3">
        <v>5390</v>
      </c>
      <c r="O1470" s="3" t="str">
        <f>IF(Table2[[#This Row],[MonthlyIncome]]&lt;=5000, "$1001 - $5000", IF(Table2[[#This Row],[MonthlyIncome]]&lt;=9000, "$5001 - $9000", IF(Table2[[#This Row],[MonthlyIncome]]&lt;=13000, "$9001 - $13000", IF(Table2[[#This Row],[MonthlyIncome]]&lt;=17000, "$13001 - $17000", IF(Table2[[#This Row],[MonthlyIncome]]&lt;=21000, "$17001 - $21000")))))</f>
        <v>$5001 - $9000</v>
      </c>
      <c r="P1470">
        <v>2</v>
      </c>
      <c r="Q1470">
        <v>2</v>
      </c>
      <c r="R1470">
        <v>9</v>
      </c>
      <c r="S1470"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5 - 10 Years</v>
      </c>
    </row>
    <row r="1471" spans="1:19" ht="14.25" x14ac:dyDescent="0.2">
      <c r="A1471">
        <v>65371512</v>
      </c>
      <c r="B1471">
        <v>34</v>
      </c>
      <c r="C1471" t="s">
        <v>25</v>
      </c>
      <c r="D1471" t="s">
        <v>24</v>
      </c>
      <c r="E1471" t="s">
        <v>22</v>
      </c>
      <c r="F1471">
        <f>IF(Table2[[#This Row],[Attrition]]="Yes", 1, 0)</f>
        <v>0</v>
      </c>
      <c r="G1471" t="s">
        <v>28</v>
      </c>
      <c r="H1471" t="s">
        <v>23</v>
      </c>
      <c r="I1471">
        <v>8</v>
      </c>
      <c r="J1471">
        <v>3</v>
      </c>
      <c r="K1471" t="s">
        <v>29</v>
      </c>
      <c r="L1471">
        <v>2</v>
      </c>
      <c r="M1471">
        <v>3</v>
      </c>
      <c r="N1471" s="3">
        <v>4404</v>
      </c>
      <c r="O1471" s="3" t="str">
        <f>IF(Table2[[#This Row],[MonthlyIncome]]&lt;=5000, "$1001 - $5000", IF(Table2[[#This Row],[MonthlyIncome]]&lt;=9000, "$5001 - $9000", IF(Table2[[#This Row],[MonthlyIncome]]&lt;=13000, "$9001 - $13000", IF(Table2[[#This Row],[MonthlyIncome]]&lt;=17000, "$13001 - $17000", IF(Table2[[#This Row],[MonthlyIncome]]&lt;=21000, "$17001 - $21000")))))</f>
        <v>$1001 - $5000</v>
      </c>
      <c r="P1471">
        <v>2</v>
      </c>
      <c r="Q1471">
        <v>4</v>
      </c>
      <c r="R1471">
        <v>4</v>
      </c>
      <c r="S1471" t="str">
        <f>IF(Table2[[#This Row],[YearsAtCompany]]&lt;5, "0 - 5 Years", IF(Table2[[#This Row],[YearsAtCompany]]&lt;10, "5 - 10 Years", IF(Table2[[#This Row],[YearsAtCompany]]&lt;15, "10 - 15 Years", IF(Table2[[#This Row],[YearsAtCompany]]&lt;20, "15 - 20 Years", IF(Table2[[#This Row],[YearsAtCompany]]&lt;25, "20 - 25 Years", IF(Table2[[#This Row],[YearsAtCompany]]&lt;30, "25 - 30 Years", IF(Table2[[#This Row],[YearsAtCompany]]&lt;35, "30 - 35 Years", IF(Table2[[#This Row],[YearsAtCompany]]&lt;40, "35 - 40 Years", IF(Table2[[#This Row],[YearsAtCompany]]&gt;=40, "40+ Years")))))))))</f>
        <v>0 - 5 Years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C9E35-A086-4B23-B05E-8D230C2910AA}">
  <dimension ref="A2:I95"/>
  <sheetViews>
    <sheetView zoomScale="90" zoomScaleNormal="90" workbookViewId="0">
      <selection activeCell="F19" sqref="F19"/>
    </sheetView>
  </sheetViews>
  <sheetFormatPr defaultRowHeight="15" x14ac:dyDescent="0.2"/>
  <cols>
    <col min="1" max="1" width="14.625" bestFit="1" customWidth="1"/>
    <col min="2" max="2" width="21.25" bestFit="1" customWidth="1"/>
    <col min="3" max="3" width="10.5" customWidth="1"/>
    <col min="4" max="4" width="14.375" bestFit="1" customWidth="1"/>
    <col min="5" max="5" width="21.25" bestFit="1" customWidth="1"/>
    <col min="6" max="6" width="9.25" customWidth="1"/>
    <col min="7" max="7" width="14.375" bestFit="1" customWidth="1"/>
    <col min="8" max="8" width="22.25" bestFit="1" customWidth="1"/>
    <col min="9" max="9" width="23.375" bestFit="1" customWidth="1"/>
    <col min="10" max="10" width="14.375" bestFit="1" customWidth="1"/>
    <col min="11" max="11" width="22.25" bestFit="1" customWidth="1"/>
    <col min="12" max="12" width="23.375" bestFit="1" customWidth="1"/>
  </cols>
  <sheetData>
    <row r="2" spans="1:9" x14ac:dyDescent="0.25">
      <c r="A2" s="12" t="s">
        <v>45</v>
      </c>
      <c r="B2" s="12"/>
      <c r="D2" s="13" t="s">
        <v>44</v>
      </c>
      <c r="E2" s="13"/>
      <c r="G2" s="12" t="s">
        <v>48</v>
      </c>
      <c r="H2" s="12"/>
      <c r="I2" s="12"/>
    </row>
    <row r="3" spans="1:9" ht="14.25" x14ac:dyDescent="0.2">
      <c r="A3" s="1" t="s">
        <v>40</v>
      </c>
      <c r="B3" t="s">
        <v>42</v>
      </c>
      <c r="D3" s="1" t="s">
        <v>40</v>
      </c>
      <c r="E3" t="s">
        <v>42</v>
      </c>
      <c r="G3" s="1" t="s">
        <v>40</v>
      </c>
      <c r="H3" t="s">
        <v>47</v>
      </c>
      <c r="I3" t="s">
        <v>49</v>
      </c>
    </row>
    <row r="4" spans="1:9" ht="14.25" x14ac:dyDescent="0.2">
      <c r="A4" s="2" t="s">
        <v>38</v>
      </c>
      <c r="B4" s="14">
        <v>12</v>
      </c>
      <c r="D4" s="2" t="s">
        <v>65</v>
      </c>
      <c r="E4" s="14">
        <v>141</v>
      </c>
      <c r="G4" s="2" t="s">
        <v>16</v>
      </c>
      <c r="H4" s="14">
        <v>237</v>
      </c>
      <c r="I4" s="4">
        <v>0.16122448979591836</v>
      </c>
    </row>
    <row r="5" spans="1:9" ht="14.25" x14ac:dyDescent="0.2">
      <c r="A5" s="2" t="s">
        <v>23</v>
      </c>
      <c r="B5" s="14">
        <v>133</v>
      </c>
      <c r="D5" s="2" t="s">
        <v>72</v>
      </c>
      <c r="E5" s="14">
        <v>58</v>
      </c>
      <c r="G5" s="2" t="s">
        <v>22</v>
      </c>
      <c r="H5" s="14">
        <v>1233</v>
      </c>
      <c r="I5" s="4">
        <v>0.83877551020408159</v>
      </c>
    </row>
    <row r="6" spans="1:9" ht="14.25" x14ac:dyDescent="0.2">
      <c r="A6" s="2" t="s">
        <v>17</v>
      </c>
      <c r="B6" s="14">
        <v>92</v>
      </c>
      <c r="D6" s="2" t="s">
        <v>64</v>
      </c>
      <c r="E6" s="14">
        <v>24</v>
      </c>
      <c r="G6" s="2" t="s">
        <v>39</v>
      </c>
      <c r="H6" s="14">
        <v>1470</v>
      </c>
      <c r="I6" s="4">
        <v>1</v>
      </c>
    </row>
    <row r="7" spans="1:9" ht="14.25" x14ac:dyDescent="0.2">
      <c r="A7" s="2" t="s">
        <v>39</v>
      </c>
      <c r="B7" s="14">
        <v>237</v>
      </c>
      <c r="D7" s="2" t="s">
        <v>66</v>
      </c>
      <c r="E7" s="14">
        <v>5</v>
      </c>
    </row>
    <row r="8" spans="1:9" ht="14.25" x14ac:dyDescent="0.2">
      <c r="D8" s="2" t="s">
        <v>67</v>
      </c>
      <c r="E8" s="14">
        <v>5</v>
      </c>
    </row>
    <row r="9" spans="1:9" x14ac:dyDescent="0.25">
      <c r="A9" s="12" t="s">
        <v>43</v>
      </c>
      <c r="B9" s="12"/>
      <c r="D9" s="2" t="s">
        <v>68</v>
      </c>
      <c r="E9" s="14">
        <v>0</v>
      </c>
    </row>
    <row r="10" spans="1:9" ht="14.25" x14ac:dyDescent="0.2">
      <c r="A10" s="1" t="s">
        <v>40</v>
      </c>
      <c r="B10" t="s">
        <v>42</v>
      </c>
      <c r="D10" s="2" t="s">
        <v>69</v>
      </c>
      <c r="E10" s="14">
        <v>3</v>
      </c>
    </row>
    <row r="11" spans="1:9" ht="14.25" x14ac:dyDescent="0.2">
      <c r="A11" s="2" t="s">
        <v>59</v>
      </c>
      <c r="B11" s="14">
        <v>163</v>
      </c>
      <c r="D11" s="2" t="s">
        <v>70</v>
      </c>
      <c r="E11" s="14">
        <v>0</v>
      </c>
    </row>
    <row r="12" spans="1:9" ht="14.25" x14ac:dyDescent="0.2">
      <c r="A12" s="2" t="s">
        <v>60</v>
      </c>
      <c r="B12" s="14">
        <v>40</v>
      </c>
      <c r="D12" s="2" t="s">
        <v>71</v>
      </c>
      <c r="E12" s="14">
        <v>1</v>
      </c>
    </row>
    <row r="13" spans="1:9" ht="14.25" x14ac:dyDescent="0.2">
      <c r="A13" s="2" t="s">
        <v>61</v>
      </c>
      <c r="B13" s="14">
        <v>25</v>
      </c>
      <c r="D13" s="2" t="s">
        <v>39</v>
      </c>
      <c r="E13" s="14">
        <v>237</v>
      </c>
    </row>
    <row r="14" spans="1:9" ht="14.25" x14ac:dyDescent="0.2">
      <c r="A14" s="2" t="s">
        <v>62</v>
      </c>
      <c r="B14" s="14">
        <v>4</v>
      </c>
    </row>
    <row r="15" spans="1:9" x14ac:dyDescent="0.25">
      <c r="A15" s="2" t="s">
        <v>63</v>
      </c>
      <c r="B15" s="14">
        <v>5</v>
      </c>
      <c r="D15" s="5" t="s">
        <v>46</v>
      </c>
    </row>
    <row r="16" spans="1:9" ht="14.25" x14ac:dyDescent="0.2">
      <c r="A16" s="2" t="s">
        <v>39</v>
      </c>
      <c r="B16" s="14">
        <v>237</v>
      </c>
      <c r="D16" s="1" t="s">
        <v>40</v>
      </c>
      <c r="E16" t="s">
        <v>42</v>
      </c>
    </row>
    <row r="17" spans="4:5" ht="14.25" x14ac:dyDescent="0.2">
      <c r="D17" s="2" t="s">
        <v>28</v>
      </c>
      <c r="E17" s="14">
        <v>62</v>
      </c>
    </row>
    <row r="18" spans="4:5" ht="14.25" x14ac:dyDescent="0.2">
      <c r="D18" s="2" t="s">
        <v>21</v>
      </c>
      <c r="E18" s="14">
        <v>57</v>
      </c>
    </row>
    <row r="19" spans="4:5" ht="14.25" x14ac:dyDescent="0.2">
      <c r="D19" s="2" t="s">
        <v>26</v>
      </c>
      <c r="E19" s="14">
        <v>47</v>
      </c>
    </row>
    <row r="20" spans="4:5" ht="14.25" x14ac:dyDescent="0.2">
      <c r="D20" s="2" t="s">
        <v>34</v>
      </c>
      <c r="E20" s="14">
        <v>33</v>
      </c>
    </row>
    <row r="21" spans="4:5" ht="14.25" x14ac:dyDescent="0.2">
      <c r="D21" s="2" t="s">
        <v>38</v>
      </c>
      <c r="E21" s="14">
        <v>12</v>
      </c>
    </row>
    <row r="22" spans="4:5" ht="14.25" x14ac:dyDescent="0.2">
      <c r="D22" s="2" t="s">
        <v>31</v>
      </c>
      <c r="E22" s="14">
        <v>10</v>
      </c>
    </row>
    <row r="23" spans="4:5" ht="14.25" x14ac:dyDescent="0.2">
      <c r="D23" s="2" t="s">
        <v>32</v>
      </c>
      <c r="E23" s="14">
        <v>9</v>
      </c>
    </row>
    <row r="24" spans="4:5" ht="14.25" x14ac:dyDescent="0.2">
      <c r="D24" s="2" t="s">
        <v>33</v>
      </c>
      <c r="E24" s="14">
        <v>5</v>
      </c>
    </row>
    <row r="25" spans="4:5" ht="14.25" x14ac:dyDescent="0.2">
      <c r="D25" s="2" t="s">
        <v>35</v>
      </c>
      <c r="E25" s="14">
        <v>2</v>
      </c>
    </row>
    <row r="26" spans="4:5" ht="14.25" x14ac:dyDescent="0.2">
      <c r="D26" s="2" t="s">
        <v>39</v>
      </c>
      <c r="E26" s="14">
        <v>237</v>
      </c>
    </row>
    <row r="27" spans="4:5" ht="14.25" x14ac:dyDescent="0.2"/>
    <row r="28" spans="4:5" ht="14.25" x14ac:dyDescent="0.2"/>
    <row r="29" spans="4:5" ht="14.25" x14ac:dyDescent="0.2"/>
    <row r="59" spans="1:1" x14ac:dyDescent="0.25">
      <c r="A59" s="6"/>
    </row>
    <row r="70" spans="1:1" x14ac:dyDescent="0.25">
      <c r="A70" s="7"/>
    </row>
    <row r="95" spans="1:1" x14ac:dyDescent="0.25">
      <c r="A95" s="5"/>
    </row>
  </sheetData>
  <mergeCells count="4">
    <mergeCell ref="A2:B2"/>
    <mergeCell ref="A9:B9"/>
    <mergeCell ref="D2:E2"/>
    <mergeCell ref="G2: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7532-DB13-411C-A634-70265319AD8D}">
  <dimension ref="A1:T16"/>
  <sheetViews>
    <sheetView tabSelected="1" zoomScaleNormal="100" workbookViewId="0">
      <selection activeCell="G8" sqref="G8"/>
    </sheetView>
  </sheetViews>
  <sheetFormatPr defaultRowHeight="14.25" x14ac:dyDescent="0.2"/>
  <cols>
    <col min="5" max="5" width="9.5" customWidth="1"/>
  </cols>
  <sheetData>
    <row r="1" spans="1:20" ht="30.75" customHeight="1" thickBot="1" x14ac:dyDescent="0.25">
      <c r="B1" s="20" t="s">
        <v>50</v>
      </c>
      <c r="C1" s="21"/>
      <c r="D1" s="21"/>
      <c r="E1" s="21"/>
      <c r="F1" s="21"/>
      <c r="G1" s="21"/>
      <c r="H1" s="21"/>
      <c r="I1" s="21"/>
      <c r="J1" s="21"/>
      <c r="K1" s="21"/>
      <c r="L1" s="21"/>
      <c r="M1" s="21"/>
      <c r="N1" s="21"/>
      <c r="O1" s="21"/>
      <c r="P1" s="21"/>
      <c r="Q1" s="21"/>
      <c r="R1" s="21"/>
      <c r="S1" s="21"/>
      <c r="T1" s="21"/>
    </row>
    <row r="3" spans="1:20" ht="26.25" thickBot="1" x14ac:dyDescent="0.4">
      <c r="C3" s="15"/>
      <c r="D3" s="17"/>
      <c r="E3" s="18" t="s">
        <v>51</v>
      </c>
      <c r="F3" s="17"/>
      <c r="G3" s="15"/>
      <c r="I3" s="15"/>
      <c r="J3" s="17"/>
      <c r="K3" s="18" t="s">
        <v>48</v>
      </c>
      <c r="L3" s="17"/>
      <c r="M3" s="15"/>
      <c r="O3" s="15"/>
      <c r="P3" s="17"/>
      <c r="Q3" s="18" t="s">
        <v>52</v>
      </c>
      <c r="R3" s="17"/>
      <c r="S3" s="15"/>
    </row>
    <row r="4" spans="1:20" x14ac:dyDescent="0.2">
      <c r="A4" s="15"/>
      <c r="B4" s="15"/>
      <c r="C4" s="15"/>
      <c r="D4" s="15"/>
      <c r="E4" s="15"/>
      <c r="F4" s="15"/>
      <c r="G4" s="15"/>
      <c r="I4" s="15"/>
      <c r="J4" s="15"/>
      <c r="K4" s="15"/>
      <c r="L4" s="15"/>
      <c r="M4" s="15"/>
      <c r="O4" s="15"/>
      <c r="P4" s="15"/>
      <c r="Q4" s="15"/>
      <c r="R4" s="15"/>
      <c r="S4" s="15"/>
    </row>
    <row r="5" spans="1:20" ht="25.5" x14ac:dyDescent="0.2">
      <c r="A5" s="15"/>
      <c r="B5" s="15"/>
      <c r="C5" s="15"/>
      <c r="D5" s="15"/>
      <c r="E5" s="19">
        <f>GETPIVOTDATA("Count of EmployeeID",PivotTables!$G$3)</f>
        <v>1470</v>
      </c>
      <c r="F5" s="15"/>
      <c r="G5" s="15"/>
      <c r="H5" s="15"/>
      <c r="I5" s="15"/>
      <c r="J5" s="15"/>
      <c r="K5" s="19">
        <f>GETPIVOTDATA("Count of EmployeeID",PivotTables!$G$3,"Attrition","Yes")</f>
        <v>237</v>
      </c>
      <c r="L5" s="15"/>
      <c r="M5" s="15"/>
      <c r="N5" s="15"/>
      <c r="O5" s="15"/>
      <c r="P5" s="15"/>
      <c r="Q5" s="16">
        <f>GETPIVOTDATA("Count of EmployeeID2",PivotTables!$G$3,"Attrition","Yes")</f>
        <v>0.16122448979591836</v>
      </c>
      <c r="R5" s="15"/>
      <c r="S5" s="15"/>
      <c r="T5" s="15"/>
    </row>
    <row r="6" spans="1:20" ht="15" thickBot="1" x14ac:dyDescent="0.25">
      <c r="A6" s="15"/>
      <c r="B6" s="17"/>
      <c r="C6" s="17"/>
      <c r="D6" s="17"/>
      <c r="E6" s="17"/>
      <c r="F6" s="17"/>
      <c r="G6" s="17"/>
      <c r="H6" s="17"/>
      <c r="I6" s="17"/>
      <c r="J6" s="17"/>
      <c r="K6" s="17"/>
      <c r="L6" s="17"/>
      <c r="M6" s="17"/>
      <c r="N6" s="17"/>
      <c r="O6" s="17"/>
      <c r="P6" s="17"/>
      <c r="Q6" s="17"/>
      <c r="R6" s="17"/>
      <c r="S6" s="17"/>
      <c r="T6" s="17"/>
    </row>
    <row r="7" spans="1:20" x14ac:dyDescent="0.2">
      <c r="B7" s="15"/>
      <c r="C7" s="15"/>
      <c r="D7" s="15"/>
      <c r="E7" s="15"/>
    </row>
    <row r="8" spans="1:20" x14ac:dyDescent="0.2">
      <c r="E8" s="15"/>
    </row>
    <row r="9" spans="1:20" x14ac:dyDescent="0.2">
      <c r="E9" s="15"/>
    </row>
    <row r="10" spans="1:20" x14ac:dyDescent="0.2">
      <c r="E10" s="15"/>
    </row>
    <row r="11" spans="1:20" x14ac:dyDescent="0.2">
      <c r="E11" s="15"/>
    </row>
    <row r="12" spans="1:20" x14ac:dyDescent="0.2">
      <c r="E12" s="15"/>
    </row>
    <row r="13" spans="1:20" x14ac:dyDescent="0.2">
      <c r="E13" s="15"/>
    </row>
    <row r="14" spans="1:20" x14ac:dyDescent="0.2">
      <c r="E14" s="15"/>
    </row>
    <row r="15" spans="1:20" x14ac:dyDescent="0.2">
      <c r="E15" s="15"/>
    </row>
    <row r="16" spans="1:20" x14ac:dyDescent="0.2">
      <c r="E16" s="15"/>
    </row>
  </sheetData>
  <mergeCells count="1">
    <mergeCell ref="B1:T1"/>
  </mergeCell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4AC5D-EFB8-4445-9079-1CFC10FD913E}">
  <dimension ref="A1:A8"/>
  <sheetViews>
    <sheetView workbookViewId="0">
      <selection activeCell="I13" sqref="I13"/>
    </sheetView>
  </sheetViews>
  <sheetFormatPr defaultRowHeight="14.25" x14ac:dyDescent="0.2"/>
  <sheetData>
    <row r="1" spans="1:1" ht="18.75" x14ac:dyDescent="0.2">
      <c r="A1" s="9" t="s">
        <v>53</v>
      </c>
    </row>
    <row r="2" spans="1:1" ht="15" x14ac:dyDescent="0.2">
      <c r="A2" s="10"/>
    </row>
    <row r="3" spans="1:1" ht="15" x14ac:dyDescent="0.2">
      <c r="A3" s="10" t="s">
        <v>73</v>
      </c>
    </row>
    <row r="4" spans="1:1" x14ac:dyDescent="0.2">
      <c r="A4" s="11" t="s">
        <v>78</v>
      </c>
    </row>
    <row r="5" spans="1:1" x14ac:dyDescent="0.2">
      <c r="A5" s="11" t="s">
        <v>79</v>
      </c>
    </row>
    <row r="6" spans="1:1" x14ac:dyDescent="0.2">
      <c r="A6" s="11" t="s">
        <v>80</v>
      </c>
    </row>
    <row r="8" spans="1:1" x14ac:dyDescent="0.2">
      <c r="A8" s="11"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RawData</vt:lpstr>
      <vt:lpstr>CleanedData</vt:lpstr>
      <vt:lpstr>PivotTables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Rickjordan Manaloto</dc:creator>
  <cp:lastModifiedBy>Rickjordan Manaloto</cp:lastModifiedBy>
  <dcterms:created xsi:type="dcterms:W3CDTF">2026-01-22T08:06:26Z</dcterms:created>
  <dcterms:modified xsi:type="dcterms:W3CDTF">2026-01-24T15:47:56Z</dcterms:modified>
</cp:coreProperties>
</file>